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harts/chartEx1.xml" ContentType="application/vnd.ms-office.chartex+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slicers/slicer4.xml" ContentType="application/vnd.ms-excel.slicer+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8.xml" ContentType="application/vnd.openxmlformats-officedocument.drawing+xml"/>
  <Override PartName="/xl/slicers/slicer5.xml" ContentType="application/vnd.ms-excel.slicer+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Pc Youssef 3\Ai Cours 2\setion (22)\try 1\New folder (2)\"/>
    </mc:Choice>
  </mc:AlternateContent>
  <xr:revisionPtr revIDLastSave="0" documentId="8_{956FB905-6DA6-4914-A5ED-4759FE9F29A1}" xr6:coauthVersionLast="47" xr6:coauthVersionMax="47" xr10:uidLastSave="{00000000-0000-0000-0000-000000000000}"/>
  <bookViews>
    <workbookView xWindow="-120" yWindow="-120" windowWidth="29040" windowHeight="17790" tabRatio="764" firstSheet="1" activeTab="7" xr2:uid="{EF704534-BE17-49E2-AA24-FA86ECFD3632}"/>
  </bookViews>
  <sheets>
    <sheet name="survived rate by class" sheetId="3" r:id="rId1"/>
    <sheet name="survival by sex" sheetId="4" r:id="rId2"/>
    <sheet name="survir by age group" sheetId="5" r:id="rId3"/>
    <sheet name="survival by embarked" sheetId="7" r:id="rId4"/>
    <sheet name="survival by family size" sheetId="8" r:id="rId5"/>
    <sheet name="Titanic-Dataset" sheetId="2" r:id="rId6"/>
    <sheet name="DashBaord" sheetId="1" r:id="rId7"/>
    <sheet name="newdashboard" sheetId="9" r:id="rId8"/>
  </sheets>
  <definedNames>
    <definedName name="_xlchart.v1.0" hidden="1">'Titanic-Dataset'!$P$1</definedName>
    <definedName name="_xlchart.v1.1" hidden="1">'Titanic-Dataset'!$P$2:$P$892</definedName>
    <definedName name="_xlchart.v1.10" hidden="1">'Titanic-Dataset'!$Q$1</definedName>
    <definedName name="_xlchart.v1.11" hidden="1">'Titanic-Dataset'!$Q$2:$Q$892</definedName>
    <definedName name="_xlchart.v1.2" hidden="1">'Titanic-Dataset'!$Q$1</definedName>
    <definedName name="_xlchart.v1.3" hidden="1">'Titanic-Dataset'!$Q$2:$Q$892</definedName>
    <definedName name="_xlchart.v1.4" hidden="1">'Titanic-Dataset'!$P$1</definedName>
    <definedName name="_xlchart.v1.5" hidden="1">'Titanic-Dataset'!$P$2:$P$892</definedName>
    <definedName name="_xlchart.v1.6" hidden="1">'Titanic-Dataset'!$Q$1</definedName>
    <definedName name="_xlchart.v1.7" hidden="1">'Titanic-Dataset'!$Q$2:$Q$892</definedName>
    <definedName name="_xlchart.v1.8" hidden="1">'Titanic-Dataset'!$P$1</definedName>
    <definedName name="_xlchart.v1.9" hidden="1">'Titanic-Dataset'!$P$2:$P$892</definedName>
    <definedName name="ExternalData_1" localSheetId="5" hidden="1">'Titanic-Dataset'!$A$1:$T$892</definedName>
    <definedName name="Slicer_Age_Group">#N/A</definedName>
    <definedName name="Slicer_Cabin">#N/A</definedName>
    <definedName name="Slicer_fair_group">#N/A</definedName>
    <definedName name="Slicer_Family_Size">#N/A</definedName>
    <definedName name="Slicer_Sex">#N/A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 i="2" l="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AB11" i="2"/>
  <c r="Z1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AD11" i="2"/>
  <c r="X11"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0198B8-7D74-4E07-96B3-CC1BC35DB9B7}" keepAlive="1" name="Query - Titanic-Dataset" description="Connection to the 'Titanic-Dataset' query in the workbook." type="5" refreshedVersion="8" background="1" saveData="1">
    <dbPr connection="Provider=Microsoft.Mashup.OleDb.1;Data Source=$Workbook$;Location=Titanic-Dataset;Extended Properties=&quot;&quot;" command="SELECT * FROM [Titanic-Dataset]"/>
  </connection>
</connections>
</file>

<file path=xl/sharedStrings.xml><?xml version="1.0" encoding="utf-8"?>
<sst xmlns="http://schemas.openxmlformats.org/spreadsheetml/2006/main" count="4536" uniqueCount="1772">
  <si>
    <t>PassengerId</t>
  </si>
  <si>
    <t>Survived</t>
  </si>
  <si>
    <t>Pclass</t>
  </si>
  <si>
    <t>Name</t>
  </si>
  <si>
    <t>Sex</t>
  </si>
  <si>
    <t>Age</t>
  </si>
  <si>
    <t>SibSp</t>
  </si>
  <si>
    <t>Parch</t>
  </si>
  <si>
    <t>Ticket</t>
  </si>
  <si>
    <t>Fare</t>
  </si>
  <si>
    <t>Cabin</t>
  </si>
  <si>
    <t>Embarked</t>
  </si>
  <si>
    <t>Braund, Mr. Owen Harris</t>
  </si>
  <si>
    <t>male</t>
  </si>
  <si>
    <t>A/5 21171</t>
  </si>
  <si>
    <t/>
  </si>
  <si>
    <t>S</t>
  </si>
  <si>
    <t>Cumings, Mrs. John Bradley (Florence Briggs Thayer)</t>
  </si>
  <si>
    <t>female</t>
  </si>
  <si>
    <t>PC 17599</t>
  </si>
  <si>
    <t>C85</t>
  </si>
  <si>
    <t>C</t>
  </si>
  <si>
    <t>Heikkinen, Miss. Laina</t>
  </si>
  <si>
    <t>STON/O2. 3101282</t>
  </si>
  <si>
    <t>Futrelle, Mrs. Jacques Heath (Lily May Peel)</t>
  </si>
  <si>
    <t>113803</t>
  </si>
  <si>
    <t>C123</t>
  </si>
  <si>
    <t>Allen, Mr. William Henry</t>
  </si>
  <si>
    <t>373450</t>
  </si>
  <si>
    <t>Moran, Mr. James</t>
  </si>
  <si>
    <t>330877</t>
  </si>
  <si>
    <t>Q</t>
  </si>
  <si>
    <t>McCarthy, Mr. Timothy J</t>
  </si>
  <si>
    <t>17463</t>
  </si>
  <si>
    <t>E46</t>
  </si>
  <si>
    <t>Palsson, Master. Gosta Leonard</t>
  </si>
  <si>
    <t>349909</t>
  </si>
  <si>
    <t>Johnson, Mrs. Oscar W (Elisabeth Vilhelmina Berg)</t>
  </si>
  <si>
    <t>347742</t>
  </si>
  <si>
    <t>Nasser, Mrs. Nicholas (Adele Achem)</t>
  </si>
  <si>
    <t>237736</t>
  </si>
  <si>
    <t>Sandstrom, Miss. Marguerite Rut</t>
  </si>
  <si>
    <t>PP 9549</t>
  </si>
  <si>
    <t>G6</t>
  </si>
  <si>
    <t>Bonnell, Miss. Elizabeth</t>
  </si>
  <si>
    <t>113783</t>
  </si>
  <si>
    <t>C103</t>
  </si>
  <si>
    <t>Saundercock, Mr. William Henry</t>
  </si>
  <si>
    <t>A/5. 2151</t>
  </si>
  <si>
    <t>Andersson, Mr. Anders Johan</t>
  </si>
  <si>
    <t>347082</t>
  </si>
  <si>
    <t>Vestrom, Miss. Hulda Amanda Adolfina</t>
  </si>
  <si>
    <t>350406</t>
  </si>
  <si>
    <t xml:space="preserve">Hewlett, Mrs. (Mary D Kingcome) </t>
  </si>
  <si>
    <t>248706</t>
  </si>
  <si>
    <t>Rice, Master. Eugene</t>
  </si>
  <si>
    <t>382652</t>
  </si>
  <si>
    <t>Williams, Mr. Charles Eugene</t>
  </si>
  <si>
    <t>244373</t>
  </si>
  <si>
    <t>Vander Planke, Mrs. Julius (Emelia Maria Vandemoortele)</t>
  </si>
  <si>
    <t>345763</t>
  </si>
  <si>
    <t>Masselmani, Mrs. Fatima</t>
  </si>
  <si>
    <t>2649</t>
  </si>
  <si>
    <t>Fynney, Mr. Joseph J</t>
  </si>
  <si>
    <t>239865</t>
  </si>
  <si>
    <t>Beesley, Mr. Lawrence</t>
  </si>
  <si>
    <t>248698</t>
  </si>
  <si>
    <t>D56</t>
  </si>
  <si>
    <t>McGowan, Miss. Anna "Annie"</t>
  </si>
  <si>
    <t>330923</t>
  </si>
  <si>
    <t>Sloper, Mr. William Thompson</t>
  </si>
  <si>
    <t>113788</t>
  </si>
  <si>
    <t>A6</t>
  </si>
  <si>
    <t>Palsson, Miss. Torborg Danira</t>
  </si>
  <si>
    <t>Asplund, Mrs. Carl Oscar (Selma Augusta Emilia Johansson)</t>
  </si>
  <si>
    <t>347077</t>
  </si>
  <si>
    <t>Emir, Mr. Farred Chehab</t>
  </si>
  <si>
    <t>2631</t>
  </si>
  <si>
    <t>Fortune, Mr. Charles Alexander</t>
  </si>
  <si>
    <t>19950</t>
  </si>
  <si>
    <t>C23 C25 C27</t>
  </si>
  <si>
    <t>O'Dwyer, Miss. Ellen "Nellie"</t>
  </si>
  <si>
    <t>330959</t>
  </si>
  <si>
    <t>Todoroff, Mr. Lalio</t>
  </si>
  <si>
    <t>349216</t>
  </si>
  <si>
    <t>Uruchurtu, Don. Manuel E</t>
  </si>
  <si>
    <t>PC 17601</t>
  </si>
  <si>
    <t>Spencer, Mrs. William Augustus (Marie Eugenie)</t>
  </si>
  <si>
    <t>PC 17569</t>
  </si>
  <si>
    <t>B78</t>
  </si>
  <si>
    <t>Glynn, Miss. Mary Agatha</t>
  </si>
  <si>
    <t>335677</t>
  </si>
  <si>
    <t>Wheadon, Mr. Edward H</t>
  </si>
  <si>
    <t>C.A. 24579</t>
  </si>
  <si>
    <t>Meyer, Mr. Edgar Joseph</t>
  </si>
  <si>
    <t>PC 17604</t>
  </si>
  <si>
    <t>Holverson, Mr. Alexander Oskar</t>
  </si>
  <si>
    <t>113789</t>
  </si>
  <si>
    <t>Mamee, Mr. Hanna</t>
  </si>
  <si>
    <t>2677</t>
  </si>
  <si>
    <t>Cann, Mr. Ernest Charles</t>
  </si>
  <si>
    <t>A./5. 2152</t>
  </si>
  <si>
    <t>Vander Planke, Miss. Augusta Maria</t>
  </si>
  <si>
    <t>345764</t>
  </si>
  <si>
    <t>Nicola-Yarred, Miss. Jamila</t>
  </si>
  <si>
    <t>2651</t>
  </si>
  <si>
    <t>Ahlin, Mrs. Johan (Johanna Persdotter Larsson)</t>
  </si>
  <si>
    <t>7546</t>
  </si>
  <si>
    <t>Turpin, Mrs. William John Robert (Dorothy Ann Wonnacott)</t>
  </si>
  <si>
    <t>11668</t>
  </si>
  <si>
    <t>Kraeff, Mr. Theodor</t>
  </si>
  <si>
    <t>349253</t>
  </si>
  <si>
    <t>Laroche, Miss. Simonne Marie Anne Andree</t>
  </si>
  <si>
    <t>SC/Paris 2123</t>
  </si>
  <si>
    <t>Devaney, Miss. Margaret Delia</t>
  </si>
  <si>
    <t>330958</t>
  </si>
  <si>
    <t>Rogers, Mr. William John</t>
  </si>
  <si>
    <t>S.C./A.4. 23567</t>
  </si>
  <si>
    <t>Lennon, Mr. Denis</t>
  </si>
  <si>
    <t>370371</t>
  </si>
  <si>
    <t>O'Driscoll, Miss. Bridget</t>
  </si>
  <si>
    <t>14311</t>
  </si>
  <si>
    <t>Samaan, Mr. Youssef</t>
  </si>
  <si>
    <t>2662</t>
  </si>
  <si>
    <t>Arnold-Franchi, Mrs. Josef (Josefine Franchi)</t>
  </si>
  <si>
    <t>349237</t>
  </si>
  <si>
    <t>Panula, Master. Juha Niilo</t>
  </si>
  <si>
    <t>3101295</t>
  </si>
  <si>
    <t>Nosworthy, Mr. Richard Cater</t>
  </si>
  <si>
    <t>A/4. 39886</t>
  </si>
  <si>
    <t>Harper, Mrs. Henry Sleeper (Myna Haxtun)</t>
  </si>
  <si>
    <t>PC 17572</t>
  </si>
  <si>
    <t>D33</t>
  </si>
  <si>
    <t>Faunthorpe, Mrs. Lizzie (Elizabeth Anne Wilkinson)</t>
  </si>
  <si>
    <t>2926</t>
  </si>
  <si>
    <t>Ostby, Mr. Engelhart Cornelius</t>
  </si>
  <si>
    <t>113509</t>
  </si>
  <si>
    <t>B30</t>
  </si>
  <si>
    <t>Woolner, Mr. Hugh</t>
  </si>
  <si>
    <t>19947</t>
  </si>
  <si>
    <t>C52</t>
  </si>
  <si>
    <t>Rugg, Miss. Emily</t>
  </si>
  <si>
    <t>C.A. 31026</t>
  </si>
  <si>
    <t>Novel, Mr. Mansouer</t>
  </si>
  <si>
    <t>2697</t>
  </si>
  <si>
    <t>West, Miss. Constance Mirium</t>
  </si>
  <si>
    <t>C.A. 34651</t>
  </si>
  <si>
    <t>Goodwin, Master. William Frederick</t>
  </si>
  <si>
    <t>CA 2144</t>
  </si>
  <si>
    <t>Sirayanian, Mr. Orsen</t>
  </si>
  <si>
    <t>2669</t>
  </si>
  <si>
    <t>Icard, Miss. Amelie</t>
  </si>
  <si>
    <t>113572</t>
  </si>
  <si>
    <t>B28</t>
  </si>
  <si>
    <t>Harris, Mr. Henry Birkhardt</t>
  </si>
  <si>
    <t>36973</t>
  </si>
  <si>
    <t>C83</t>
  </si>
  <si>
    <t>Skoog, Master. Harald</t>
  </si>
  <si>
    <t>347088</t>
  </si>
  <si>
    <t>Stewart, Mr. Albert A</t>
  </si>
  <si>
    <t>PC 17605</t>
  </si>
  <si>
    <t>Moubarek, Master. Gerios</t>
  </si>
  <si>
    <t>2661</t>
  </si>
  <si>
    <t>Nye, Mrs. (Elizabeth Ramell)</t>
  </si>
  <si>
    <t>C.A. 29395</t>
  </si>
  <si>
    <t>F33</t>
  </si>
  <si>
    <t>Crease, Mr. Ernest James</t>
  </si>
  <si>
    <t>S.P. 3464</t>
  </si>
  <si>
    <t>Andersson, Miss. Erna Alexandra</t>
  </si>
  <si>
    <t>3101281</t>
  </si>
  <si>
    <t>Kink, Mr. Vincenz</t>
  </si>
  <si>
    <t>315151</t>
  </si>
  <si>
    <t>Jenkin, Mr. Stephen Curnow</t>
  </si>
  <si>
    <t>C.A. 33111</t>
  </si>
  <si>
    <t>Goodwin, Miss. Lillian Amy</t>
  </si>
  <si>
    <t>Hood, Mr. Ambrose Jr</t>
  </si>
  <si>
    <t>S.O.C. 14879</t>
  </si>
  <si>
    <t>Chronopoulos, Mr. Apostolos</t>
  </si>
  <si>
    <t>2680</t>
  </si>
  <si>
    <t>Bing, Mr. Lee</t>
  </si>
  <si>
    <t>1601</t>
  </si>
  <si>
    <t>Moen, Mr. Sigurd Hansen</t>
  </si>
  <si>
    <t>348123</t>
  </si>
  <si>
    <t>F G73</t>
  </si>
  <si>
    <t>Staneff, Mr. Ivan</t>
  </si>
  <si>
    <t>349208</t>
  </si>
  <si>
    <t>Moutal, Mr. Rahamin Haim</t>
  </si>
  <si>
    <t>374746</t>
  </si>
  <si>
    <t>Caldwell, Master. Alden Gates</t>
  </si>
  <si>
    <t>248738</t>
  </si>
  <si>
    <t>Dowdell, Miss. Elizabeth</t>
  </si>
  <si>
    <t>364516</t>
  </si>
  <si>
    <t>Waelens, Mr. Achille</t>
  </si>
  <si>
    <t>345767</t>
  </si>
  <si>
    <t>Sheerlinck, Mr. Jan Baptist</t>
  </si>
  <si>
    <t>345779</t>
  </si>
  <si>
    <t>McDermott, Miss. Brigdet Delia</t>
  </si>
  <si>
    <t>330932</t>
  </si>
  <si>
    <t>Carrau, Mr. Francisco M</t>
  </si>
  <si>
    <t>113059</t>
  </si>
  <si>
    <t>Ilett, Miss. Bertha</t>
  </si>
  <si>
    <t>SO/C 14885</t>
  </si>
  <si>
    <t>Backstrom, Mrs. Karl Alfred (Maria Mathilda Gustafsson)</t>
  </si>
  <si>
    <t>3101278</t>
  </si>
  <si>
    <t>Ford, Mr. William Neal</t>
  </si>
  <si>
    <t>W./C. 6608</t>
  </si>
  <si>
    <t>Slocovski, Mr. Selman Francis</t>
  </si>
  <si>
    <t>SOTON/OQ 392086</t>
  </si>
  <si>
    <t>Fortune, Miss. Mabel Helen</t>
  </si>
  <si>
    <t>Celotti, Mr. Francesco</t>
  </si>
  <si>
    <t>343275</t>
  </si>
  <si>
    <t>Christmann, Mr. Emil</t>
  </si>
  <si>
    <t>343276</t>
  </si>
  <si>
    <t>Andreasson, Mr. Paul Edvin</t>
  </si>
  <si>
    <t>347466</t>
  </si>
  <si>
    <t>Chaffee, Mr. Herbert Fuller</t>
  </si>
  <si>
    <t>W.E.P. 5734</t>
  </si>
  <si>
    <t>E31</t>
  </si>
  <si>
    <t>Dean, Mr. Bertram Frank</t>
  </si>
  <si>
    <t>C.A. 2315</t>
  </si>
  <si>
    <t>Coxon, Mr. Daniel</t>
  </si>
  <si>
    <t>364500</t>
  </si>
  <si>
    <t>Shorney, Mr. Charles Joseph</t>
  </si>
  <si>
    <t>374910</t>
  </si>
  <si>
    <t>Goldschmidt, Mr. George B</t>
  </si>
  <si>
    <t>PC 17754</t>
  </si>
  <si>
    <t>A5</t>
  </si>
  <si>
    <t>Greenfield, Mr. William Bertram</t>
  </si>
  <si>
    <t>PC 17759</t>
  </si>
  <si>
    <t>D10 D12</t>
  </si>
  <si>
    <t>Doling, Mrs. John T (Ada Julia Bone)</t>
  </si>
  <si>
    <t>231919</t>
  </si>
  <si>
    <t>Kantor, Mr. Sinai</t>
  </si>
  <si>
    <t>244367</t>
  </si>
  <si>
    <t>Petranec, Miss. Matilda</t>
  </si>
  <si>
    <t>349245</t>
  </si>
  <si>
    <t>Petroff, Mr. Pastcho ("Pentcho")</t>
  </si>
  <si>
    <t>349215</t>
  </si>
  <si>
    <t>White, Mr. Richard Frasar</t>
  </si>
  <si>
    <t>35281</t>
  </si>
  <si>
    <t>D26</t>
  </si>
  <si>
    <t>Johansson, Mr. Gustaf Joel</t>
  </si>
  <si>
    <t>7540</t>
  </si>
  <si>
    <t>Gustafsson, Mr. Anders Vilhelm</t>
  </si>
  <si>
    <t>3101276</t>
  </si>
  <si>
    <t>Mionoff, Mr. Stoytcho</t>
  </si>
  <si>
    <t>349207</t>
  </si>
  <si>
    <t>Salkjelsvik, Miss. Anna Kristine</t>
  </si>
  <si>
    <t>343120</t>
  </si>
  <si>
    <t>Moss, Mr. Albert Johan</t>
  </si>
  <si>
    <t>312991</t>
  </si>
  <si>
    <t>Rekic, Mr. Tido</t>
  </si>
  <si>
    <t>349249</t>
  </si>
  <si>
    <t>Moran, Miss. Bertha</t>
  </si>
  <si>
    <t>371110</t>
  </si>
  <si>
    <t>Porter, Mr. Walter Chamberlain</t>
  </si>
  <si>
    <t>110465</t>
  </si>
  <si>
    <t>C110</t>
  </si>
  <si>
    <t>Zabour, Miss. Hileni</t>
  </si>
  <si>
    <t>2665</t>
  </si>
  <si>
    <t>Barton, Mr. David John</t>
  </si>
  <si>
    <t>324669</t>
  </si>
  <si>
    <t>Jussila, Miss. Katriina</t>
  </si>
  <si>
    <t>4136</t>
  </si>
  <si>
    <t>Attalah, Miss. Malake</t>
  </si>
  <si>
    <t>2627</t>
  </si>
  <si>
    <t>Pekoniemi, Mr. Edvard</t>
  </si>
  <si>
    <t>STON/O 2. 3101294</t>
  </si>
  <si>
    <t>Connors, Mr. Patrick</t>
  </si>
  <si>
    <t>370369</t>
  </si>
  <si>
    <t>Turpin, Mr. William John Robert</t>
  </si>
  <si>
    <t>Baxter, Mr. Quigg Edmond</t>
  </si>
  <si>
    <t>PC 17558</t>
  </si>
  <si>
    <t>B58 B60</t>
  </si>
  <si>
    <t>Andersson, Miss. Ellis Anna Maria</t>
  </si>
  <si>
    <t>Hickman, Mr. Stanley George</t>
  </si>
  <si>
    <t>Moore, Mr. Leonard Charles</t>
  </si>
  <si>
    <t>A4. 54510</t>
  </si>
  <si>
    <t>Nasser, Mr. Nicholas</t>
  </si>
  <si>
    <t>Webber, Miss. Susan</t>
  </si>
  <si>
    <t>27267</t>
  </si>
  <si>
    <t>E101</t>
  </si>
  <si>
    <t>White, Mr. Percival Wayland</t>
  </si>
  <si>
    <t>Nicola-Yarred, Master. Elias</t>
  </si>
  <si>
    <t>McMahon, Mr. Martin</t>
  </si>
  <si>
    <t>370372</t>
  </si>
  <si>
    <t>Madsen, Mr. Fridtjof Arne</t>
  </si>
  <si>
    <t>C 17369</t>
  </si>
  <si>
    <t>Peter, Miss. Anna</t>
  </si>
  <si>
    <t>2668</t>
  </si>
  <si>
    <t>F E69</t>
  </si>
  <si>
    <t>Ekstrom, Mr. Johan</t>
  </si>
  <si>
    <t>347061</t>
  </si>
  <si>
    <t>Drazenoic, Mr. Jozef</t>
  </si>
  <si>
    <t>349241</t>
  </si>
  <si>
    <t>Coelho, Mr. Domingos Fernandeo</t>
  </si>
  <si>
    <t>SOTON/O.Q. 3101307</t>
  </si>
  <si>
    <t>Robins, Mrs. Alexander A (Grace Charity Laury)</t>
  </si>
  <si>
    <t>A/5. 3337</t>
  </si>
  <si>
    <t>Weisz, Mrs. Leopold (Mathilde Francoise Pede)</t>
  </si>
  <si>
    <t>228414</t>
  </si>
  <si>
    <t>Sobey, Mr. Samuel James Hayden</t>
  </si>
  <si>
    <t>C.A. 29178</t>
  </si>
  <si>
    <t>Richard, Mr. Emile</t>
  </si>
  <si>
    <t>SC/PARIS 2133</t>
  </si>
  <si>
    <t>Newsom, Miss. Helen Monypeny</t>
  </si>
  <si>
    <t>11752</t>
  </si>
  <si>
    <t>D47</t>
  </si>
  <si>
    <t>Futrelle, Mr. Jacques Heath</t>
  </si>
  <si>
    <t>Osen, Mr. Olaf Elon</t>
  </si>
  <si>
    <t>7534</t>
  </si>
  <si>
    <t>Giglio, Mr. Victor</t>
  </si>
  <si>
    <t>PC 17593</t>
  </si>
  <si>
    <t>B86</t>
  </si>
  <si>
    <t>Boulos, Mrs. Joseph (Sultana)</t>
  </si>
  <si>
    <t>2678</t>
  </si>
  <si>
    <t>Nysten, Miss. Anna Sofia</t>
  </si>
  <si>
    <t>347081</t>
  </si>
  <si>
    <t>Hakkarainen, Mrs. Pekka Pietari (Elin Matilda Dolck)</t>
  </si>
  <si>
    <t>STON/O2. 3101279</t>
  </si>
  <si>
    <t>Burke, Mr. Jeremiah</t>
  </si>
  <si>
    <t>365222</t>
  </si>
  <si>
    <t>Andrew, Mr. Edgardo Samuel</t>
  </si>
  <si>
    <t>231945</t>
  </si>
  <si>
    <t>Nicholls, Mr. Joseph Charles</t>
  </si>
  <si>
    <t>C.A. 33112</t>
  </si>
  <si>
    <t>Andersson, Mr. August Edvard ("Wennerstrom")</t>
  </si>
  <si>
    <t>350043</t>
  </si>
  <si>
    <t>Ford, Miss. Robina Maggie "Ruby"</t>
  </si>
  <si>
    <t>Navratil, Mr. Michel ("Louis M Hoffman")</t>
  </si>
  <si>
    <t>230080</t>
  </si>
  <si>
    <t>F2</t>
  </si>
  <si>
    <t>Byles, Rev. Thomas Roussel Davids</t>
  </si>
  <si>
    <t>244310</t>
  </si>
  <si>
    <t>Bateman, Rev. Robert James</t>
  </si>
  <si>
    <t>S.O.P. 1166</t>
  </si>
  <si>
    <t>Pears, Mrs. Thomas (Edith Wearne)</t>
  </si>
  <si>
    <t>113776</t>
  </si>
  <si>
    <t>C2</t>
  </si>
  <si>
    <t>Meo, Mr. Alfonzo</t>
  </si>
  <si>
    <t>A.5. 11206</t>
  </si>
  <si>
    <t>van Billiard, Mr. Austin Blyler</t>
  </si>
  <si>
    <t>A/5. 851</t>
  </si>
  <si>
    <t>Olsen, Mr. Ole Martin</t>
  </si>
  <si>
    <t>Fa 265302</t>
  </si>
  <si>
    <t>Williams, Mr. Charles Duane</t>
  </si>
  <si>
    <t>PC 17597</t>
  </si>
  <si>
    <t>Gilnagh, Miss. Katherine "Katie"</t>
  </si>
  <si>
    <t>35851</t>
  </si>
  <si>
    <t>Corn, Mr. Harry</t>
  </si>
  <si>
    <t>SOTON/OQ 392090</t>
  </si>
  <si>
    <t>Smiljanic, Mr. Mile</t>
  </si>
  <si>
    <t>315037</t>
  </si>
  <si>
    <t>Sage, Master. Thomas Henry</t>
  </si>
  <si>
    <t>CA. 2343</t>
  </si>
  <si>
    <t>Cribb, Mr. John Hatfield</t>
  </si>
  <si>
    <t>371362</t>
  </si>
  <si>
    <t>Watt, Mrs. James (Elizabeth "Bessie" Inglis Milne)</t>
  </si>
  <si>
    <t>C.A. 33595</t>
  </si>
  <si>
    <t>Bengtsson, Mr. John Viktor</t>
  </si>
  <si>
    <t>347068</t>
  </si>
  <si>
    <t>Calic, Mr. Jovo</t>
  </si>
  <si>
    <t>315093</t>
  </si>
  <si>
    <t>Panula, Master. Eino Viljami</t>
  </si>
  <si>
    <t>Goldsmith, Master. Frank John William "Frankie"</t>
  </si>
  <si>
    <t>363291</t>
  </si>
  <si>
    <t>Chibnall, Mrs. (Edith Martha Bowerman)</t>
  </si>
  <si>
    <t>113505</t>
  </si>
  <si>
    <t>E33</t>
  </si>
  <si>
    <t>Skoog, Mrs. William (Anna Bernhardina Karlsson)</t>
  </si>
  <si>
    <t>Baumann, Mr. John D</t>
  </si>
  <si>
    <t>PC 17318</t>
  </si>
  <si>
    <t>Ling, Mr. Lee</t>
  </si>
  <si>
    <t>Van der hoef, Mr. Wyckoff</t>
  </si>
  <si>
    <t>111240</t>
  </si>
  <si>
    <t>B19</t>
  </si>
  <si>
    <t>Rice, Master. Arthur</t>
  </si>
  <si>
    <t>Johnson, Miss. Eleanor Ileen</t>
  </si>
  <si>
    <t>Sivola, Mr. Antti Wilhelm</t>
  </si>
  <si>
    <t>STON/O 2. 3101280</t>
  </si>
  <si>
    <t>Smith, Mr. James Clinch</t>
  </si>
  <si>
    <t>17764</t>
  </si>
  <si>
    <t>A7</t>
  </si>
  <si>
    <t>Klasen, Mr. Klas Albin</t>
  </si>
  <si>
    <t>350404</t>
  </si>
  <si>
    <t>Lefebre, Master. Henry Forbes</t>
  </si>
  <si>
    <t>4133</t>
  </si>
  <si>
    <t>Isham, Miss. Ann Elizabeth</t>
  </si>
  <si>
    <t>PC 17595</t>
  </si>
  <si>
    <t>C49</t>
  </si>
  <si>
    <t>Hale, Mr. Reginald</t>
  </si>
  <si>
    <t>250653</t>
  </si>
  <si>
    <t>Leonard, Mr. Lionel</t>
  </si>
  <si>
    <t>LINE</t>
  </si>
  <si>
    <t>Sage, Miss. Constance Gladys</t>
  </si>
  <si>
    <t>Pernot, Mr. Rene</t>
  </si>
  <si>
    <t>SC/PARIS 2131</t>
  </si>
  <si>
    <t>Asplund, Master. Clarence Gustaf Hugo</t>
  </si>
  <si>
    <t>Becker, Master. Richard F</t>
  </si>
  <si>
    <t>230136</t>
  </si>
  <si>
    <t>F4</t>
  </si>
  <si>
    <t>Kink-Heilmann, Miss. Luise Gretchen</t>
  </si>
  <si>
    <t>315153</t>
  </si>
  <si>
    <t>Rood, Mr. Hugh Roscoe</t>
  </si>
  <si>
    <t>113767</t>
  </si>
  <si>
    <t>A32</t>
  </si>
  <si>
    <t>O'Brien, Mrs. Thomas (Johanna "Hannah" Godfrey)</t>
  </si>
  <si>
    <t>370365</t>
  </si>
  <si>
    <t>Romaine, Mr. Charles Hallace ("Mr C Rolmane")</t>
  </si>
  <si>
    <t>111428</t>
  </si>
  <si>
    <t>Bourke, Mr. John</t>
  </si>
  <si>
    <t>364849</t>
  </si>
  <si>
    <t>Turcin, Mr. Stjepan</t>
  </si>
  <si>
    <t>349247</t>
  </si>
  <si>
    <t>Pinsky, Mrs. (Rosa)</t>
  </si>
  <si>
    <t>234604</t>
  </si>
  <si>
    <t>Carbines, Mr. William</t>
  </si>
  <si>
    <t>28424</t>
  </si>
  <si>
    <t>Andersen-Jensen, Miss. Carla Christine Nielsine</t>
  </si>
  <si>
    <t>350046</t>
  </si>
  <si>
    <t>Navratil, Master. Michel M</t>
  </si>
  <si>
    <t>Brown, Mrs. James Joseph (Margaret Tobin)</t>
  </si>
  <si>
    <t>PC 17610</t>
  </si>
  <si>
    <t>B4</t>
  </si>
  <si>
    <t>Lurette, Miss. Elise</t>
  </si>
  <si>
    <t>B80</t>
  </si>
  <si>
    <t>Mernagh, Mr. Robert</t>
  </si>
  <si>
    <t>368703</t>
  </si>
  <si>
    <t>Olsen, Mr. Karl Siegwart Andreas</t>
  </si>
  <si>
    <t>4579</t>
  </si>
  <si>
    <t>Madigan, Miss. Margaret "Maggie"</t>
  </si>
  <si>
    <t>370370</t>
  </si>
  <si>
    <t>Yrois, Miss. Henriette ("Mrs Harbeck")</t>
  </si>
  <si>
    <t>248747</t>
  </si>
  <si>
    <t>Vande Walle, Mr. Nestor Cyriel</t>
  </si>
  <si>
    <t>345770</t>
  </si>
  <si>
    <t>Sage, Mr. Frederick</t>
  </si>
  <si>
    <t>Johanson, Mr. Jakob Alfred</t>
  </si>
  <si>
    <t>3101264</t>
  </si>
  <si>
    <t>Youseff, Mr. Gerious</t>
  </si>
  <si>
    <t>2628</t>
  </si>
  <si>
    <t>Cohen, Mr. Gurshon "Gus"</t>
  </si>
  <si>
    <t>A/5 3540</t>
  </si>
  <si>
    <t>Strom, Miss. Telma Matilda</t>
  </si>
  <si>
    <t>347054</t>
  </si>
  <si>
    <t>Backstrom, Mr. Karl Alfred</t>
  </si>
  <si>
    <t>Albimona, Mr. Nassef Cassem</t>
  </si>
  <si>
    <t>2699</t>
  </si>
  <si>
    <t>Carr, Miss. Helen "Ellen"</t>
  </si>
  <si>
    <t>367231</t>
  </si>
  <si>
    <t>Blank, Mr. Henry</t>
  </si>
  <si>
    <t>112277</t>
  </si>
  <si>
    <t>A31</t>
  </si>
  <si>
    <t>Ali, Mr. Ahmed</t>
  </si>
  <si>
    <t>SOTON/O.Q. 3101311</t>
  </si>
  <si>
    <t>Cameron, Miss. Clear Annie</t>
  </si>
  <si>
    <t>F.C.C. 13528</t>
  </si>
  <si>
    <t>Perkin, Mr. John Henry</t>
  </si>
  <si>
    <t>A/5 21174</t>
  </si>
  <si>
    <t>Givard, Mr. Hans Kristensen</t>
  </si>
  <si>
    <t>250646</t>
  </si>
  <si>
    <t>Kiernan, Mr. Philip</t>
  </si>
  <si>
    <t>367229</t>
  </si>
  <si>
    <t>Newell, Miss. Madeleine</t>
  </si>
  <si>
    <t>35273</t>
  </si>
  <si>
    <t>D36</t>
  </si>
  <si>
    <t>Honkanen, Miss. Eliina</t>
  </si>
  <si>
    <t>STON/O2. 3101283</t>
  </si>
  <si>
    <t>Jacobsohn, Mr. Sidney Samuel</t>
  </si>
  <si>
    <t>243847</t>
  </si>
  <si>
    <t>Bazzani, Miss. Albina</t>
  </si>
  <si>
    <t>11813</t>
  </si>
  <si>
    <t>D15</t>
  </si>
  <si>
    <t>Harris, Mr. Walter</t>
  </si>
  <si>
    <t>W/C 14208</t>
  </si>
  <si>
    <t>Sunderland, Mr. Victor Francis</t>
  </si>
  <si>
    <t>SOTON/OQ 392089</t>
  </si>
  <si>
    <t>Bracken, Mr. James H</t>
  </si>
  <si>
    <t>220367</t>
  </si>
  <si>
    <t>Green, Mr. George Henry</t>
  </si>
  <si>
    <t>21440</t>
  </si>
  <si>
    <t>Nenkoff, Mr. Christo</t>
  </si>
  <si>
    <t>349234</t>
  </si>
  <si>
    <t>Hoyt, Mr. Frederick Maxfield</t>
  </si>
  <si>
    <t>19943</t>
  </si>
  <si>
    <t>C93</t>
  </si>
  <si>
    <t>Berglund, Mr. Karl Ivar Sven</t>
  </si>
  <si>
    <t>PP 4348</t>
  </si>
  <si>
    <t>Mellors, Mr. William John</t>
  </si>
  <si>
    <t>SW/PP 751</t>
  </si>
  <si>
    <t>Lovell, Mr. John Hall ("Henry")</t>
  </si>
  <si>
    <t>A/5 21173</t>
  </si>
  <si>
    <t>Fahlstrom, Mr. Arne Jonas</t>
  </si>
  <si>
    <t>236171</t>
  </si>
  <si>
    <t>Lefebre, Miss. Mathilde</t>
  </si>
  <si>
    <t>Harris, Mrs. Henry Birkhardt (Irene Wallach)</t>
  </si>
  <si>
    <t>Larsson, Mr. Bengt Edvin</t>
  </si>
  <si>
    <t>347067</t>
  </si>
  <si>
    <t>Sjostedt, Mr. Ernst Adolf</t>
  </si>
  <si>
    <t>237442</t>
  </si>
  <si>
    <t>Asplund, Miss. Lillian Gertrud</t>
  </si>
  <si>
    <t>Leyson, Mr. Robert William Norman</t>
  </si>
  <si>
    <t>C.A. 29566</t>
  </si>
  <si>
    <t>Harknett, Miss. Alice Phoebe</t>
  </si>
  <si>
    <t>W./C. 6609</t>
  </si>
  <si>
    <t>Hold, Mr. Stephen</t>
  </si>
  <si>
    <t>26707</t>
  </si>
  <si>
    <t>Collyer, Miss. Marjorie "Lottie"</t>
  </si>
  <si>
    <t>C.A. 31921</t>
  </si>
  <si>
    <t>Pengelly, Mr. Frederick William</t>
  </si>
  <si>
    <t>28665</t>
  </si>
  <si>
    <t>Hunt, Mr. George Henry</t>
  </si>
  <si>
    <t>SCO/W 1585</t>
  </si>
  <si>
    <t>Zabour, Miss. Thamine</t>
  </si>
  <si>
    <t>Murphy, Miss. Katherine "Kate"</t>
  </si>
  <si>
    <t>367230</t>
  </si>
  <si>
    <t>Coleridge, Mr. Reginald Charles</t>
  </si>
  <si>
    <t>W./C. 14263</t>
  </si>
  <si>
    <t>Maenpaa, Mr. Matti Alexanteri</t>
  </si>
  <si>
    <t>STON/O 2. 3101275</t>
  </si>
  <si>
    <t>Attalah, Mr. Sleiman</t>
  </si>
  <si>
    <t>2694</t>
  </si>
  <si>
    <t>Minahan, Dr. William Edward</t>
  </si>
  <si>
    <t>19928</t>
  </si>
  <si>
    <t>C78</t>
  </si>
  <si>
    <t>Lindahl, Miss. Agda Thorilda Viktoria</t>
  </si>
  <si>
    <t>347071</t>
  </si>
  <si>
    <t>Hamalainen, Mrs. William (Anna)</t>
  </si>
  <si>
    <t>250649</t>
  </si>
  <si>
    <t>Beckwith, Mr. Richard Leonard</t>
  </si>
  <si>
    <t>11751</t>
  </si>
  <si>
    <t>D35</t>
  </si>
  <si>
    <t>Carter, Rev. Ernest Courtenay</t>
  </si>
  <si>
    <t>244252</t>
  </si>
  <si>
    <t>Reed, Mr. James George</t>
  </si>
  <si>
    <t>362316</t>
  </si>
  <si>
    <t>Strom, Mrs. Wilhelm (Elna Matilda Persson)</t>
  </si>
  <si>
    <t>Stead, Mr. William Thomas</t>
  </si>
  <si>
    <t>113514</t>
  </si>
  <si>
    <t>C87</t>
  </si>
  <si>
    <t>Lobb, Mr. William Arthur</t>
  </si>
  <si>
    <t>A/5. 3336</t>
  </si>
  <si>
    <t>Rosblom, Mrs. Viktor (Helena Wilhelmina)</t>
  </si>
  <si>
    <t>370129</t>
  </si>
  <si>
    <t>Touma, Mrs. Darwis (Hanne Youssef Razi)</t>
  </si>
  <si>
    <t>2650</t>
  </si>
  <si>
    <t>Thorne, Mrs. Gertrude Maybelle</t>
  </si>
  <si>
    <t>PC 17585</t>
  </si>
  <si>
    <t>Cherry, Miss. Gladys</t>
  </si>
  <si>
    <t>110152</t>
  </si>
  <si>
    <t>B77</t>
  </si>
  <si>
    <t>Ward, Miss. Anna</t>
  </si>
  <si>
    <t>PC 17755</t>
  </si>
  <si>
    <t>Parrish, Mrs. (Lutie Davis)</t>
  </si>
  <si>
    <t>230433</t>
  </si>
  <si>
    <t>Smith, Mr. Thomas</t>
  </si>
  <si>
    <t>384461</t>
  </si>
  <si>
    <t>Asplund, Master. Edvin Rojj Felix</t>
  </si>
  <si>
    <t>Taussig, Mr. Emil</t>
  </si>
  <si>
    <t>110413</t>
  </si>
  <si>
    <t>E67</t>
  </si>
  <si>
    <t>Harrison, Mr. William</t>
  </si>
  <si>
    <t>112059</t>
  </si>
  <si>
    <t>B94</t>
  </si>
  <si>
    <t>Henry, Miss. Delia</t>
  </si>
  <si>
    <t>382649</t>
  </si>
  <si>
    <t>Reeves, Mr. David</t>
  </si>
  <si>
    <t>C.A. 17248</t>
  </si>
  <si>
    <t>Panula, Mr. Ernesti Arvid</t>
  </si>
  <si>
    <t>Persson, Mr. Ernst Ulrik</t>
  </si>
  <si>
    <t>347083</t>
  </si>
  <si>
    <t>Graham, Mrs. William Thompson (Edith Junkins)</t>
  </si>
  <si>
    <t>PC 17582</t>
  </si>
  <si>
    <t>C125</t>
  </si>
  <si>
    <t>Bissette, Miss. Amelia</t>
  </si>
  <si>
    <t>PC 17760</t>
  </si>
  <si>
    <t>C99</t>
  </si>
  <si>
    <t>Cairns, Mr. Alexander</t>
  </si>
  <si>
    <t>113798</t>
  </si>
  <si>
    <t>Tornquist, Mr. William Henry</t>
  </si>
  <si>
    <t>Mellinger, Mrs. (Elizabeth Anne Maidment)</t>
  </si>
  <si>
    <t>250644</t>
  </si>
  <si>
    <t>Natsch, Mr. Charles H</t>
  </si>
  <si>
    <t>PC 17596</t>
  </si>
  <si>
    <t>C118</t>
  </si>
  <si>
    <t>Healy, Miss. Hanora "Nora"</t>
  </si>
  <si>
    <t>370375</t>
  </si>
  <si>
    <t>Andrews, Miss. Kornelia Theodosia</t>
  </si>
  <si>
    <t>13502</t>
  </si>
  <si>
    <t>D7</t>
  </si>
  <si>
    <t>Lindblom, Miss. Augusta Charlotta</t>
  </si>
  <si>
    <t>347073</t>
  </si>
  <si>
    <t>Parkes, Mr. Francis "Frank"</t>
  </si>
  <si>
    <t>239853</t>
  </si>
  <si>
    <t>Rice, Master. Eric</t>
  </si>
  <si>
    <t>Abbott, Mrs. Stanton (Rosa Hunt)</t>
  </si>
  <si>
    <t>C.A. 2673</t>
  </si>
  <si>
    <t>Duane, Mr. Frank</t>
  </si>
  <si>
    <t>336439</t>
  </si>
  <si>
    <t>Olsson, Mr. Nils Johan Goransson</t>
  </si>
  <si>
    <t>347464</t>
  </si>
  <si>
    <t>de Pelsmaeker, Mr. Alfons</t>
  </si>
  <si>
    <t>345778</t>
  </si>
  <si>
    <t>Dorking, Mr. Edward Arthur</t>
  </si>
  <si>
    <t>A/5. 10482</t>
  </si>
  <si>
    <t>Smith, Mr. Richard William</t>
  </si>
  <si>
    <t>113056</t>
  </si>
  <si>
    <t>A19</t>
  </si>
  <si>
    <t>Stankovic, Mr. Ivan</t>
  </si>
  <si>
    <t>349239</t>
  </si>
  <si>
    <t>de Mulder, Mr. Theodore</t>
  </si>
  <si>
    <t>345774</t>
  </si>
  <si>
    <t>Naidenoff, Mr. Penko</t>
  </si>
  <si>
    <t>349206</t>
  </si>
  <si>
    <t>Hosono, Mr. Masabumi</t>
  </si>
  <si>
    <t>237798</t>
  </si>
  <si>
    <t>Connolly, Miss. Kate</t>
  </si>
  <si>
    <t>370373</t>
  </si>
  <si>
    <t>Barber, Miss. Ellen "Nellie"</t>
  </si>
  <si>
    <t>19877</t>
  </si>
  <si>
    <t>Bishop, Mrs. Dickinson H (Helen Walton)</t>
  </si>
  <si>
    <t>11967</t>
  </si>
  <si>
    <t>B49</t>
  </si>
  <si>
    <t>Levy, Mr. Rene Jacques</t>
  </si>
  <si>
    <t>SC/Paris 2163</t>
  </si>
  <si>
    <t>D</t>
  </si>
  <si>
    <t>Haas, Miss. Aloisia</t>
  </si>
  <si>
    <t>349236</t>
  </si>
  <si>
    <t>Mineff, Mr. Ivan</t>
  </si>
  <si>
    <t>349233</t>
  </si>
  <si>
    <t>Lewy, Mr. Ervin G</t>
  </si>
  <si>
    <t>PC 17612</t>
  </si>
  <si>
    <t>Hanna, Mr. Mansour</t>
  </si>
  <si>
    <t>2693</t>
  </si>
  <si>
    <t>Allison, Miss. Helen Loraine</t>
  </si>
  <si>
    <t>113781</t>
  </si>
  <si>
    <t>C22 C26</t>
  </si>
  <si>
    <t>Saalfeld, Mr. Adolphe</t>
  </si>
  <si>
    <t>19988</t>
  </si>
  <si>
    <t>C106</t>
  </si>
  <si>
    <t>Baxter, Mrs. James (Helene DeLaudeniere Chaput)</t>
  </si>
  <si>
    <t>Kelly, Miss. Anna Katherine "Annie Kate"</t>
  </si>
  <si>
    <t>9234</t>
  </si>
  <si>
    <t>McCoy, Mr. Bernard</t>
  </si>
  <si>
    <t>367226</t>
  </si>
  <si>
    <t>Johnson, Mr. William Cahoone Jr</t>
  </si>
  <si>
    <t>Keane, Miss. Nora A</t>
  </si>
  <si>
    <t>226593</t>
  </si>
  <si>
    <t>Williams, Mr. Howard Hugh "Harry"</t>
  </si>
  <si>
    <t>A/5 2466</t>
  </si>
  <si>
    <t>Allison, Master. Hudson Trevor</t>
  </si>
  <si>
    <t>Fleming, Miss. Margaret</t>
  </si>
  <si>
    <t>17421</t>
  </si>
  <si>
    <t>Penasco y Castellana, Mrs. Victor de Satode (Maria Josefa Perez de Soto y Vallejo)</t>
  </si>
  <si>
    <t>PC 17758</t>
  </si>
  <si>
    <t>C65</t>
  </si>
  <si>
    <t>Abelson, Mr. Samuel</t>
  </si>
  <si>
    <t>P/PP 3381</t>
  </si>
  <si>
    <t>Francatelli, Miss. Laura Mabel</t>
  </si>
  <si>
    <t>PC 17485</t>
  </si>
  <si>
    <t>E36</t>
  </si>
  <si>
    <t>Hays, Miss. Margaret Bechstein</t>
  </si>
  <si>
    <t>11767</t>
  </si>
  <si>
    <t>C54</t>
  </si>
  <si>
    <t>Ryerson, Miss. Emily Borie</t>
  </si>
  <si>
    <t>PC 17608</t>
  </si>
  <si>
    <t>B57 B59 B63 B66</t>
  </si>
  <si>
    <t>Lahtinen, Mrs. William (Anna Sylfven)</t>
  </si>
  <si>
    <t>250651</t>
  </si>
  <si>
    <t>Hendekovic, Mr. Ignjac</t>
  </si>
  <si>
    <t>349243</t>
  </si>
  <si>
    <t>Hart, Mr. Benjamin</t>
  </si>
  <si>
    <t>F.C.C. 13529</t>
  </si>
  <si>
    <t>Nilsson, Miss. Helmina Josefina</t>
  </si>
  <si>
    <t>347470</t>
  </si>
  <si>
    <t>Kantor, Mrs. Sinai (Miriam Sternin)</t>
  </si>
  <si>
    <t>Moraweck, Dr. Ernest</t>
  </si>
  <si>
    <t>29011</t>
  </si>
  <si>
    <t>Wick, Miss. Mary Natalie</t>
  </si>
  <si>
    <t>36928</t>
  </si>
  <si>
    <t>C7</t>
  </si>
  <si>
    <t>Spedden, Mrs. Frederic Oakley (Margaretta Corning Stone)</t>
  </si>
  <si>
    <t>16966</t>
  </si>
  <si>
    <t>E34</t>
  </si>
  <si>
    <t>Dennis, Mr. Samuel</t>
  </si>
  <si>
    <t>A/5 21172</t>
  </si>
  <si>
    <t>Danoff, Mr. Yoto</t>
  </si>
  <si>
    <t>349219</t>
  </si>
  <si>
    <t>Slayter, Miss. Hilda Mary</t>
  </si>
  <si>
    <t>234818</t>
  </si>
  <si>
    <t>Caldwell, Mrs. Albert Francis (Sylvia Mae Harbaugh)</t>
  </si>
  <si>
    <t>Sage, Mr. George John Jr</t>
  </si>
  <si>
    <t>Young, Miss. Marie Grice</t>
  </si>
  <si>
    <t>C32</t>
  </si>
  <si>
    <t>Nysveen, Mr. Johan Hansen</t>
  </si>
  <si>
    <t>345364</t>
  </si>
  <si>
    <t>Ball, Mrs. (Ada E Hall)</t>
  </si>
  <si>
    <t>28551</t>
  </si>
  <si>
    <t>Goldsmith, Mrs. Frank John (Emily Alice Brown)</t>
  </si>
  <si>
    <t>Hippach, Miss. Jean Gertrude</t>
  </si>
  <si>
    <t>111361</t>
  </si>
  <si>
    <t>B18</t>
  </si>
  <si>
    <t>McCoy, Miss. Agnes</t>
  </si>
  <si>
    <t>Partner, Mr. Austen</t>
  </si>
  <si>
    <t>113043</t>
  </si>
  <si>
    <t>C124</t>
  </si>
  <si>
    <t>Graham, Mr. George Edward</t>
  </si>
  <si>
    <t>C91</t>
  </si>
  <si>
    <t>Vander Planke, Mr. Leo Edmondus</t>
  </si>
  <si>
    <t>Frauenthal, Mrs. Henry William (Clara Heinsheimer)</t>
  </si>
  <si>
    <t>PC 17611</t>
  </si>
  <si>
    <t>Denkoff, Mr. Mitto</t>
  </si>
  <si>
    <t>349225</t>
  </si>
  <si>
    <t>Pears, Mr. Thomas Clinton</t>
  </si>
  <si>
    <t>Burns, Miss. Elizabeth Margaret</t>
  </si>
  <si>
    <t>E40</t>
  </si>
  <si>
    <t>Dahl, Mr. Karl Edwart</t>
  </si>
  <si>
    <t>7598</t>
  </si>
  <si>
    <t>Blackwell, Mr. Stephen Weart</t>
  </si>
  <si>
    <t>113784</t>
  </si>
  <si>
    <t>T</t>
  </si>
  <si>
    <t>Navratil, Master. Edmond Roger</t>
  </si>
  <si>
    <t>Fortune, Miss. Alice Elizabeth</t>
  </si>
  <si>
    <t>Collander, Mr. Erik Gustaf</t>
  </si>
  <si>
    <t>248740</t>
  </si>
  <si>
    <t>Sedgwick, Mr. Charles Frederick Waddington</t>
  </si>
  <si>
    <t>244361</t>
  </si>
  <si>
    <t>Fox, Mr. Stanley Hubert</t>
  </si>
  <si>
    <t>229236</t>
  </si>
  <si>
    <t>Brown, Miss. Amelia "Mildred"</t>
  </si>
  <si>
    <t>248733</t>
  </si>
  <si>
    <t>Smith, Miss. Marion Elsie</t>
  </si>
  <si>
    <t>31418</t>
  </si>
  <si>
    <t>Davison, Mrs. Thomas Henry (Mary E Finck)</t>
  </si>
  <si>
    <t>386525</t>
  </si>
  <si>
    <t>Coutts, Master. William Loch "William"</t>
  </si>
  <si>
    <t>C.A. 37671</t>
  </si>
  <si>
    <t>Dimic, Mr. Jovan</t>
  </si>
  <si>
    <t>315088</t>
  </si>
  <si>
    <t>Odahl, Mr. Nils Martin</t>
  </si>
  <si>
    <t>7267</t>
  </si>
  <si>
    <t>Williams-Lambert, Mr. Fletcher Fellows</t>
  </si>
  <si>
    <t>113510</t>
  </si>
  <si>
    <t>C128</t>
  </si>
  <si>
    <t>Elias, Mr. Tannous</t>
  </si>
  <si>
    <t>2695</t>
  </si>
  <si>
    <t>Arnold-Franchi, Mr. Josef</t>
  </si>
  <si>
    <t>Yousif, Mr. Wazli</t>
  </si>
  <si>
    <t>2647</t>
  </si>
  <si>
    <t>Vanden Steen, Mr. Leo Peter</t>
  </si>
  <si>
    <t>345783</t>
  </si>
  <si>
    <t>Bowerman, Miss. Elsie Edith</t>
  </si>
  <si>
    <t>Funk, Miss. Annie Clemmer</t>
  </si>
  <si>
    <t>237671</t>
  </si>
  <si>
    <t>McGovern, Miss. Mary</t>
  </si>
  <si>
    <t>330931</t>
  </si>
  <si>
    <t>Mockler, Miss. Helen Mary "Ellie"</t>
  </si>
  <si>
    <t>330980</t>
  </si>
  <si>
    <t>Skoog, Mr. Wilhelm</t>
  </si>
  <si>
    <t>del Carlo, Mr. Sebastiano</t>
  </si>
  <si>
    <t>SC/PARIS 2167</t>
  </si>
  <si>
    <t>Barbara, Mrs. (Catherine David)</t>
  </si>
  <si>
    <t>2691</t>
  </si>
  <si>
    <t>Asim, Mr. Adola</t>
  </si>
  <si>
    <t>SOTON/O.Q. 3101310</t>
  </si>
  <si>
    <t>O'Brien, Mr. Thomas</t>
  </si>
  <si>
    <t>Adahl, Mr. Mauritz Nils Martin</t>
  </si>
  <si>
    <t>C 7076</t>
  </si>
  <si>
    <t>Warren, Mrs. Frank Manley (Anna Sophia Atkinson)</t>
  </si>
  <si>
    <t>110813</t>
  </si>
  <si>
    <t>D37</t>
  </si>
  <si>
    <t>Moussa, Mrs. (Mantoura Boulos)</t>
  </si>
  <si>
    <t>2626</t>
  </si>
  <si>
    <t>Jermyn, Miss. Annie</t>
  </si>
  <si>
    <t>14313</t>
  </si>
  <si>
    <t>Aubart, Mme. Leontine Pauline</t>
  </si>
  <si>
    <t>PC 17477</t>
  </si>
  <si>
    <t>B35</t>
  </si>
  <si>
    <t>Harder, Mr. George Achilles</t>
  </si>
  <si>
    <t>11765</t>
  </si>
  <si>
    <t>E50</t>
  </si>
  <si>
    <t>Wiklund, Mr. Jakob Alfred</t>
  </si>
  <si>
    <t>3101267</t>
  </si>
  <si>
    <t>Beavan, Mr. William Thomas</t>
  </si>
  <si>
    <t>323951</t>
  </si>
  <si>
    <t>Ringhini, Mr. Sante</t>
  </si>
  <si>
    <t>Palsson, Miss. Stina Viola</t>
  </si>
  <si>
    <t>Meyer, Mrs. Edgar Joseph (Leila Saks)</t>
  </si>
  <si>
    <t>Landergren, Miss. Aurora Adelia</t>
  </si>
  <si>
    <t>C 7077</t>
  </si>
  <si>
    <t>Widener, Mr. Harry Elkins</t>
  </si>
  <si>
    <t>113503</t>
  </si>
  <si>
    <t>C82</t>
  </si>
  <si>
    <t>Betros, Mr. Tannous</t>
  </si>
  <si>
    <t>2648</t>
  </si>
  <si>
    <t>Gustafsson, Mr. Karl Gideon</t>
  </si>
  <si>
    <t>347069</t>
  </si>
  <si>
    <t>Bidois, Miss. Rosalie</t>
  </si>
  <si>
    <t>PC 17757</t>
  </si>
  <si>
    <t>Nakid, Miss. Maria ("Mary")</t>
  </si>
  <si>
    <t>2653</t>
  </si>
  <si>
    <t>Tikkanen, Mr. Juho</t>
  </si>
  <si>
    <t>STON/O 2. 3101293</t>
  </si>
  <si>
    <t>Holverson, Mrs. Alexander Oskar (Mary Aline Towner)</t>
  </si>
  <si>
    <t>Plotcharsky, Mr. Vasil</t>
  </si>
  <si>
    <t>349227</t>
  </si>
  <si>
    <t>Davies, Mr. Charles Henry</t>
  </si>
  <si>
    <t>Goodwin, Master. Sidney Leonard</t>
  </si>
  <si>
    <t>Buss, Miss. Kate</t>
  </si>
  <si>
    <t>27849</t>
  </si>
  <si>
    <t>Sadlier, Mr. Matthew</t>
  </si>
  <si>
    <t>367655</t>
  </si>
  <si>
    <t>Lehmann, Miss. Bertha</t>
  </si>
  <si>
    <t>SC 1748</t>
  </si>
  <si>
    <t>Carter, Mr. William Ernest</t>
  </si>
  <si>
    <t>113760</t>
  </si>
  <si>
    <t>B96 B98</t>
  </si>
  <si>
    <t>Jansson, Mr. Carl Olof</t>
  </si>
  <si>
    <t>350034</t>
  </si>
  <si>
    <t>Gustafsson, Mr. Johan Birger</t>
  </si>
  <si>
    <t>3101277</t>
  </si>
  <si>
    <t>Newell, Miss. Marjorie</t>
  </si>
  <si>
    <t>Sandstrom, Mrs. Hjalmar (Agnes Charlotta Bengtsson)</t>
  </si>
  <si>
    <t>Johansson, Mr. Erik</t>
  </si>
  <si>
    <t>350052</t>
  </si>
  <si>
    <t>Olsson, Miss. Elina</t>
  </si>
  <si>
    <t>350407</t>
  </si>
  <si>
    <t>McKane, Mr. Peter David</t>
  </si>
  <si>
    <t>28403</t>
  </si>
  <si>
    <t>Pain, Dr. Alfred</t>
  </si>
  <si>
    <t>244278</t>
  </si>
  <si>
    <t>Trout, Mrs. William H (Jessie L)</t>
  </si>
  <si>
    <t>240929</t>
  </si>
  <si>
    <t>Niskanen, Mr. Juha</t>
  </si>
  <si>
    <t>STON/O 2. 3101289</t>
  </si>
  <si>
    <t>Adams, Mr. John</t>
  </si>
  <si>
    <t>341826</t>
  </si>
  <si>
    <t>Jussila, Miss. Mari Aina</t>
  </si>
  <si>
    <t>4137</t>
  </si>
  <si>
    <t>Hakkarainen, Mr. Pekka Pietari</t>
  </si>
  <si>
    <t>Oreskovic, Miss. Marija</t>
  </si>
  <si>
    <t>315096</t>
  </si>
  <si>
    <t>Gale, Mr. Shadrach</t>
  </si>
  <si>
    <t>28664</t>
  </si>
  <si>
    <t>Widegren, Mr. Carl/Charles Peter</t>
  </si>
  <si>
    <t>347064</t>
  </si>
  <si>
    <t>Richards, Master. William Rowe</t>
  </si>
  <si>
    <t>29106</t>
  </si>
  <si>
    <t>Birkeland, Mr. Hans Martin Monsen</t>
  </si>
  <si>
    <t>312992</t>
  </si>
  <si>
    <t>Lefebre, Miss. Ida</t>
  </si>
  <si>
    <t>Sdycoff, Mr. Todor</t>
  </si>
  <si>
    <t>349222</t>
  </si>
  <si>
    <t>Hart, Mr. Henry</t>
  </si>
  <si>
    <t>394140</t>
  </si>
  <si>
    <t>Minahan, Miss. Daisy E</t>
  </si>
  <si>
    <t>Cunningham, Mr. Alfred Fleming</t>
  </si>
  <si>
    <t>Sundman, Mr. Johan Julian</t>
  </si>
  <si>
    <t>STON/O 2. 3101269</t>
  </si>
  <si>
    <t>Meek, Mrs. Thomas (Annie Louise Rowley)</t>
  </si>
  <si>
    <t>343095</t>
  </si>
  <si>
    <t>Drew, Mrs. James Vivian (Lulu Thorne Christian)</t>
  </si>
  <si>
    <t>28220</t>
  </si>
  <si>
    <t>Silven, Miss. Lyyli Karoliina</t>
  </si>
  <si>
    <t>250652</t>
  </si>
  <si>
    <t>Matthews, Mr. William John</t>
  </si>
  <si>
    <t>28228</t>
  </si>
  <si>
    <t>Van Impe, Miss. Catharina</t>
  </si>
  <si>
    <t>345773</t>
  </si>
  <si>
    <t>Gheorgheff, Mr. Stanio</t>
  </si>
  <si>
    <t>349254</t>
  </si>
  <si>
    <t>Charters, Mr. David</t>
  </si>
  <si>
    <t>A/5. 13032</t>
  </si>
  <si>
    <t>Zimmerman, Mr. Leo</t>
  </si>
  <si>
    <t>315082</t>
  </si>
  <si>
    <t>Danbom, Mrs. Ernst Gilbert (Anna Sigrid Maria Brogren)</t>
  </si>
  <si>
    <t>347080</t>
  </si>
  <si>
    <t>Rosblom, Mr. Viktor Richard</t>
  </si>
  <si>
    <t>Wiseman, Mr. Phillippe</t>
  </si>
  <si>
    <t>A/4. 34244</t>
  </si>
  <si>
    <t>Clarke, Mrs. Charles V (Ada Maria Winfield)</t>
  </si>
  <si>
    <t>2003</t>
  </si>
  <si>
    <t>Phillips, Miss. Kate Florence ("Mrs Kate Louise Phillips Marshall")</t>
  </si>
  <si>
    <t>250655</t>
  </si>
  <si>
    <t>Flynn, Mr. James</t>
  </si>
  <si>
    <t>364851</t>
  </si>
  <si>
    <t>Pickard, Mr. Berk (Berk Trembisky)</t>
  </si>
  <si>
    <t>SOTON/O.Q. 392078</t>
  </si>
  <si>
    <t>E10</t>
  </si>
  <si>
    <t>Bjornstrom-Steffansson, Mr. Mauritz Hakan</t>
  </si>
  <si>
    <t>110564</t>
  </si>
  <si>
    <t>Thorneycroft, Mrs. Percival (Florence Kate White)</t>
  </si>
  <si>
    <t>376564</t>
  </si>
  <si>
    <t>Louch, Mrs. Charles Alexander (Alice Adelaide Slow)</t>
  </si>
  <si>
    <t>SC/AH 3085</t>
  </si>
  <si>
    <t>Kallio, Mr. Nikolai Erland</t>
  </si>
  <si>
    <t>STON/O 2. 3101274</t>
  </si>
  <si>
    <t>Silvey, Mr. William Baird</t>
  </si>
  <si>
    <t>13507</t>
  </si>
  <si>
    <t>E44</t>
  </si>
  <si>
    <t>Carter, Miss. Lucile Polk</t>
  </si>
  <si>
    <t>Ford, Miss. Doolina Margaret "Daisy"</t>
  </si>
  <si>
    <t>Richards, Mrs. Sidney (Emily Hocking)</t>
  </si>
  <si>
    <t>Fortune, Mr. Mark</t>
  </si>
  <si>
    <t>Kvillner, Mr. Johan Henrik Johannesson</t>
  </si>
  <si>
    <t>C.A. 18723</t>
  </si>
  <si>
    <t>Hart, Mrs. Benjamin (Esther Ada Bloomfield)</t>
  </si>
  <si>
    <t>Hampe, Mr. Leon</t>
  </si>
  <si>
    <t>345769</t>
  </si>
  <si>
    <t>Petterson, Mr. Johan Emil</t>
  </si>
  <si>
    <t>347076</t>
  </si>
  <si>
    <t>Reynaldo, Ms. Encarnacion</t>
  </si>
  <si>
    <t>230434</t>
  </si>
  <si>
    <t>Johannesen-Bratthammer, Mr. Bernt</t>
  </si>
  <si>
    <t>65306</t>
  </si>
  <si>
    <t>Dodge, Master. Washington</t>
  </si>
  <si>
    <t>33638</t>
  </si>
  <si>
    <t>A34</t>
  </si>
  <si>
    <t>Mellinger, Miss. Madeleine Violet</t>
  </si>
  <si>
    <t>Seward, Mr. Frederic Kimber</t>
  </si>
  <si>
    <t>113794</t>
  </si>
  <si>
    <t>Baclini, Miss. Marie Catherine</t>
  </si>
  <si>
    <t>2666</t>
  </si>
  <si>
    <t>Peuchen, Major. Arthur Godfrey</t>
  </si>
  <si>
    <t>113786</t>
  </si>
  <si>
    <t>C104</t>
  </si>
  <si>
    <t>West, Mr. Edwy Arthur</t>
  </si>
  <si>
    <t>Hagland, Mr. Ingvald Olai Olsen</t>
  </si>
  <si>
    <t>65303</t>
  </si>
  <si>
    <t>Foreman, Mr. Benjamin Laventall</t>
  </si>
  <si>
    <t>113051</t>
  </si>
  <si>
    <t>C111</t>
  </si>
  <si>
    <t>Goldenberg, Mr. Samuel L</t>
  </si>
  <si>
    <t>17453</t>
  </si>
  <si>
    <t>C92</t>
  </si>
  <si>
    <t>Peduzzi, Mr. Joseph</t>
  </si>
  <si>
    <t>A/5 2817</t>
  </si>
  <si>
    <t>Jalsevac, Mr. Ivan</t>
  </si>
  <si>
    <t>349240</t>
  </si>
  <si>
    <t>Millet, Mr. Francis Davis</t>
  </si>
  <si>
    <t>13509</t>
  </si>
  <si>
    <t>E38</t>
  </si>
  <si>
    <t>Kenyon, Mrs. Frederick R (Marion)</t>
  </si>
  <si>
    <t>17464</t>
  </si>
  <si>
    <t>D21</t>
  </si>
  <si>
    <t>Toomey, Miss. Ellen</t>
  </si>
  <si>
    <t>F.C.C. 13531</t>
  </si>
  <si>
    <t>O'Connor, Mr. Maurice</t>
  </si>
  <si>
    <t>371060</t>
  </si>
  <si>
    <t>Anderson, Mr. Harry</t>
  </si>
  <si>
    <t>19952</t>
  </si>
  <si>
    <t>E12</t>
  </si>
  <si>
    <t>Morley, Mr. William</t>
  </si>
  <si>
    <t>364506</t>
  </si>
  <si>
    <t>Gee, Mr. Arthur H</t>
  </si>
  <si>
    <t>111320</t>
  </si>
  <si>
    <t>E63</t>
  </si>
  <si>
    <t>Milling, Mr. Jacob Christian</t>
  </si>
  <si>
    <t>234360</t>
  </si>
  <si>
    <t>Maisner, Mr. Simon</t>
  </si>
  <si>
    <t>A/S 2816</t>
  </si>
  <si>
    <t>Goncalves, Mr. Manuel Estanslas</t>
  </si>
  <si>
    <t>SOTON/O.Q. 3101306</t>
  </si>
  <si>
    <t>Campbell, Mr. William</t>
  </si>
  <si>
    <t>Smart, Mr. John Montgomery</t>
  </si>
  <si>
    <t>113792</t>
  </si>
  <si>
    <t>Scanlan, Mr. James</t>
  </si>
  <si>
    <t>36209</t>
  </si>
  <si>
    <t>Baclini, Miss. Helene Barbara</t>
  </si>
  <si>
    <t>Keefe, Mr. Arthur</t>
  </si>
  <si>
    <t>323592</t>
  </si>
  <si>
    <t>Cacic, Mr. Luka</t>
  </si>
  <si>
    <t>315089</t>
  </si>
  <si>
    <t>West, Mrs. Edwy Arthur (Ada Mary Worth)</t>
  </si>
  <si>
    <t>Jerwan, Mrs. Amin S (Marie Marthe Thuillard)</t>
  </si>
  <si>
    <t>SC/AH Basle 541</t>
  </si>
  <si>
    <t>Strandberg, Miss. Ida Sofia</t>
  </si>
  <si>
    <t>7553</t>
  </si>
  <si>
    <t>Clifford, Mr. George Quincy</t>
  </si>
  <si>
    <t>A14</t>
  </si>
  <si>
    <t>Renouf, Mr. Peter Henry</t>
  </si>
  <si>
    <t>31027</t>
  </si>
  <si>
    <t>Braund, Mr. Lewis Richard</t>
  </si>
  <si>
    <t>3460</t>
  </si>
  <si>
    <t>Karlsson, Mr. Nils August</t>
  </si>
  <si>
    <t>350060</t>
  </si>
  <si>
    <t>Hirvonen, Miss. Hildur E</t>
  </si>
  <si>
    <t>3101298</t>
  </si>
  <si>
    <t>Goodwin, Master. Harold Victor</t>
  </si>
  <si>
    <t>Frost, Mr. Anthony Wood "Archie"</t>
  </si>
  <si>
    <t>239854</t>
  </si>
  <si>
    <t>Rouse, Mr. Richard Henry</t>
  </si>
  <si>
    <t>A/5 3594</t>
  </si>
  <si>
    <t>Turkula, Mrs. (Hedwig)</t>
  </si>
  <si>
    <t>4134</t>
  </si>
  <si>
    <t>Bishop, Mr. Dickinson H</t>
  </si>
  <si>
    <t>Lefebre, Miss. Jeannie</t>
  </si>
  <si>
    <t>Hoyt, Mrs. Frederick Maxfield (Jane Anne Forby)</t>
  </si>
  <si>
    <t>Kent, Mr. Edward Austin</t>
  </si>
  <si>
    <t>11771</t>
  </si>
  <si>
    <t>B37</t>
  </si>
  <si>
    <t>Somerton, Mr. Francis William</t>
  </si>
  <si>
    <t>A.5. 18509</t>
  </si>
  <si>
    <t>Coutts, Master. Eden Leslie "Neville"</t>
  </si>
  <si>
    <t>Hagland, Mr. Konrad Mathias Reiersen</t>
  </si>
  <si>
    <t>65304</t>
  </si>
  <si>
    <t>Windelov, Mr. Einar</t>
  </si>
  <si>
    <t>SOTON/OQ 3101317</t>
  </si>
  <si>
    <t>Molson, Mr. Harry Markland</t>
  </si>
  <si>
    <t>113787</t>
  </si>
  <si>
    <t>C30</t>
  </si>
  <si>
    <t>Artagaveytia, Mr. Ramon</t>
  </si>
  <si>
    <t>PC 17609</t>
  </si>
  <si>
    <t>Stanley, Mr. Edward Roland</t>
  </si>
  <si>
    <t>A/4 45380</t>
  </si>
  <si>
    <t>Yousseff, Mr. Gerious</t>
  </si>
  <si>
    <t>Eustis, Miss. Elizabeth Mussey</t>
  </si>
  <si>
    <t>36947</t>
  </si>
  <si>
    <t>D20</t>
  </si>
  <si>
    <t>Shellard, Mr. Frederick William</t>
  </si>
  <si>
    <t>C.A. 6212</t>
  </si>
  <si>
    <t>Allison, Mrs. Hudson J C (Bessie Waldo Daniels)</t>
  </si>
  <si>
    <t>Svensson, Mr. Olof</t>
  </si>
  <si>
    <t>350035</t>
  </si>
  <si>
    <t>Calic, Mr. Petar</t>
  </si>
  <si>
    <t>315086</t>
  </si>
  <si>
    <t>Canavan, Miss. Mary</t>
  </si>
  <si>
    <t>364846</t>
  </si>
  <si>
    <t>O'Sullivan, Miss. Bridget Mary</t>
  </si>
  <si>
    <t>330909</t>
  </si>
  <si>
    <t>Laitinen, Miss. Kristina Sofia</t>
  </si>
  <si>
    <t>4135</t>
  </si>
  <si>
    <t>Maioni, Miss. Roberta</t>
  </si>
  <si>
    <t>B79</t>
  </si>
  <si>
    <t>Penasco y Castellana, Mr. Victor de Satode</t>
  </si>
  <si>
    <t>Quick, Mrs. Frederick Charles (Jane Richards)</t>
  </si>
  <si>
    <t>26360</t>
  </si>
  <si>
    <t>Bradley, Mr. George ("George Arthur Brayton")</t>
  </si>
  <si>
    <t>111427</t>
  </si>
  <si>
    <t>Olsen, Mr. Henry Margido</t>
  </si>
  <si>
    <t>C 4001</t>
  </si>
  <si>
    <t>Lang, Mr. Fang</t>
  </si>
  <si>
    <t>Daly, Mr. Eugene Patrick</t>
  </si>
  <si>
    <t>382651</t>
  </si>
  <si>
    <t>Webber, Mr. James</t>
  </si>
  <si>
    <t>SOTON/OQ 3101316</t>
  </si>
  <si>
    <t>McGough, Mr. James Robert</t>
  </si>
  <si>
    <t>PC 17473</t>
  </si>
  <si>
    <t>E25</t>
  </si>
  <si>
    <t>Rothschild, Mrs. Martin (Elizabeth L. Barrett)</t>
  </si>
  <si>
    <t>PC 17603</t>
  </si>
  <si>
    <t>Coleff, Mr. Satio</t>
  </si>
  <si>
    <t>349209</t>
  </si>
  <si>
    <t>Walker, Mr. William Anderson</t>
  </si>
  <si>
    <t>36967</t>
  </si>
  <si>
    <t>D46</t>
  </si>
  <si>
    <t>Lemore, Mrs. (Amelia Milley)</t>
  </si>
  <si>
    <t>C.A. 34260</t>
  </si>
  <si>
    <t>Ryan, Mr. Patrick</t>
  </si>
  <si>
    <t>Angle, Mrs. William A (Florence "Mary" Agnes Hughes)</t>
  </si>
  <si>
    <t>226875</t>
  </si>
  <si>
    <t>Pavlovic, Mr. Stefo</t>
  </si>
  <si>
    <t>349242</t>
  </si>
  <si>
    <t>Perreault, Miss. Anne</t>
  </si>
  <si>
    <t>12749</t>
  </si>
  <si>
    <t>B73</t>
  </si>
  <si>
    <t>Vovk, Mr. Janko</t>
  </si>
  <si>
    <t>349252</t>
  </si>
  <si>
    <t>Lahoud, Mr. Sarkis</t>
  </si>
  <si>
    <t>2624</t>
  </si>
  <si>
    <t>Hippach, Mrs. Louis Albert (Ida Sophia Fischer)</t>
  </si>
  <si>
    <t>Kassem, Mr. Fared</t>
  </si>
  <si>
    <t>2700</t>
  </si>
  <si>
    <t>Farrell, Mr. James</t>
  </si>
  <si>
    <t>367232</t>
  </si>
  <si>
    <t>Ridsdale, Miss. Lucy</t>
  </si>
  <si>
    <t>W./C. 14258</t>
  </si>
  <si>
    <t>Farthing, Mr. John</t>
  </si>
  <si>
    <t>PC 17483</t>
  </si>
  <si>
    <t>C95</t>
  </si>
  <si>
    <t>Salonen, Mr. Johan Werner</t>
  </si>
  <si>
    <t>3101296</t>
  </si>
  <si>
    <t>Hocking, Mr. Richard George</t>
  </si>
  <si>
    <t>29104</t>
  </si>
  <si>
    <t>Quick, Miss. Phyllis May</t>
  </si>
  <si>
    <t>Toufik, Mr. Nakli</t>
  </si>
  <si>
    <t>2641</t>
  </si>
  <si>
    <t>Elias, Mr. Joseph Jr</t>
  </si>
  <si>
    <t>2690</t>
  </si>
  <si>
    <t>Peter, Mrs. Catherine (Catherine Rizk)</t>
  </si>
  <si>
    <t>Cacic, Miss. Marija</t>
  </si>
  <si>
    <t>315084</t>
  </si>
  <si>
    <t>Hart, Miss. Eva Miriam</t>
  </si>
  <si>
    <t>Butt, Major. Archibald Willingham</t>
  </si>
  <si>
    <t>113050</t>
  </si>
  <si>
    <t>B38</t>
  </si>
  <si>
    <t>LeRoy, Miss. Bertha</t>
  </si>
  <si>
    <t>PC 17761</t>
  </si>
  <si>
    <t>Risien, Mr. Samuel Beard</t>
  </si>
  <si>
    <t>364498</t>
  </si>
  <si>
    <t>Frolicher, Miss. Hedwig Margaritha</t>
  </si>
  <si>
    <t>13568</t>
  </si>
  <si>
    <t>B39</t>
  </si>
  <si>
    <t>Crosby, Miss. Harriet R</t>
  </si>
  <si>
    <t>WE/P 5735</t>
  </si>
  <si>
    <t>B22</t>
  </si>
  <si>
    <t>Andersson, Miss. Ingeborg Constanzia</t>
  </si>
  <si>
    <t>Andersson, Miss. Sigrid Elisabeth</t>
  </si>
  <si>
    <t>Beane, Mr. Edward</t>
  </si>
  <si>
    <t>2908</t>
  </si>
  <si>
    <t>Douglas, Mr. Walter Donald</t>
  </si>
  <si>
    <t>C86</t>
  </si>
  <si>
    <t>Nicholson, Mr. Arthur Ernest</t>
  </si>
  <si>
    <t>693</t>
  </si>
  <si>
    <t>Beane, Mrs. Edward (Ethel Clarke)</t>
  </si>
  <si>
    <t>Padro y Manent, Mr. Julian</t>
  </si>
  <si>
    <t>SC/PARIS 2146</t>
  </si>
  <si>
    <t>Goldsmith, Mr. Frank John</t>
  </si>
  <si>
    <t>Davies, Master. John Morgan Jr</t>
  </si>
  <si>
    <t>Thayer, Mr. John Borland Jr</t>
  </si>
  <si>
    <t>C70</t>
  </si>
  <si>
    <t>Sharp, Mr. Percival James R</t>
  </si>
  <si>
    <t>244358</t>
  </si>
  <si>
    <t>O'Brien, Mr. Timothy</t>
  </si>
  <si>
    <t>330979</t>
  </si>
  <si>
    <t>Leeni, Mr. Fahim ("Philip Zenni")</t>
  </si>
  <si>
    <t>2620</t>
  </si>
  <si>
    <t>Ohman, Miss. Velin</t>
  </si>
  <si>
    <t>347085</t>
  </si>
  <si>
    <t>Wright, Mr. George</t>
  </si>
  <si>
    <t>113807</t>
  </si>
  <si>
    <t>Duff Gordon, Lady. (Lucille Christiana Sutherland) ("Mrs Morgan")</t>
  </si>
  <si>
    <t>11755</t>
  </si>
  <si>
    <t>A16</t>
  </si>
  <si>
    <t>Robbins, Mr. Victor</t>
  </si>
  <si>
    <t>Taussig, Mrs. Emil (Tillie Mandelbaum)</t>
  </si>
  <si>
    <t>de Messemaeker, Mrs. Guillaume Joseph (Emma)</t>
  </si>
  <si>
    <t>345572</t>
  </si>
  <si>
    <t>Morrow, Mr. Thomas Rowan</t>
  </si>
  <si>
    <t>372622</t>
  </si>
  <si>
    <t>Sivic, Mr. Husein</t>
  </si>
  <si>
    <t>349251</t>
  </si>
  <si>
    <t>Norman, Mr. Robert Douglas</t>
  </si>
  <si>
    <t>218629</t>
  </si>
  <si>
    <t>Simmons, Mr. John</t>
  </si>
  <si>
    <t>SOTON/OQ 392082</t>
  </si>
  <si>
    <t>Meanwell, Miss. (Marion Ogden)</t>
  </si>
  <si>
    <t>SOTON/O.Q. 392087</t>
  </si>
  <si>
    <t>Davies, Mr. Alfred J</t>
  </si>
  <si>
    <t>A/4 48871</t>
  </si>
  <si>
    <t>Stoytcheff, Mr. Ilia</t>
  </si>
  <si>
    <t>349205</t>
  </si>
  <si>
    <t>Palsson, Mrs. Nils (Alma Cornelia Berglund)</t>
  </si>
  <si>
    <t>Doharr, Mr. Tannous</t>
  </si>
  <si>
    <t>2686</t>
  </si>
  <si>
    <t>Jonsson, Mr. Carl</t>
  </si>
  <si>
    <t>350417</t>
  </si>
  <si>
    <t>Harris, Mr. George</t>
  </si>
  <si>
    <t>S.W./PP 752</t>
  </si>
  <si>
    <t>Appleton, Mrs. Edward Dale (Charlotte Lamson)</t>
  </si>
  <si>
    <t>11769</t>
  </si>
  <si>
    <t>C101</t>
  </si>
  <si>
    <t>Flynn, Mr. John Irwin ("Irving")</t>
  </si>
  <si>
    <t>PC 17474</t>
  </si>
  <si>
    <t>Kelly, Miss. Mary</t>
  </si>
  <si>
    <t>14312</t>
  </si>
  <si>
    <t>Rush, Mr. Alfred George John</t>
  </si>
  <si>
    <t>A/4. 20589</t>
  </si>
  <si>
    <t>Patchett, Mr. George</t>
  </si>
  <si>
    <t>358585</t>
  </si>
  <si>
    <t>Garside, Miss. Ethel</t>
  </si>
  <si>
    <t>243880</t>
  </si>
  <si>
    <t>Silvey, Mrs. William Baird (Alice Munger)</t>
  </si>
  <si>
    <t>Caram, Mrs. Joseph (Maria Elias)</t>
  </si>
  <si>
    <t>2689</t>
  </si>
  <si>
    <t>Jussila, Mr. Eiriik</t>
  </si>
  <si>
    <t>STON/O 2. 3101286</t>
  </si>
  <si>
    <t>Christy, Miss. Julie Rachel</t>
  </si>
  <si>
    <t>237789</t>
  </si>
  <si>
    <t>Thayer, Mrs. John Borland (Marian Longstreth Morris)</t>
  </si>
  <si>
    <t>C68</t>
  </si>
  <si>
    <t>Downton, Mr. William James</t>
  </si>
  <si>
    <t>Ross, Mr. John Hugo</t>
  </si>
  <si>
    <t>13049</t>
  </si>
  <si>
    <t>A10</t>
  </si>
  <si>
    <t>Paulner, Mr. Uscher</t>
  </si>
  <si>
    <t>3411</t>
  </si>
  <si>
    <t>Taussig, Miss. Ruth</t>
  </si>
  <si>
    <t>E68</t>
  </si>
  <si>
    <t>Jarvis, Mr. John Denzil</t>
  </si>
  <si>
    <t>237565</t>
  </si>
  <si>
    <t>Frolicher-Stehli, Mr. Maxmillian</t>
  </si>
  <si>
    <t>13567</t>
  </si>
  <si>
    <t>B41</t>
  </si>
  <si>
    <t>Gilinski, Mr. Eliezer</t>
  </si>
  <si>
    <t>14973</t>
  </si>
  <si>
    <t>Murdlin, Mr. Joseph</t>
  </si>
  <si>
    <t>A./5. 3235</t>
  </si>
  <si>
    <t>Rintamaki, Mr. Matti</t>
  </si>
  <si>
    <t>STON/O 2. 3101273</t>
  </si>
  <si>
    <t>Stephenson, Mrs. Walter Bertram (Martha Eustis)</t>
  </si>
  <si>
    <t>Elsbury, Mr. William James</t>
  </si>
  <si>
    <t>A/5 3902</t>
  </si>
  <si>
    <t>Bourke, Miss. Mary</t>
  </si>
  <si>
    <t>364848</t>
  </si>
  <si>
    <t>Chapman, Mr. John Henry</t>
  </si>
  <si>
    <t>SC/AH 29037</t>
  </si>
  <si>
    <t>Van Impe, Mr. Jean Baptiste</t>
  </si>
  <si>
    <t>Leitch, Miss. Jessie Wills</t>
  </si>
  <si>
    <t>248727</t>
  </si>
  <si>
    <t>Johnson, Mr. Alfred</t>
  </si>
  <si>
    <t>Boulos, Mr. Hanna</t>
  </si>
  <si>
    <t>2664</t>
  </si>
  <si>
    <t>Duff Gordon, Sir. Cosmo Edmund ("Mr Morgan")</t>
  </si>
  <si>
    <t>A20</t>
  </si>
  <si>
    <t>Jacobsohn, Mrs. Sidney Samuel (Amy Frances Christy)</t>
  </si>
  <si>
    <t>Slabenoff, Mr. Petco</t>
  </si>
  <si>
    <t>349214</t>
  </si>
  <si>
    <t>Harrington, Mr. Charles H</t>
  </si>
  <si>
    <t>113796</t>
  </si>
  <si>
    <t>Torber, Mr. Ernst William</t>
  </si>
  <si>
    <t>364511</t>
  </si>
  <si>
    <t>Homer, Mr. Harry ("Mr E Haven")</t>
  </si>
  <si>
    <t>111426</t>
  </si>
  <si>
    <t>Lindell, Mr. Edvard Bengtsson</t>
  </si>
  <si>
    <t>349910</t>
  </si>
  <si>
    <t>Karaic, Mr. Milan</t>
  </si>
  <si>
    <t>349246</t>
  </si>
  <si>
    <t>Daniel, Mr. Robert Williams</t>
  </si>
  <si>
    <t>113804</t>
  </si>
  <si>
    <t>Laroche, Mrs. Joseph (Juliette Marie Louise Lafargue)</t>
  </si>
  <si>
    <t>Shutes, Miss. Elizabeth W</t>
  </si>
  <si>
    <t>Andersson, Mrs. Anders Johan (Alfrida Konstantia Brogren)</t>
  </si>
  <si>
    <t>Jardin, Mr. Jose Neto</t>
  </si>
  <si>
    <t>SOTON/O.Q. 3101305</t>
  </si>
  <si>
    <t>Murphy, Miss. Margaret Jane</t>
  </si>
  <si>
    <t>Horgan, Mr. John</t>
  </si>
  <si>
    <t>370377</t>
  </si>
  <si>
    <t>Brocklebank, Mr. William Alfred</t>
  </si>
  <si>
    <t>364512</t>
  </si>
  <si>
    <t>Herman, Miss. Alice</t>
  </si>
  <si>
    <t>220845</t>
  </si>
  <si>
    <t>Danbom, Mr. Ernst Gilbert</t>
  </si>
  <si>
    <t>Lobb, Mrs. William Arthur (Cordelia K Stanlick)</t>
  </si>
  <si>
    <t>Becker, Miss. Marion Louise</t>
  </si>
  <si>
    <t>Gavey, Mr. Lawrence</t>
  </si>
  <si>
    <t>31028</t>
  </si>
  <si>
    <t>Yasbeck, Mr. Antoni</t>
  </si>
  <si>
    <t>2659</t>
  </si>
  <si>
    <t>Kimball, Mr. Edwin Nelson Jr</t>
  </si>
  <si>
    <t>11753</t>
  </si>
  <si>
    <t>D19</t>
  </si>
  <si>
    <t>Nakid, Mr. Sahid</t>
  </si>
  <si>
    <t>Hansen, Mr. Henry Damsgaard</t>
  </si>
  <si>
    <t>350029</t>
  </si>
  <si>
    <t>Bowen, Mr. David John "Dai"</t>
  </si>
  <si>
    <t>54636</t>
  </si>
  <si>
    <t>Sutton, Mr. Frederick</t>
  </si>
  <si>
    <t>36963</t>
  </si>
  <si>
    <t>D50</t>
  </si>
  <si>
    <t>Kirkland, Rev. Charles Leonard</t>
  </si>
  <si>
    <t>219533</t>
  </si>
  <si>
    <t>Longley, Miss. Gretchen Fiske</t>
  </si>
  <si>
    <t>D9</t>
  </si>
  <si>
    <t>Bostandyeff, Mr. Guentcho</t>
  </si>
  <si>
    <t>349224</t>
  </si>
  <si>
    <t>O'Connell, Mr. Patrick D</t>
  </si>
  <si>
    <t>334912</t>
  </si>
  <si>
    <t>Barkworth, Mr. Algernon Henry Wilson</t>
  </si>
  <si>
    <t>27042</t>
  </si>
  <si>
    <t>A23</t>
  </si>
  <si>
    <t>Lundahl, Mr. Johan Svensson</t>
  </si>
  <si>
    <t>347743</t>
  </si>
  <si>
    <t>Stahelin-Maeglin, Dr. Max</t>
  </si>
  <si>
    <t>13214</t>
  </si>
  <si>
    <t>B50</t>
  </si>
  <si>
    <t>Parr, Mr. William Henry Marsh</t>
  </si>
  <si>
    <t>112052</t>
  </si>
  <si>
    <t>Skoog, Miss. Mabel</t>
  </si>
  <si>
    <t>Davis, Miss. Mary</t>
  </si>
  <si>
    <t>237668</t>
  </si>
  <si>
    <t>Leinonen, Mr. Antti Gustaf</t>
  </si>
  <si>
    <t>STON/O 2. 3101292</t>
  </si>
  <si>
    <t>Collyer, Mr. Harvey</t>
  </si>
  <si>
    <t>Panula, Mrs. Juha (Maria Emilia Ojala)</t>
  </si>
  <si>
    <t>Thorneycroft, Mr. Percival</t>
  </si>
  <si>
    <t>Jensen, Mr. Hans Peder</t>
  </si>
  <si>
    <t>350050</t>
  </si>
  <si>
    <t>Sagesser, Mlle. Emma</t>
  </si>
  <si>
    <t>Skoog, Miss. Margit Elizabeth</t>
  </si>
  <si>
    <t>Foo, Mr. Choong</t>
  </si>
  <si>
    <t>Baclini, Miss. Eugenie</t>
  </si>
  <si>
    <t>Harper, Mr. Henry Sleeper</t>
  </si>
  <si>
    <t>Cor, Mr. Liudevit</t>
  </si>
  <si>
    <t>349231</t>
  </si>
  <si>
    <t>Simonius-Blumer, Col. Oberst Alfons</t>
  </si>
  <si>
    <t>13213</t>
  </si>
  <si>
    <t>A26</t>
  </si>
  <si>
    <t>Willey, Mr. Edward</t>
  </si>
  <si>
    <t>S.O./P.P. 751</t>
  </si>
  <si>
    <t>Stanley, Miss. Amy Zillah Elsie</t>
  </si>
  <si>
    <t>CA. 2314</t>
  </si>
  <si>
    <t>Mitkoff, Mr. Mito</t>
  </si>
  <si>
    <t>349221</t>
  </si>
  <si>
    <t>Doling, Miss. Elsie</t>
  </si>
  <si>
    <t>Kalvik, Mr. Johannes Halvorsen</t>
  </si>
  <si>
    <t>8475</t>
  </si>
  <si>
    <t>O'Leary, Miss. Hanora "Norah"</t>
  </si>
  <si>
    <t>330919</t>
  </si>
  <si>
    <t>Hegarty, Miss. Hanora "Nora"</t>
  </si>
  <si>
    <t>365226</t>
  </si>
  <si>
    <t>Hickman, Mr. Leonard Mark</t>
  </si>
  <si>
    <t>Radeff, Mr. Alexander</t>
  </si>
  <si>
    <t>349223</t>
  </si>
  <si>
    <t>Bourke, Mrs. John (Catherine)</t>
  </si>
  <si>
    <t>Eitemiller, Mr. George Floyd</t>
  </si>
  <si>
    <t>29751</t>
  </si>
  <si>
    <t>Newell, Mr. Arthur Webster</t>
  </si>
  <si>
    <t>D48</t>
  </si>
  <si>
    <t>Frauenthal, Dr. Henry William</t>
  </si>
  <si>
    <t>Badt, Mr. Mohamed</t>
  </si>
  <si>
    <t>2623</t>
  </si>
  <si>
    <t>Colley, Mr. Edward Pomeroy</t>
  </si>
  <si>
    <t>5727</t>
  </si>
  <si>
    <t>E58</t>
  </si>
  <si>
    <t>Coleff, Mr. Peju</t>
  </si>
  <si>
    <t>349210</t>
  </si>
  <si>
    <t>Lindqvist, Mr. Eino William</t>
  </si>
  <si>
    <t>STON/O 2. 3101285</t>
  </si>
  <si>
    <t>Hickman, Mr. Lewis</t>
  </si>
  <si>
    <t>Butler, Mr. Reginald Fenton</t>
  </si>
  <si>
    <t>234686</t>
  </si>
  <si>
    <t>Rommetvedt, Mr. Knud Paust</t>
  </si>
  <si>
    <t>312993</t>
  </si>
  <si>
    <t>Cook, Mr. Jacob</t>
  </si>
  <si>
    <t>A/5 3536</t>
  </si>
  <si>
    <t>Taylor, Mrs. Elmer Zebley (Juliet Cummins Wright)</t>
  </si>
  <si>
    <t>19996</t>
  </si>
  <si>
    <t>C126</t>
  </si>
  <si>
    <t>Brown, Mrs. Thomas William Solomon (Elizabeth Catherine Ford)</t>
  </si>
  <si>
    <t>29750</t>
  </si>
  <si>
    <t>Davidson, Mr. Thornton</t>
  </si>
  <si>
    <t>F.C. 12750</t>
  </si>
  <si>
    <t>B71</t>
  </si>
  <si>
    <t>Mitchell, Mr. Henry Michael</t>
  </si>
  <si>
    <t>C.A. 24580</t>
  </si>
  <si>
    <t>Wilhelms, Mr. Charles</t>
  </si>
  <si>
    <t>244270</t>
  </si>
  <si>
    <t>Watson, Mr. Ennis Hastings</t>
  </si>
  <si>
    <t>239856</t>
  </si>
  <si>
    <t>Edvardsson, Mr. Gustaf Hjalmar</t>
  </si>
  <si>
    <t>349912</t>
  </si>
  <si>
    <t>Sawyer, Mr. Frederick Charles</t>
  </si>
  <si>
    <t>342826</t>
  </si>
  <si>
    <t>Turja, Miss. Anna Sofia</t>
  </si>
  <si>
    <t>4138</t>
  </si>
  <si>
    <t>Goodwin, Mrs. Frederick (Augusta Tyler)</t>
  </si>
  <si>
    <t>Cardeza, Mr. Thomas Drake Martinez</t>
  </si>
  <si>
    <t>B51 B53 B55</t>
  </si>
  <si>
    <t>Peters, Miss. Katie</t>
  </si>
  <si>
    <t>330935</t>
  </si>
  <si>
    <t>Hassab, Mr. Hammad</t>
  </si>
  <si>
    <t>D49</t>
  </si>
  <si>
    <t>Olsvigen, Mr. Thor Anderson</t>
  </si>
  <si>
    <t>6563</t>
  </si>
  <si>
    <t>Goodwin, Mr. Charles Edward</t>
  </si>
  <si>
    <t>Brown, Mr. Thomas William Solomon</t>
  </si>
  <si>
    <t>Laroche, Mr. Joseph Philippe Lemercier</t>
  </si>
  <si>
    <t>Panula, Mr. Jaako Arnold</t>
  </si>
  <si>
    <t>Dakic, Mr. Branko</t>
  </si>
  <si>
    <t>349228</t>
  </si>
  <si>
    <t>Fischer, Mr. Eberhard Thelander</t>
  </si>
  <si>
    <t>350036</t>
  </si>
  <si>
    <t>Madill, Miss. Georgette Alexandra</t>
  </si>
  <si>
    <t>24160</t>
  </si>
  <si>
    <t>B5</t>
  </si>
  <si>
    <t>Dick, Mr. Albert Adrian</t>
  </si>
  <si>
    <t>17474</t>
  </si>
  <si>
    <t>B20</t>
  </si>
  <si>
    <t>Karun, Miss. Manca</t>
  </si>
  <si>
    <t>349256</t>
  </si>
  <si>
    <t>Lam, Mr. Ali</t>
  </si>
  <si>
    <t>Saad, Mr. Khalil</t>
  </si>
  <si>
    <t>2672</t>
  </si>
  <si>
    <t>Weir, Col. John</t>
  </si>
  <si>
    <t>113800</t>
  </si>
  <si>
    <t>Chapman, Mr. Charles Henry</t>
  </si>
  <si>
    <t>248731</t>
  </si>
  <si>
    <t>Kelly, Mr. James</t>
  </si>
  <si>
    <t>363592</t>
  </si>
  <si>
    <t>Mullens, Miss. Katherine "Katie"</t>
  </si>
  <si>
    <t>35852</t>
  </si>
  <si>
    <t>Thayer, Mr. John Borland</t>
  </si>
  <si>
    <t>Humblen, Mr. Adolf Mathias Nicolai Olsen</t>
  </si>
  <si>
    <t>348121</t>
  </si>
  <si>
    <t>F G63</t>
  </si>
  <si>
    <t>Astor, Mrs. John Jacob (Madeleine Talmadge Force)</t>
  </si>
  <si>
    <t>C62 C64</t>
  </si>
  <si>
    <t>Silverthorne, Mr. Spencer Victor</t>
  </si>
  <si>
    <t>PC 17475</t>
  </si>
  <si>
    <t>E24</t>
  </si>
  <si>
    <t>Barbara, Miss. Saiide</t>
  </si>
  <si>
    <t>Gallagher, Mr. Martin</t>
  </si>
  <si>
    <t>36864</t>
  </si>
  <si>
    <t>Hansen, Mr. Henrik Juul</t>
  </si>
  <si>
    <t>350025</t>
  </si>
  <si>
    <t>Morley, Mr. Henry Samuel ("Mr Henry Marshall")</t>
  </si>
  <si>
    <t>Kelly, Mrs. Florence "Fannie"</t>
  </si>
  <si>
    <t>223596</t>
  </si>
  <si>
    <t>Calderhead, Mr. Edward Pennington</t>
  </si>
  <si>
    <t>PC 17476</t>
  </si>
  <si>
    <t>Cleaver, Miss. Alice</t>
  </si>
  <si>
    <t>Moubarek, Master. Halim Gonios ("William George")</t>
  </si>
  <si>
    <t>Mayne, Mlle. Berthe Antonine ("Mrs de Villiers")</t>
  </si>
  <si>
    <t>PC 17482</t>
  </si>
  <si>
    <t>C90</t>
  </si>
  <si>
    <t>Klaber, Mr. Herman</t>
  </si>
  <si>
    <t>113028</t>
  </si>
  <si>
    <t>Taylor, Mr. Elmer Zebley</t>
  </si>
  <si>
    <t>Larsson, Mr. August Viktor</t>
  </si>
  <si>
    <t>7545</t>
  </si>
  <si>
    <t>Greenberg, Mr. Samuel</t>
  </si>
  <si>
    <t>250647</t>
  </si>
  <si>
    <t>Soholt, Mr. Peter Andreas Lauritz Andersen</t>
  </si>
  <si>
    <t>348124</t>
  </si>
  <si>
    <t>Endres, Miss. Caroline Louise</t>
  </si>
  <si>
    <t>C45</t>
  </si>
  <si>
    <t>Troutt, Miss. Edwina Celia "Winnie"</t>
  </si>
  <si>
    <t>34218</t>
  </si>
  <si>
    <t>McEvoy, Mr. Michael</t>
  </si>
  <si>
    <t>36568</t>
  </si>
  <si>
    <t>Johnson, Mr. Malkolm Joackim</t>
  </si>
  <si>
    <t>347062</t>
  </si>
  <si>
    <t>Harper, Miss. Annie Jessie "Nina"</t>
  </si>
  <si>
    <t>Jensen, Mr. Svend Lauritz</t>
  </si>
  <si>
    <t>350048</t>
  </si>
  <si>
    <t>Gillespie, Mr. William Henry</t>
  </si>
  <si>
    <t>12233</t>
  </si>
  <si>
    <t>Hodges, Mr. Henry Price</t>
  </si>
  <si>
    <t>250643</t>
  </si>
  <si>
    <t>Chambers, Mr. Norman Campbell</t>
  </si>
  <si>
    <t>113806</t>
  </si>
  <si>
    <t>E8</t>
  </si>
  <si>
    <t>Oreskovic, Mr. Luka</t>
  </si>
  <si>
    <t>315094</t>
  </si>
  <si>
    <t>Renouf, Mrs. Peter Henry (Lillian Jefferys)</t>
  </si>
  <si>
    <t>Mannion, Miss. Margareth</t>
  </si>
  <si>
    <t>36866</t>
  </si>
  <si>
    <t>Bryhl, Mr. Kurt Arnold Gottfrid</t>
  </si>
  <si>
    <t>236853</t>
  </si>
  <si>
    <t>Ilmakangas, Miss. Pieta Sofia</t>
  </si>
  <si>
    <t>STON/O2. 3101271</t>
  </si>
  <si>
    <t>Allen, Miss. Elisabeth Walton</t>
  </si>
  <si>
    <t>Hassan, Mr. Houssein G N</t>
  </si>
  <si>
    <t>Knight, Mr. Robert J</t>
  </si>
  <si>
    <t>239855</t>
  </si>
  <si>
    <t>Berriman, Mr. William John</t>
  </si>
  <si>
    <t>28425</t>
  </si>
  <si>
    <t>Troupiansky, Mr. Moses Aaron</t>
  </si>
  <si>
    <t>233639</t>
  </si>
  <si>
    <t>Williams, Mr. Leslie</t>
  </si>
  <si>
    <t>Ford, Mrs. Edward (Margaret Ann Watson)</t>
  </si>
  <si>
    <t>Lesurer, Mr. Gustave J</t>
  </si>
  <si>
    <t>B101</t>
  </si>
  <si>
    <t>Ivanoff, Mr. Kanio</t>
  </si>
  <si>
    <t>349201</t>
  </si>
  <si>
    <t>Nankoff, Mr. Minko</t>
  </si>
  <si>
    <t>349218</t>
  </si>
  <si>
    <t>Hawksford, Mr. Walter James</t>
  </si>
  <si>
    <t>16988</t>
  </si>
  <si>
    <t>D45</t>
  </si>
  <si>
    <t>Cavendish, Mr. Tyrell William</t>
  </si>
  <si>
    <t>C46</t>
  </si>
  <si>
    <t>Ryerson, Miss. Susan Parker "Suzette"</t>
  </si>
  <si>
    <t>McNamee, Mr. Neal</t>
  </si>
  <si>
    <t>376566</t>
  </si>
  <si>
    <t>Stranden, Mr. Juho</t>
  </si>
  <si>
    <t>STON/O 2. 3101288</t>
  </si>
  <si>
    <t>Crosby, Capt. Edward Gifford</t>
  </si>
  <si>
    <t>Abbott, Mr. Rossmore Edward</t>
  </si>
  <si>
    <t>Sinkkonen, Miss. Anna</t>
  </si>
  <si>
    <t>250648</t>
  </si>
  <si>
    <t>Marvin, Mr. Daniel Warner</t>
  </si>
  <si>
    <t>113773</t>
  </si>
  <si>
    <t>D30</t>
  </si>
  <si>
    <t>Connaghton, Mr. Michael</t>
  </si>
  <si>
    <t>335097</t>
  </si>
  <si>
    <t>Wells, Miss. Joan</t>
  </si>
  <si>
    <t>29103</t>
  </si>
  <si>
    <t>Moor, Master. Meier</t>
  </si>
  <si>
    <t>392096</t>
  </si>
  <si>
    <t>E121</t>
  </si>
  <si>
    <t>Vande Velde, Mr. Johannes Joseph</t>
  </si>
  <si>
    <t>345780</t>
  </si>
  <si>
    <t>Jonkoff, Mr. Lalio</t>
  </si>
  <si>
    <t>349204</t>
  </si>
  <si>
    <t>Herman, Mrs. Samuel (Jane Laver)</t>
  </si>
  <si>
    <t>Hamalainen, Master. Viljo</t>
  </si>
  <si>
    <t>Carlsson, Mr. August Sigfrid</t>
  </si>
  <si>
    <t>350042</t>
  </si>
  <si>
    <t>Bailey, Mr. Percy Andrew</t>
  </si>
  <si>
    <t>29108</t>
  </si>
  <si>
    <t>Theobald, Mr. Thomas Leonard</t>
  </si>
  <si>
    <t>363294</t>
  </si>
  <si>
    <t>Rothes, the Countess. of (Lucy Noel Martha Dyer-Edwards)</t>
  </si>
  <si>
    <t>Garfirth, Mr. John</t>
  </si>
  <si>
    <t>Nirva, Mr. Iisakki Antino Aijo</t>
  </si>
  <si>
    <t>SOTON/O2 3101272</t>
  </si>
  <si>
    <t>Barah, Mr. Hanna Assi</t>
  </si>
  <si>
    <t>2663</t>
  </si>
  <si>
    <t>Carter, Mrs. William Ernest (Lucile Polk)</t>
  </si>
  <si>
    <t>Eklund, Mr. Hans Linus</t>
  </si>
  <si>
    <t>347074</t>
  </si>
  <si>
    <t>Hogeboom, Mrs. John C (Anna Andrews)</t>
  </si>
  <si>
    <t>D11</t>
  </si>
  <si>
    <t>Brewe, Dr. Arthur Jackson</t>
  </si>
  <si>
    <t>112379</t>
  </si>
  <si>
    <t>Mangan, Miss. Mary</t>
  </si>
  <si>
    <t>364850</t>
  </si>
  <si>
    <t>Moran, Mr. Daniel J</t>
  </si>
  <si>
    <t>Gronnestad, Mr. Daniel Danielsen</t>
  </si>
  <si>
    <t>8471</t>
  </si>
  <si>
    <t>Lievens, Mr. Rene Aime</t>
  </si>
  <si>
    <t>345781</t>
  </si>
  <si>
    <t>Jensen, Mr. Niels Peder</t>
  </si>
  <si>
    <t>350047</t>
  </si>
  <si>
    <t>Mack, Mrs. (Mary)</t>
  </si>
  <si>
    <t>S.O./P.P. 3</t>
  </si>
  <si>
    <t>E77</t>
  </si>
  <si>
    <t>Elias, Mr. Dibo</t>
  </si>
  <si>
    <t>2674</t>
  </si>
  <si>
    <t>Hocking, Mrs. Elizabeth (Eliza Needs)</t>
  </si>
  <si>
    <t>29105</t>
  </si>
  <si>
    <t>Myhrman, Mr. Pehr Fabian Oliver Malkolm</t>
  </si>
  <si>
    <t>347078</t>
  </si>
  <si>
    <t>Tobin, Mr. Roger</t>
  </si>
  <si>
    <t>383121</t>
  </si>
  <si>
    <t>F38</t>
  </si>
  <si>
    <t>Emanuel, Miss. Virginia Ethel</t>
  </si>
  <si>
    <t>Kilgannon, Mr. Thomas J</t>
  </si>
  <si>
    <t>36865</t>
  </si>
  <si>
    <t>Robert, Mrs. Edward Scott (Elisabeth Walton McMillan)</t>
  </si>
  <si>
    <t>B3</t>
  </si>
  <si>
    <t>Ayoub, Miss. Banoura</t>
  </si>
  <si>
    <t>2687</t>
  </si>
  <si>
    <t>Dick, Mrs. Albert Adrian (Vera Gillespie)</t>
  </si>
  <si>
    <t>Long, Mr. Milton Clyde</t>
  </si>
  <si>
    <t>113501</t>
  </si>
  <si>
    <t>D6</t>
  </si>
  <si>
    <t>Johnston, Mr. Andrew G</t>
  </si>
  <si>
    <t>W./C. 6607</t>
  </si>
  <si>
    <t>Ali, Mr. William</t>
  </si>
  <si>
    <t>SOTON/O.Q. 3101312</t>
  </si>
  <si>
    <t>Harmer, Mr. Abraham (David Lishin)</t>
  </si>
  <si>
    <t>374887</t>
  </si>
  <si>
    <t>Sjoblom, Miss. Anna Sofia</t>
  </si>
  <si>
    <t>3101265</t>
  </si>
  <si>
    <t>Rice, Master. George Hugh</t>
  </si>
  <si>
    <t>Dean, Master. Bertram Vere</t>
  </si>
  <si>
    <t>Guggenheim, Mr. Benjamin</t>
  </si>
  <si>
    <t>B82 B84</t>
  </si>
  <si>
    <t>Keane, Mr. Andrew "Andy"</t>
  </si>
  <si>
    <t>12460</t>
  </si>
  <si>
    <t>Gaskell, Mr. Alfred</t>
  </si>
  <si>
    <t>Sage, Miss. Stella Anna</t>
  </si>
  <si>
    <t>Hoyt, Mr. William Fisher</t>
  </si>
  <si>
    <t>PC 17600</t>
  </si>
  <si>
    <t>Dantcheff, Mr. Ristiu</t>
  </si>
  <si>
    <t>349203</t>
  </si>
  <si>
    <t>Otter, Mr. Richard</t>
  </si>
  <si>
    <t>28213</t>
  </si>
  <si>
    <t>Leader, Dr. Alice (Farnham)</t>
  </si>
  <si>
    <t>17465</t>
  </si>
  <si>
    <t>D17</t>
  </si>
  <si>
    <t>Osman, Mrs. Mara</t>
  </si>
  <si>
    <t>349244</t>
  </si>
  <si>
    <t>Ibrahim Shawah, Mr. Yousseff</t>
  </si>
  <si>
    <t>2685</t>
  </si>
  <si>
    <t>Van Impe, Mrs. Jean Baptiste (Rosalie Paula Govaert)</t>
  </si>
  <si>
    <t>Ponesell, Mr. Martin</t>
  </si>
  <si>
    <t>Collyer, Mrs. Harvey (Charlotte Annie Tate)</t>
  </si>
  <si>
    <t>Carter, Master. William Thornton II</t>
  </si>
  <si>
    <t>Thomas, Master. Assad Alexander</t>
  </si>
  <si>
    <t>2625</t>
  </si>
  <si>
    <t>Hedman, Mr. Oskar Arvid</t>
  </si>
  <si>
    <t>347089</t>
  </si>
  <si>
    <t>Johansson, Mr. Karl Johan</t>
  </si>
  <si>
    <t>347063</t>
  </si>
  <si>
    <t>Andrews, Mr. Thomas Jr</t>
  </si>
  <si>
    <t>112050</t>
  </si>
  <si>
    <t>A36</t>
  </si>
  <si>
    <t>Pettersson, Miss. Ellen Natalia</t>
  </si>
  <si>
    <t>347087</t>
  </si>
  <si>
    <t>Meyer, Mr. August</t>
  </si>
  <si>
    <t>248723</t>
  </si>
  <si>
    <t>Chambers, Mrs. Norman Campbell (Bertha Griggs)</t>
  </si>
  <si>
    <t>Alexander, Mr. William</t>
  </si>
  <si>
    <t>3474</t>
  </si>
  <si>
    <t>Lester, Mr. James</t>
  </si>
  <si>
    <t>Slemen, Mr. Richard James</t>
  </si>
  <si>
    <t>28206</t>
  </si>
  <si>
    <t>Andersson, Miss. Ebba Iris Alfrida</t>
  </si>
  <si>
    <t>Tomlin, Mr. Ernest Portage</t>
  </si>
  <si>
    <t>364499</t>
  </si>
  <si>
    <t>Fry, Mr. Richard</t>
  </si>
  <si>
    <t>112058</t>
  </si>
  <si>
    <t>B102</t>
  </si>
  <si>
    <t>Heininen, Miss. Wendla Maria</t>
  </si>
  <si>
    <t>STON/O2. 3101290</t>
  </si>
  <si>
    <t>Mallet, Mr. Albert</t>
  </si>
  <si>
    <t>S.C./PARIS 2079</t>
  </si>
  <si>
    <t>Holm, Mr. John Fredrik Alexander</t>
  </si>
  <si>
    <t>C 7075</t>
  </si>
  <si>
    <t>Skoog, Master. Karl Thorsten</t>
  </si>
  <si>
    <t>Hays, Mrs. Charles Melville (Clara Jennings Gregg)</t>
  </si>
  <si>
    <t>B69</t>
  </si>
  <si>
    <t>Lulic, Mr. Nikola</t>
  </si>
  <si>
    <t>315098</t>
  </si>
  <si>
    <t>Reuchlin, Jonkheer. John George</t>
  </si>
  <si>
    <t>19972</t>
  </si>
  <si>
    <t>Moor, Mrs. (Beila)</t>
  </si>
  <si>
    <t>Panula, Master. Urho Abraham</t>
  </si>
  <si>
    <t>Flynn, Mr. John</t>
  </si>
  <si>
    <t>368323</t>
  </si>
  <si>
    <t>Lam, Mr. Len</t>
  </si>
  <si>
    <t>Mallet, Master. Andre</t>
  </si>
  <si>
    <t>McCormack, Mr. Thomas Joseph</t>
  </si>
  <si>
    <t>367228</t>
  </si>
  <si>
    <t>Stone, Mrs. George Nelson (Martha Evelyn)</t>
  </si>
  <si>
    <t>Yasbeck, Mrs. Antoni (Selini Alexander)</t>
  </si>
  <si>
    <t>Richards, Master. George Sibley</t>
  </si>
  <si>
    <t>Saad, Mr. Amin</t>
  </si>
  <si>
    <t>2671</t>
  </si>
  <si>
    <t>Augustsson, Mr. Albert</t>
  </si>
  <si>
    <t>347468</t>
  </si>
  <si>
    <t>Allum, Mr. Owen George</t>
  </si>
  <si>
    <t>2223</t>
  </si>
  <si>
    <t>Compton, Miss. Sara Rebecca</t>
  </si>
  <si>
    <t>PC 17756</t>
  </si>
  <si>
    <t>E49</t>
  </si>
  <si>
    <t>Pasic, Mr. Jakob</t>
  </si>
  <si>
    <t>315097</t>
  </si>
  <si>
    <t>Sirota, Mr. Maurice</t>
  </si>
  <si>
    <t>392092</t>
  </si>
  <si>
    <t>Chip, Mr. Chang</t>
  </si>
  <si>
    <t>Marechal, Mr. Pierre</t>
  </si>
  <si>
    <t>11774</t>
  </si>
  <si>
    <t>C47</t>
  </si>
  <si>
    <t>Alhomaki, Mr. Ilmari Rudolf</t>
  </si>
  <si>
    <t>SOTON/O2 3101287</t>
  </si>
  <si>
    <t>Mudd, Mr. Thomas Charles</t>
  </si>
  <si>
    <t>Serepeca, Miss. Augusta</t>
  </si>
  <si>
    <t>Lemberopolous, Mr. Peter L</t>
  </si>
  <si>
    <t>2683</t>
  </si>
  <si>
    <t>Culumovic, Mr. Jeso</t>
  </si>
  <si>
    <t>315090</t>
  </si>
  <si>
    <t>Abbing, Mr. Anthony</t>
  </si>
  <si>
    <t>C.A. 5547</t>
  </si>
  <si>
    <t>Sage, Mr. Douglas Bullen</t>
  </si>
  <si>
    <t>Markoff, Mr. Marin</t>
  </si>
  <si>
    <t>349213</t>
  </si>
  <si>
    <t>Harper, Rev. John</t>
  </si>
  <si>
    <t>Goldenberg, Mrs. Samuel L (Edwiga Grabowska)</t>
  </si>
  <si>
    <t>Andersson, Master. Sigvard Harald Elias</t>
  </si>
  <si>
    <t>Svensson, Mr. Johan</t>
  </si>
  <si>
    <t>347060</t>
  </si>
  <si>
    <t>Boulos, Miss. Nourelain</t>
  </si>
  <si>
    <t>Lines, Miss. Mary Conover</t>
  </si>
  <si>
    <t>PC 17592</t>
  </si>
  <si>
    <t>D28</t>
  </si>
  <si>
    <t>Carter, Mrs. Ernest Courtenay (Lilian Hughes)</t>
  </si>
  <si>
    <t>Aks, Mrs. Sam (Leah Rosen)</t>
  </si>
  <si>
    <t>392091</t>
  </si>
  <si>
    <t>Wick, Mrs. George Dennick (Mary Hitchcock)</t>
  </si>
  <si>
    <t xml:space="preserve">Daly, Mr. Peter Denis </t>
  </si>
  <si>
    <t>113055</t>
  </si>
  <si>
    <t>E17</t>
  </si>
  <si>
    <t>Baclini, Mrs. Solomon (Latifa Qurban)</t>
  </si>
  <si>
    <t>Razi, Mr. Raihed</t>
  </si>
  <si>
    <t>2629</t>
  </si>
  <si>
    <t>Hansen, Mr. Claus Peter</t>
  </si>
  <si>
    <t>350026</t>
  </si>
  <si>
    <t>Giles, Mr. Frederick Edward</t>
  </si>
  <si>
    <t>28134</t>
  </si>
  <si>
    <t>Swift, Mrs. Frederick Joel (Margaret Welles Barron)</t>
  </si>
  <si>
    <t>17466</t>
  </si>
  <si>
    <t>Sage, Miss. Dorothy Edith "Dolly"</t>
  </si>
  <si>
    <t>Gill, Mr. John William</t>
  </si>
  <si>
    <t>233866</t>
  </si>
  <si>
    <t>Bystrom, Mrs. (Karolina)</t>
  </si>
  <si>
    <t>236852</t>
  </si>
  <si>
    <t>Duran y More, Miss. Asuncion</t>
  </si>
  <si>
    <t>SC/PARIS 2149</t>
  </si>
  <si>
    <t>Roebling, Mr. Washington Augustus II</t>
  </si>
  <si>
    <t>PC 17590</t>
  </si>
  <si>
    <t>A24</t>
  </si>
  <si>
    <t>van Melkebeke, Mr. Philemon</t>
  </si>
  <si>
    <t>345777</t>
  </si>
  <si>
    <t>Johnson, Master. Harold Theodor</t>
  </si>
  <si>
    <t>Balkic, Mr. Cerin</t>
  </si>
  <si>
    <t>349248</t>
  </si>
  <si>
    <t>Beckwith, Mrs. Richard Leonard (Sallie Monypeny)</t>
  </si>
  <si>
    <t>Carlsson, Mr. Frans Olof</t>
  </si>
  <si>
    <t>695</t>
  </si>
  <si>
    <t>Vander Cruyssen, Mr. Victor</t>
  </si>
  <si>
    <t>345765</t>
  </si>
  <si>
    <t>Abelson, Mrs. Samuel (Hannah Wizosky)</t>
  </si>
  <si>
    <t>Najib, Miss. Adele Kiamie "Jane"</t>
  </si>
  <si>
    <t>2667</t>
  </si>
  <si>
    <t>Gustafsson, Mr. Alfred Ossian</t>
  </si>
  <si>
    <t>Petroff, Mr. Nedelio</t>
  </si>
  <si>
    <t>349212</t>
  </si>
  <si>
    <t>Laleff, Mr. Kristo</t>
  </si>
  <si>
    <t>349217</t>
  </si>
  <si>
    <t>Potter, Mrs. Thomas Jr (Lily Alexenia Wilson)</t>
  </si>
  <si>
    <t>C50</t>
  </si>
  <si>
    <t>Shelley, Mrs. William (Imanita Parrish Hall)</t>
  </si>
  <si>
    <t>Markun, Mr. Johann</t>
  </si>
  <si>
    <t>349257</t>
  </si>
  <si>
    <t>Dahlberg, Miss. Gerda Ulrika</t>
  </si>
  <si>
    <t>7552</t>
  </si>
  <si>
    <t>Banfield, Mr. Frederick James</t>
  </si>
  <si>
    <t>C.A./SOTON 34068</t>
  </si>
  <si>
    <t>Sutehall, Mr. Henry Jr</t>
  </si>
  <si>
    <t>SOTON/OQ 392076</t>
  </si>
  <si>
    <t>Rice, Mrs. William (Margaret Norton)</t>
  </si>
  <si>
    <t>Montvila, Rev. Juozas</t>
  </si>
  <si>
    <t>211536</t>
  </si>
  <si>
    <t>Graham, Miss. Margaret Edith</t>
  </si>
  <si>
    <t>112053</t>
  </si>
  <si>
    <t>B42</t>
  </si>
  <si>
    <t>Johnston, Miss. Catherine Helen "Carrie"</t>
  </si>
  <si>
    <t>Behr, Mr. Karl Howell</t>
  </si>
  <si>
    <t>111369</t>
  </si>
  <si>
    <t>C148</t>
  </si>
  <si>
    <t>Dooley, Mr. Patrick</t>
  </si>
  <si>
    <t>370376</t>
  </si>
  <si>
    <t>survived label</t>
  </si>
  <si>
    <t>Title</t>
  </si>
  <si>
    <t>Age Group</t>
  </si>
  <si>
    <t>Family Size</t>
  </si>
  <si>
    <t>A</t>
  </si>
  <si>
    <t>B</t>
  </si>
  <si>
    <t>low</t>
  </si>
  <si>
    <t>medium</t>
  </si>
  <si>
    <t>high</t>
  </si>
  <si>
    <t>very hiegh</t>
  </si>
  <si>
    <t>fair group</t>
  </si>
  <si>
    <t>class label</t>
  </si>
  <si>
    <t>total passengers</t>
  </si>
  <si>
    <t>overall survival rate (%)</t>
  </si>
  <si>
    <t>avreg age</t>
  </si>
  <si>
    <t>averge fair</t>
  </si>
  <si>
    <t>Row Labels</t>
  </si>
  <si>
    <t>Died</t>
  </si>
  <si>
    <t>Grand Total</t>
  </si>
  <si>
    <t>Column Labels</t>
  </si>
  <si>
    <t>1st</t>
  </si>
  <si>
    <t>2nd</t>
  </si>
  <si>
    <t>3rd</t>
  </si>
  <si>
    <t>Count of PassengerId</t>
  </si>
  <si>
    <t xml:space="preserve"> Passengers</t>
  </si>
  <si>
    <t>0-11</t>
  </si>
  <si>
    <t>12-19</t>
  </si>
  <si>
    <t>30-39</t>
  </si>
  <si>
    <t>40-49</t>
  </si>
  <si>
    <t>50-59</t>
  </si>
  <si>
    <t>fair survived</t>
  </si>
  <si>
    <t>fair died</t>
  </si>
  <si>
    <t>Unknown</t>
  </si>
  <si>
    <t>60-69</t>
  </si>
  <si>
    <t>20-29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</si>
</sst>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applyNumberFormat="1" applyAlignment="1">
      <alignment horizontal="center" vertical="center"/>
    </xf>
    <xf numFmtId="0" fontId="0" fillId="0" borderId="0" xfId="0" pivotButton="1"/>
    <xf numFmtId="0" fontId="0" fillId="0" borderId="0" xfId="0" applyAlignment="1">
      <alignment horizontal="left"/>
    </xf>
    <xf numFmtId="10" fontId="0" fillId="0" borderId="0" xfId="0" applyNumberFormat="1"/>
  </cellXfs>
  <cellStyles count="1">
    <cellStyle name="Normal" xfId="0" builtinId="0"/>
  </cellStyles>
  <dxfs count="17">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[Book1.xlsx]survived rate by class!PivotTable1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survival rate by class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'survived rate by class'!$B$3:$B$4</c:f>
              <c:strCache>
                <c:ptCount val="1"/>
                <c:pt idx="0">
                  <c:v>Died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'survived rate by class'!$A$5:$A$8</c:f>
              <c:strCache>
                <c:ptCount val="3"/>
                <c:pt idx="0">
                  <c:v>1st</c:v>
                </c:pt>
                <c:pt idx="1">
                  <c:v>2nd</c:v>
                </c:pt>
                <c:pt idx="2">
                  <c:v>3rd</c:v>
                </c:pt>
              </c:strCache>
            </c:strRef>
          </c:cat>
          <c:val>
            <c:numRef>
              <c:f>'survived rate by class'!$B$5:$B$8</c:f>
              <c:numCache>
                <c:formatCode>0.00%</c:formatCode>
                <c:ptCount val="3"/>
                <c:pt idx="0">
                  <c:v>0.37037037037037035</c:v>
                </c:pt>
                <c:pt idx="1">
                  <c:v>0.52717391304347827</c:v>
                </c:pt>
                <c:pt idx="2">
                  <c:v>0.75763747454175157</c:v>
                </c:pt>
              </c:numCache>
            </c:numRef>
          </c:val>
          <c:extLst>
            <c:ext xmlns:c16="http://schemas.microsoft.com/office/drawing/2014/chart" uri="{C3380CC4-5D6E-409C-BE32-E72D297353CC}">
              <c16:uniqueId val="{00000000-40B3-4FF9-8282-8BE7C36A2AF0}"/>
            </c:ext>
          </c:extLst>
        </c:ser>
        <c:ser>
          <c:idx val="1"/>
          <c:order val="1"/>
          <c:tx>
            <c:strRef>
              <c:f>'survived rate by class'!$C$3:$C$4</c:f>
              <c:strCache>
                <c:ptCount val="1"/>
                <c:pt idx="0">
                  <c:v>Survived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'survived rate by class'!$A$5:$A$8</c:f>
              <c:strCache>
                <c:ptCount val="3"/>
                <c:pt idx="0">
                  <c:v>1st</c:v>
                </c:pt>
                <c:pt idx="1">
                  <c:v>2nd</c:v>
                </c:pt>
                <c:pt idx="2">
                  <c:v>3rd</c:v>
                </c:pt>
              </c:strCache>
            </c:strRef>
          </c:cat>
          <c:val>
            <c:numRef>
              <c:f>'survived rate by class'!$C$5:$C$8</c:f>
              <c:numCache>
                <c:formatCode>0.00%</c:formatCode>
                <c:ptCount val="3"/>
                <c:pt idx="0">
                  <c:v>0.62962962962962965</c:v>
                </c:pt>
                <c:pt idx="1">
                  <c:v>0.47282608695652173</c:v>
                </c:pt>
                <c:pt idx="2">
                  <c:v>0.24236252545824846</c:v>
                </c:pt>
              </c:numCache>
            </c:numRef>
          </c:val>
          <c:extLst>
            <c:ext xmlns:c16="http://schemas.microsoft.com/office/drawing/2014/chart" uri="{C3380CC4-5D6E-409C-BE32-E72D297353CC}">
              <c16:uniqueId val="{00000005-3105-40EA-A9FE-BC4AF00C858D}"/>
            </c:ext>
          </c:extLst>
        </c:ser>
        <c:dLbls>
          <c:dLblPos val="ctr"/>
          <c:showLegendKey val="0"/>
          <c:showVal val="1"/>
          <c:showCatName val="0"/>
          <c:showSerName val="0"/>
          <c:showPercent val="0"/>
          <c:showBubbleSize val="0"/>
        </c:dLbls>
        <c:gapWidth val="150"/>
        <c:overlap val="100"/>
        <c:axId val="1352792224"/>
        <c:axId val="1352793184"/>
      </c:barChart>
      <c:catAx>
        <c:axId val="135279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793184"/>
        <c:crosses val="autoZero"/>
        <c:auto val="1"/>
        <c:lblAlgn val="ctr"/>
        <c:lblOffset val="100"/>
        <c:noMultiLvlLbl val="0"/>
      </c:catAx>
      <c:valAx>
        <c:axId val="13527931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7922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[Book1.xlsx]survived rate by class!PivotTable1</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'survived rate by class'!$B$3:$B$4</c:f>
              <c:strCache>
                <c:ptCount val="1"/>
                <c:pt idx="0">
                  <c:v>Died</c:v>
                </c:pt>
              </c:strCache>
            </c:strRef>
          </c:tx>
          <c:dPt>
            <c:idx val="0"/>
            <c:bubble3D val="0"/>
            <c:explosion val="20"/>
            <c:spPr>
              <a:solidFill>
                <a:schemeClr val="accent1"/>
              </a:solidFill>
              <a:ln w="19050">
                <a:solidFill>
                  <a:schemeClr val="lt1"/>
                </a:solidFill>
              </a:ln>
              <a:effectLst/>
            </c:spPr>
            <c:extLst>
              <c:ext xmlns:c16="http://schemas.microsoft.com/office/drawing/2014/chart" uri="{C3380CC4-5D6E-409C-BE32-E72D297353CC}">
                <c16:uniqueId val="{00000005-C6EB-4A6C-93A5-807CD0D2E7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B8-46BE-B945-E62C5B246D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B8-46BE-B945-E62C5B246D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'survived rate by class'!$A$5:$A$8</c:f>
              <c:strCache>
                <c:ptCount val="3"/>
                <c:pt idx="0">
                  <c:v>1st</c:v>
                </c:pt>
                <c:pt idx="1">
                  <c:v>2nd</c:v>
                </c:pt>
                <c:pt idx="2">
                  <c:v>3rd</c:v>
                </c:pt>
              </c:strCache>
            </c:strRef>
          </c:cat>
          <c:val>
            <c:numRef>
              <c:f>'survived rate by class'!$B$5:$B$8</c:f>
              <c:numCache>
                <c:formatCode>0.00%</c:formatCode>
                <c:ptCount val="3"/>
                <c:pt idx="0">
                  <c:v>0.37037037037037035</c:v>
                </c:pt>
                <c:pt idx="1">
                  <c:v>0.52717391304347827</c:v>
                </c:pt>
                <c:pt idx="2">
                  <c:v>0.75763747454175157</c:v>
                </c:pt>
              </c:numCache>
            </c:numRef>
          </c:val>
          <c:extLst>
            <c:ext xmlns:c16="http://schemas.microsoft.com/office/drawing/2014/chart" uri="{C3380CC4-5D6E-409C-BE32-E72D297353CC}">
              <c16:uniqueId val="{00000000-C6EB-4A6C-93A5-807CD0D2E7D2}"/>
            </c:ext>
          </c:extLst>
        </c:ser>
        <c:ser>
          <c:idx val="1"/>
          <c:order val="1"/>
          <c:tx>
            <c:strRef>
              <c:f>'survived rate by class'!$C$3:$C$4</c:f>
              <c:strCache>
                <c:ptCount val="1"/>
                <c:pt idx="0">
                  <c:v>Survived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50B8-46BE-B945-E62C5B246D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50B8-46BE-B945-E62C5B246D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50B8-46BE-B945-E62C5B246D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'survived rate by class'!$A$5:$A$8</c:f>
              <c:strCache>
                <c:ptCount val="3"/>
                <c:pt idx="0">
                  <c:v>1st</c:v>
                </c:pt>
                <c:pt idx="1">
                  <c:v>2nd</c:v>
                </c:pt>
                <c:pt idx="2">
                  <c:v>3rd</c:v>
                </c:pt>
              </c:strCache>
            </c:strRef>
          </c:cat>
          <c:val>
            <c:numRef>
              <c:f>'survived rate by class'!$C$5:$C$8</c:f>
              <c:numCache>
                <c:formatCode>0.00%</c:formatCode>
                <c:ptCount val="3"/>
                <c:pt idx="0">
                  <c:v>0.62962962962962965</c:v>
                </c:pt>
                <c:pt idx="1">
                  <c:v>0.47282608695652173</c:v>
                </c:pt>
                <c:pt idx="2">
                  <c:v>0.24236252545824846</c:v>
                </c:pt>
              </c:numCache>
            </c:numRef>
          </c:val>
          <c:extLst>
            <c:ext xmlns:c16="http://schemas.microsoft.com/office/drawing/2014/chart" uri="{C3380CC4-5D6E-409C-BE32-E72D297353CC}">
              <c16:uniqueId val="{00000001-C6EB-4A6C-93A5-807CD0D2E7D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[Book1.xlsx]survival by sex!PivotTable1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'survival by sex'!$B$3:$B$4</c:f>
              <c:strCache>
                <c:ptCount val="1"/>
                <c:pt idx="0">
                  <c:v>Died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'survival by sex'!$A$5:$A$7</c:f>
              <c:strCache>
                <c:ptCount val="2"/>
                <c:pt idx="0">
                  <c:v>female</c:v>
                </c:pt>
                <c:pt idx="1">
                  <c:v>male</c:v>
                </c:pt>
              </c:strCache>
            </c:strRef>
          </c:cat>
          <c:val>
            <c:numRef>
              <c:f>'survival by sex'!$B$5:$B$7</c:f>
              <c:numCache>
                <c:formatCode>0.00%</c:formatCode>
                <c:ptCount val="2"/>
                <c:pt idx="0">
                  <c:v>0.25796178343949044</c:v>
                </c:pt>
                <c:pt idx="1">
                  <c:v>0.81109185441941078</c:v>
                </c:pt>
              </c:numCache>
            </c:numRef>
          </c:val>
          <c:extLst>
            <c:ext xmlns:c16="http://schemas.microsoft.com/office/drawing/2014/chart" uri="{C3380CC4-5D6E-409C-BE32-E72D297353CC}">
              <c16:uniqueId val="{00000000-1446-46C5-BD7C-B07246326CA8}"/>
            </c:ext>
          </c:extLst>
        </c:ser>
        <c:ser>
          <c:idx val="1"/>
          <c:order val="1"/>
          <c:tx>
            <c:strRef>
              <c:f>'survival by sex'!$C$3:$C$4</c:f>
              <c:strCache>
                <c:ptCount val="1"/>
                <c:pt idx="0">
                  <c:v>Survived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'survival by sex'!$A$5:$A$7</c:f>
              <c:strCache>
                <c:ptCount val="2"/>
                <c:pt idx="0">
                  <c:v>female</c:v>
                </c:pt>
                <c:pt idx="1">
                  <c:v>male</c:v>
                </c:pt>
              </c:strCache>
            </c:strRef>
          </c:cat>
          <c:val>
            <c:numRef>
              <c:f>'survival by sex'!$C$5:$C$7</c:f>
              <c:numCache>
                <c:formatCode>0.00%</c:formatCode>
                <c:ptCount val="2"/>
                <c:pt idx="0">
                  <c:v>0.7420382165605095</c:v>
                </c:pt>
                <c:pt idx="1">
                  <c:v>0.18890814558058924</c:v>
                </c:pt>
              </c:numCache>
            </c:numRef>
          </c:val>
          <c:extLst>
            <c:ext xmlns:c16="http://schemas.microsoft.com/office/drawing/2014/chart" uri="{C3380CC4-5D6E-409C-BE32-E72D297353CC}">
              <c16:uniqueId val="{00000006-1B37-4E4D-89E1-ACC67577DCA0}"/>
            </c:ext>
          </c:extLst>
        </c:ser>
        <c:dLbls>
          <c:dLblPos val="ctr"/>
          <c:showLegendKey val="0"/>
          <c:showVal val="1"/>
          <c:showCatName val="0"/>
          <c:showSerName val="0"/>
          <c:showPercent val="0"/>
          <c:showBubbleSize val="0"/>
        </c:dLbls>
        <c:gapWidth val="150"/>
        <c:overlap val="100"/>
        <c:axId val="1237948928"/>
        <c:axId val="1237949888"/>
      </c:barChart>
      <c:catAx>
        <c:axId val="123794892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949888"/>
        <c:crosses val="autoZero"/>
        <c:auto val="1"/>
        <c:lblAlgn val="ctr"/>
        <c:lblOffset val="100"/>
        <c:noMultiLvlLbl val="0"/>
      </c:catAx>
      <c:valAx>
        <c:axId val="123794988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9489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[Book1.xlsx]survival by sex!PivotTable1</c:name>
    <c:fmtId val="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'survival by sex'!$B$3:$B$4</c:f>
              <c:strCache>
                <c:ptCount val="1"/>
                <c:pt idx="0">
                  <c:v>Died</c:v>
                </c:pt>
              </c:strCache>
            </c:strRef>
          </c:tx>
          <c:spPr>
            <a:solidFill>
              <a:schemeClr val="accent1"/>
            </a:solidFill>
            <a:ln>
              <a:noFill/>
            </a:ln>
            <a:effectLst/>
            <a:sp3d/>
          </c:spPr>
          <c:invertIfNegative val="0"/>
          <c:cat>
            <c:strRef>
              <c:f>'survival by sex'!$A$5:$A$7</c:f>
              <c:strCache>
                <c:ptCount val="2"/>
                <c:pt idx="0">
                  <c:v>female</c:v>
                </c:pt>
                <c:pt idx="1">
                  <c:v>male</c:v>
                </c:pt>
              </c:strCache>
            </c:strRef>
          </c:cat>
          <c:val>
            <c:numRef>
              <c:f>'survival by sex'!$B$5:$B$7</c:f>
              <c:numCache>
                <c:formatCode>0.00%</c:formatCode>
                <c:ptCount val="2"/>
                <c:pt idx="0">
                  <c:v>0.25796178343949044</c:v>
                </c:pt>
                <c:pt idx="1">
                  <c:v>0.81109185441941078</c:v>
                </c:pt>
              </c:numCache>
            </c:numRef>
          </c:val>
          <c:extLst>
            <c:ext xmlns:c16="http://schemas.microsoft.com/office/drawing/2014/chart" uri="{C3380CC4-5D6E-409C-BE32-E72D297353CC}">
              <c16:uniqueId val="{00000000-714A-4C07-B58A-4D8A895C9462}"/>
            </c:ext>
          </c:extLst>
        </c:ser>
        <c:ser>
          <c:idx val="1"/>
          <c:order val="1"/>
          <c:tx>
            <c:strRef>
              <c:f>'survival by sex'!$C$3:$C$4</c:f>
              <c:strCache>
                <c:ptCount val="1"/>
                <c:pt idx="0">
                  <c:v>Survived</c:v>
                </c:pt>
              </c:strCache>
            </c:strRef>
          </c:tx>
          <c:spPr>
            <a:solidFill>
              <a:schemeClr val="accent2"/>
            </a:solidFill>
            <a:ln>
              <a:noFill/>
            </a:ln>
            <a:effectLst/>
            <a:sp3d/>
          </c:spPr>
          <c:invertIfNegative val="0"/>
          <c:cat>
            <c:strRef>
              <c:f>'survival by sex'!$A$5:$A$7</c:f>
              <c:strCache>
                <c:ptCount val="2"/>
                <c:pt idx="0">
                  <c:v>female</c:v>
                </c:pt>
                <c:pt idx="1">
                  <c:v>male</c:v>
                </c:pt>
              </c:strCache>
            </c:strRef>
          </c:cat>
          <c:val>
            <c:numRef>
              <c:f>'survival by sex'!$C$5:$C$7</c:f>
              <c:numCache>
                <c:formatCode>0.00%</c:formatCode>
                <c:ptCount val="2"/>
                <c:pt idx="0">
                  <c:v>0.7420382165605095</c:v>
                </c:pt>
                <c:pt idx="1">
                  <c:v>0.18890814558058924</c:v>
                </c:pt>
              </c:numCache>
            </c:numRef>
          </c:val>
          <c:extLst>
            <c:ext xmlns:c16="http://schemas.microsoft.com/office/drawing/2014/chart" uri="{C3380CC4-5D6E-409C-BE32-E72D297353CC}">
              <c16:uniqueId val="{00000001-714A-4C07-B58A-4D8A895C9462}"/>
            </c:ext>
          </c:extLst>
        </c:ser>
        <c:dLbls>
          <c:showLegendKey val="0"/>
          <c:showVal val="0"/>
          <c:showCatName val="0"/>
          <c:showSerName val="0"/>
          <c:showPercent val="0"/>
          <c:showBubbleSize val="0"/>
        </c:dLbls>
        <c:gapWidth val="150"/>
        <c:shape val="box"/>
        <c:axId val="1163849391"/>
        <c:axId val="1163849871"/>
        <c:axId val="0"/>
      </c:bar3DChart>
      <c:catAx>
        <c:axId val="1163849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849871"/>
        <c:crosses val="autoZero"/>
        <c:auto val="1"/>
        <c:lblAlgn val="ctr"/>
        <c:lblOffset val="100"/>
        <c:noMultiLvlLbl val="0"/>
      </c:catAx>
      <c:valAx>
        <c:axId val="116384987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84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[Book1.xlsx]survir by age group!PivotTable2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'survir by age group'!$B$3:$B$4</c:f>
              <c:strCache>
                <c:ptCount val="1"/>
                <c:pt idx="0">
                  <c:v>Died</c:v>
                </c:pt>
              </c:strCache>
            </c:strRef>
          </c:tx>
          <c:spPr>
            <a:solidFill>
              <a:schemeClr val="accent1"/>
            </a:solidFill>
            <a:ln>
              <a:noFill/>
            </a:ln>
            <a:effectLst/>
          </c:spPr>
          <c:invertIfNegative val="0"/>
          <c:cat>
            <c:strRef>
              <c:f>'survir by age group'!$A$5:$A$13</c:f>
              <c:strCache>
                <c:ptCount val="8"/>
                <c:pt idx="0">
                  <c:v>0-11</c:v>
                </c:pt>
                <c:pt idx="1">
                  <c:v>12-19</c:v>
                </c:pt>
                <c:pt idx="2">
                  <c:v>20-29</c:v>
                </c:pt>
                <c:pt idx="3">
                  <c:v>30-39</c:v>
                </c:pt>
                <c:pt idx="4">
                  <c:v>40-49</c:v>
                </c:pt>
                <c:pt idx="5">
                  <c:v>50-59</c:v>
                </c:pt>
                <c:pt idx="6">
                  <c:v>60-69</c:v>
                </c:pt>
                <c:pt idx="7">
                  <c:v>0</c:v>
                </c:pt>
              </c:strCache>
            </c:strRef>
          </c:cat>
          <c:val>
            <c:numRef>
              <c:f>'survir by age group'!$B$5:$B$13</c:f>
              <c:numCache>
                <c:formatCode>General</c:formatCode>
                <c:ptCount val="8"/>
                <c:pt idx="0">
                  <c:v>29</c:v>
                </c:pt>
                <c:pt idx="1">
                  <c:v>56</c:v>
                </c:pt>
                <c:pt idx="2">
                  <c:v>268</c:v>
                </c:pt>
                <c:pt idx="3">
                  <c:v>94</c:v>
                </c:pt>
                <c:pt idx="4">
                  <c:v>55</c:v>
                </c:pt>
                <c:pt idx="5">
                  <c:v>28</c:v>
                </c:pt>
                <c:pt idx="6">
                  <c:v>13</c:v>
                </c:pt>
                <c:pt idx="7">
                  <c:v>6</c:v>
                </c:pt>
              </c:numCache>
            </c:numRef>
          </c:val>
          <c:extLst>
            <c:ext xmlns:c16="http://schemas.microsoft.com/office/drawing/2014/chart" uri="{C3380CC4-5D6E-409C-BE32-E72D297353CC}">
              <c16:uniqueId val="{00000000-5FB8-4624-AA3B-ED6869A52865}"/>
            </c:ext>
          </c:extLst>
        </c:ser>
        <c:ser>
          <c:idx val="1"/>
          <c:order val="1"/>
          <c:tx>
            <c:strRef>
              <c:f>'survir by age group'!$C$3:$C$4</c:f>
              <c:strCache>
                <c:ptCount val="1"/>
                <c:pt idx="0">
                  <c:v>Survived</c:v>
                </c:pt>
              </c:strCache>
            </c:strRef>
          </c:tx>
          <c:spPr>
            <a:solidFill>
              <a:schemeClr val="accent2"/>
            </a:solidFill>
            <a:ln>
              <a:noFill/>
            </a:ln>
            <a:effectLst/>
          </c:spPr>
          <c:invertIfNegative val="0"/>
          <c:cat>
            <c:strRef>
              <c:f>'survir by age group'!$A$5:$A$13</c:f>
              <c:strCache>
                <c:ptCount val="8"/>
                <c:pt idx="0">
                  <c:v>0-11</c:v>
                </c:pt>
                <c:pt idx="1">
                  <c:v>12-19</c:v>
                </c:pt>
                <c:pt idx="2">
                  <c:v>20-29</c:v>
                </c:pt>
                <c:pt idx="3">
                  <c:v>30-39</c:v>
                </c:pt>
                <c:pt idx="4">
                  <c:v>40-49</c:v>
                </c:pt>
                <c:pt idx="5">
                  <c:v>50-59</c:v>
                </c:pt>
                <c:pt idx="6">
                  <c:v>60-69</c:v>
                </c:pt>
                <c:pt idx="7">
                  <c:v>0</c:v>
                </c:pt>
              </c:strCache>
            </c:strRef>
          </c:cat>
          <c:val>
            <c:numRef>
              <c:f>'survir by age group'!$C$5:$C$13</c:f>
              <c:numCache>
                <c:formatCode>General</c:formatCode>
                <c:ptCount val="8"/>
                <c:pt idx="0">
                  <c:v>39</c:v>
                </c:pt>
                <c:pt idx="1">
                  <c:v>40</c:v>
                </c:pt>
                <c:pt idx="2">
                  <c:v>129</c:v>
                </c:pt>
                <c:pt idx="3">
                  <c:v>73</c:v>
                </c:pt>
                <c:pt idx="4">
                  <c:v>34</c:v>
                </c:pt>
                <c:pt idx="5">
                  <c:v>20</c:v>
                </c:pt>
                <c:pt idx="6">
                  <c:v>6</c:v>
                </c:pt>
                <c:pt idx="7">
                  <c:v>1</c:v>
                </c:pt>
              </c:numCache>
            </c:numRef>
          </c:val>
          <c:extLst>
            <c:ext xmlns:c16="http://schemas.microsoft.com/office/drawing/2014/chart" uri="{C3380CC4-5D6E-409C-BE32-E72D297353CC}">
              <c16:uniqueId val="{00000002-3D23-45C2-A922-99272EF95359}"/>
            </c:ext>
          </c:extLst>
        </c:ser>
        <c:dLbls>
          <c:showLegendKey val="0"/>
          <c:showVal val="0"/>
          <c:showCatName val="0"/>
          <c:showSerName val="0"/>
          <c:showPercent val="0"/>
          <c:showBubbleSize val="0"/>
        </c:dLbls>
        <c:gapWidth val="150"/>
        <c:overlap val="100"/>
        <c:axId val="1237895584"/>
        <c:axId val="1237896544"/>
      </c:barChart>
      <c:catAx>
        <c:axId val="123789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896544"/>
        <c:crosses val="autoZero"/>
        <c:auto val="1"/>
        <c:lblAlgn val="ctr"/>
        <c:lblOffset val="100"/>
        <c:noMultiLvlLbl val="0"/>
      </c:catAx>
      <c:valAx>
        <c:axId val="1237896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89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'survir by age group'!$E$5:$E$11</c:f>
              <c:numCache>
                <c:formatCode>General</c:formatCode>
                <c:ptCount val="7"/>
              </c:numCache>
            </c:numRef>
          </c:val>
          <c:smooth val="0"/>
          <c:extLst>
            <c:ext xmlns:c16="http://schemas.microsoft.com/office/drawing/2014/chart" uri="{C3380CC4-5D6E-409C-BE32-E72D297353CC}">
              <c16:uniqueId val="{00000000-6EE0-46CB-9B99-C4EC5EFF9F7B}"/>
            </c:ext>
          </c:extLst>
        </c:ser>
        <c:dLbls>
          <c:showLegendKey val="0"/>
          <c:showVal val="0"/>
          <c:showCatName val="0"/>
          <c:showSerName val="0"/>
          <c:showPercent val="0"/>
          <c:showBubbleSize val="0"/>
        </c:dLbls>
        <c:smooth val="0"/>
        <c:axId val="1246948368"/>
        <c:axId val="1246953168"/>
      </c:lineChart>
      <c:catAx>
        <c:axId val="124694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953168"/>
        <c:crosses val="autoZero"/>
        <c:auto val="1"/>
        <c:lblAlgn val="ctr"/>
        <c:lblOffset val="100"/>
        <c:noMultiLvlLbl val="0"/>
      </c:catAx>
      <c:valAx>
        <c:axId val="1246953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948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[Book1.xlsx]survir by age group!PivotTable2</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'survir by age group'!$B$3:$B$4</c:f>
              <c:strCache>
                <c:ptCount val="1"/>
                <c:pt idx="0">
                  <c:v>Died</c:v>
                </c:pt>
              </c:strCache>
            </c:strRef>
          </c:tx>
          <c:spPr>
            <a:solidFill>
              <a:schemeClr val="accent1"/>
            </a:solidFill>
            <a:ln>
              <a:noFill/>
            </a:ln>
            <a:effectLst/>
          </c:spPr>
          <c:invertIfNegative val="0"/>
          <c:cat>
            <c:strRef>
              <c:f>'survir by age group'!$A$5:$A$13</c:f>
              <c:strCache>
                <c:ptCount val="8"/>
                <c:pt idx="0">
                  <c:v>0-11</c:v>
                </c:pt>
                <c:pt idx="1">
                  <c:v>12-19</c:v>
                </c:pt>
                <c:pt idx="2">
                  <c:v>20-29</c:v>
                </c:pt>
                <c:pt idx="3">
                  <c:v>30-39</c:v>
                </c:pt>
                <c:pt idx="4">
                  <c:v>40-49</c:v>
                </c:pt>
                <c:pt idx="5">
                  <c:v>50-59</c:v>
                </c:pt>
                <c:pt idx="6">
                  <c:v>60-69</c:v>
                </c:pt>
                <c:pt idx="7">
                  <c:v>0</c:v>
                </c:pt>
              </c:strCache>
            </c:strRef>
          </c:cat>
          <c:val>
            <c:numRef>
              <c:f>'survir by age group'!$B$5:$B$13</c:f>
              <c:numCache>
                <c:formatCode>General</c:formatCode>
                <c:ptCount val="8"/>
                <c:pt idx="0">
                  <c:v>29</c:v>
                </c:pt>
                <c:pt idx="1">
                  <c:v>56</c:v>
                </c:pt>
                <c:pt idx="2">
                  <c:v>268</c:v>
                </c:pt>
                <c:pt idx="3">
                  <c:v>94</c:v>
                </c:pt>
                <c:pt idx="4">
                  <c:v>55</c:v>
                </c:pt>
                <c:pt idx="5">
                  <c:v>28</c:v>
                </c:pt>
                <c:pt idx="6">
                  <c:v>13</c:v>
                </c:pt>
                <c:pt idx="7">
                  <c:v>6</c:v>
                </c:pt>
              </c:numCache>
            </c:numRef>
          </c:val>
          <c:extLst>
            <c:ext xmlns:c16="http://schemas.microsoft.com/office/drawing/2014/chart" uri="{C3380CC4-5D6E-409C-BE32-E72D297353CC}">
              <c16:uniqueId val="{00000000-06FB-4525-B6FC-F22FA6E71C06}"/>
            </c:ext>
          </c:extLst>
        </c:ser>
        <c:dLbls>
          <c:showLegendKey val="0"/>
          <c:showVal val="0"/>
          <c:showCatName val="0"/>
          <c:showSerName val="0"/>
          <c:showPercent val="0"/>
          <c:showBubbleSize val="0"/>
        </c:dLbls>
        <c:gapWidth val="219"/>
        <c:overlap val="-27"/>
        <c:axId val="1175946319"/>
        <c:axId val="1175955919"/>
      </c:barChart>
      <c:lineChart>
        <c:grouping val="standard"/>
        <c:varyColors val="0"/>
        <c:ser>
          <c:idx val="1"/>
          <c:order val="1"/>
          <c:tx>
            <c:strRef>
              <c:f>'survir by age group'!$C$3:$C$4</c:f>
              <c:strCache>
                <c:ptCount val="1"/>
                <c:pt idx="0">
                  <c:v>Survived</c:v>
                </c:pt>
              </c:strCache>
            </c:strRef>
          </c:tx>
          <c:spPr>
            <a:ln w="28575" cap="rnd">
              <a:solidFill>
                <a:schemeClr val="accent2"/>
              </a:solidFill>
              <a:round/>
            </a:ln>
            <a:effectLst/>
          </c:spPr>
          <c:marker>
            <c:symbol val="none"/>
          </c:marker>
          <c:cat>
            <c:strRef>
              <c:f>'survir by age group'!$A$5:$A$13</c:f>
              <c:strCache>
                <c:ptCount val="8"/>
                <c:pt idx="0">
                  <c:v>0-11</c:v>
                </c:pt>
                <c:pt idx="1">
                  <c:v>12-19</c:v>
                </c:pt>
                <c:pt idx="2">
                  <c:v>20-29</c:v>
                </c:pt>
                <c:pt idx="3">
                  <c:v>30-39</c:v>
                </c:pt>
                <c:pt idx="4">
                  <c:v>40-49</c:v>
                </c:pt>
                <c:pt idx="5">
                  <c:v>50-59</c:v>
                </c:pt>
                <c:pt idx="6">
                  <c:v>60-69</c:v>
                </c:pt>
                <c:pt idx="7">
                  <c:v>0</c:v>
                </c:pt>
              </c:strCache>
            </c:strRef>
          </c:cat>
          <c:val>
            <c:numRef>
              <c:f>'survir by age group'!$C$5:$C$13</c:f>
              <c:numCache>
                <c:formatCode>General</c:formatCode>
                <c:ptCount val="8"/>
                <c:pt idx="0">
                  <c:v>39</c:v>
                </c:pt>
                <c:pt idx="1">
                  <c:v>40</c:v>
                </c:pt>
                <c:pt idx="2">
                  <c:v>129</c:v>
                </c:pt>
                <c:pt idx="3">
                  <c:v>73</c:v>
                </c:pt>
                <c:pt idx="4">
                  <c:v>34</c:v>
                </c:pt>
                <c:pt idx="5">
                  <c:v>20</c:v>
                </c:pt>
                <c:pt idx="6">
                  <c:v>6</c:v>
                </c:pt>
                <c:pt idx="7">
                  <c:v>1</c:v>
                </c:pt>
              </c:numCache>
            </c:numRef>
          </c:val>
          <c:smooth val="0"/>
          <c:extLst>
            <c:ext xmlns:c16="http://schemas.microsoft.com/office/drawing/2014/chart" uri="{C3380CC4-5D6E-409C-BE32-E72D297353CC}">
              <c16:uniqueId val="{00000001-06FB-4525-B6FC-F22FA6E71C06}"/>
            </c:ext>
          </c:extLst>
        </c:ser>
        <c:dLbls>
          <c:showLegendKey val="0"/>
          <c:showVal val="0"/>
          <c:showCatName val="0"/>
          <c:showSerName val="0"/>
          <c:showPercent val="0"/>
          <c:showBubbleSize val="0"/>
        </c:dLbls>
        <c:marker val="1"/>
        <c:smooth val="0"/>
        <c:axId val="1175946319"/>
        <c:axId val="1175955919"/>
      </c:lineChart>
      <c:catAx>
        <c:axId val="117594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955919"/>
        <c:crosses val="autoZero"/>
        <c:auto val="1"/>
        <c:lblAlgn val="ctr"/>
        <c:lblOffset val="100"/>
        <c:noMultiLvlLbl val="0"/>
      </c:catAx>
      <c:valAx>
        <c:axId val="1175955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94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[Book1.xlsx]survival by embarked!PivotTable13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'survival by embarked'!$B$3:$B$4</c:f>
              <c:strCache>
                <c:ptCount val="1"/>
                <c:pt idx="0">
                  <c:v>Died</c:v>
                </c:pt>
              </c:strCache>
            </c:strRef>
          </c:tx>
          <c:spPr>
            <a:solidFill>
              <a:schemeClr val="accent1"/>
            </a:solidFill>
            <a:ln>
              <a:noFill/>
            </a:ln>
            <a:effectLst/>
          </c:spPr>
          <c:invertIfNegative val="0"/>
          <c:cat>
            <c:strRef>
              <c:f>'survival by embarked'!$A$5:$A$9</c:f>
              <c:strCache>
                <c:ptCount val="4"/>
                <c:pt idx="0">
                  <c:v>C</c:v>
                </c:pt>
                <c:pt idx="1">
                  <c:v>Q</c:v>
                </c:pt>
                <c:pt idx="2">
                  <c:v>S</c:v>
                </c:pt>
                <c:pt idx="3">
                  <c:v>Unknown</c:v>
                </c:pt>
              </c:strCache>
            </c:strRef>
          </c:cat>
          <c:val>
            <c:numRef>
              <c:f>'survival by embarked'!$B$5:$B$9</c:f>
              <c:numCache>
                <c:formatCode>General</c:formatCode>
                <c:ptCount val="4"/>
                <c:pt idx="0">
                  <c:v>75</c:v>
                </c:pt>
                <c:pt idx="1">
                  <c:v>47</c:v>
                </c:pt>
                <c:pt idx="2">
                  <c:v>427</c:v>
                </c:pt>
              </c:numCache>
            </c:numRef>
          </c:val>
          <c:extLst>
            <c:ext xmlns:c16="http://schemas.microsoft.com/office/drawing/2014/chart" uri="{C3380CC4-5D6E-409C-BE32-E72D297353CC}">
              <c16:uniqueId val="{00000000-8F15-404E-9B97-0F925184C4CC}"/>
            </c:ext>
          </c:extLst>
        </c:ser>
        <c:ser>
          <c:idx val="1"/>
          <c:order val="1"/>
          <c:tx>
            <c:strRef>
              <c:f>'survival by embarked'!$C$3:$C$4</c:f>
              <c:strCache>
                <c:ptCount val="1"/>
                <c:pt idx="0">
                  <c:v>Survived</c:v>
                </c:pt>
              </c:strCache>
            </c:strRef>
          </c:tx>
          <c:spPr>
            <a:solidFill>
              <a:schemeClr val="accent2"/>
            </a:solidFill>
            <a:ln>
              <a:noFill/>
            </a:ln>
            <a:effectLst/>
          </c:spPr>
          <c:invertIfNegative val="0"/>
          <c:cat>
            <c:strRef>
              <c:f>'survival by embarked'!$A$5:$A$9</c:f>
              <c:strCache>
                <c:ptCount val="4"/>
                <c:pt idx="0">
                  <c:v>C</c:v>
                </c:pt>
                <c:pt idx="1">
                  <c:v>Q</c:v>
                </c:pt>
                <c:pt idx="2">
                  <c:v>S</c:v>
                </c:pt>
                <c:pt idx="3">
                  <c:v>Unknown</c:v>
                </c:pt>
              </c:strCache>
            </c:strRef>
          </c:cat>
          <c:val>
            <c:numRef>
              <c:f>'survival by embarked'!$C$5:$C$9</c:f>
              <c:numCache>
                <c:formatCode>General</c:formatCode>
                <c:ptCount val="4"/>
                <c:pt idx="0">
                  <c:v>93</c:v>
                </c:pt>
                <c:pt idx="1">
                  <c:v>30</c:v>
                </c:pt>
                <c:pt idx="2">
                  <c:v>217</c:v>
                </c:pt>
                <c:pt idx="3">
                  <c:v>2</c:v>
                </c:pt>
              </c:numCache>
            </c:numRef>
          </c:val>
          <c:extLst>
            <c:ext xmlns:c16="http://schemas.microsoft.com/office/drawing/2014/chart" uri="{C3380CC4-5D6E-409C-BE32-E72D297353CC}">
              <c16:uniqueId val="{00000002-F9A0-4D08-8420-C01F0D8EAE54}"/>
            </c:ext>
          </c:extLst>
        </c:ser>
        <c:dLbls>
          <c:showLegendKey val="0"/>
          <c:showVal val="0"/>
          <c:showCatName val="0"/>
          <c:showSerName val="0"/>
          <c:showPercent val="0"/>
          <c:showBubbleSize val="0"/>
        </c:dLbls>
        <c:gapWidth val="150"/>
        <c:overlap val="100"/>
        <c:axId val="1218274080"/>
        <c:axId val="1218274560"/>
      </c:barChart>
      <c:catAx>
        <c:axId val="121827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274560"/>
        <c:crosses val="autoZero"/>
        <c:auto val="1"/>
        <c:lblAlgn val="ctr"/>
        <c:lblOffset val="100"/>
        <c:noMultiLvlLbl val="0"/>
      </c:catAx>
      <c:valAx>
        <c:axId val="1218274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27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[Book1.xlsx]survival by family size!PivotTable14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'survival by family size'!$B$3:$B$4</c:f>
              <c:strCache>
                <c:ptCount val="1"/>
                <c:pt idx="0">
                  <c:v>Died</c:v>
                </c:pt>
              </c:strCache>
            </c:strRef>
          </c:tx>
          <c:spPr>
            <a:solidFill>
              <a:schemeClr val="accent1"/>
            </a:solidFill>
            <a:ln>
              <a:noFill/>
            </a:ln>
            <a:effectLst/>
          </c:spPr>
          <c:invertIfNegative val="0"/>
          <c:cat>
            <c:strRef>
              <c:f>'survival by family size'!$A$5:$A$14</c:f>
              <c:strCache>
                <c:ptCount val="9"/>
                <c:pt idx="0">
                  <c:v>0</c:v>
                </c:pt>
                <c:pt idx="1">
                  <c:v>1</c:v>
                </c:pt>
                <c:pt idx="2">
                  <c:v>2</c:v>
                </c:pt>
                <c:pt idx="3">
                  <c:v>3</c:v>
                </c:pt>
                <c:pt idx="4">
                  <c:v>4</c:v>
                </c:pt>
                <c:pt idx="5">
                  <c:v>5</c:v>
                </c:pt>
                <c:pt idx="6">
                  <c:v>6</c:v>
                </c:pt>
                <c:pt idx="7">
                  <c:v>7</c:v>
                </c:pt>
                <c:pt idx="8">
                  <c:v>10</c:v>
                </c:pt>
              </c:strCache>
            </c:strRef>
          </c:cat>
          <c:val>
            <c:numRef>
              <c:f>'survival by family size'!$B$5:$B$14</c:f>
              <c:numCache>
                <c:formatCode>General</c:formatCode>
                <c:ptCount val="9"/>
                <c:pt idx="0">
                  <c:v>374</c:v>
                </c:pt>
                <c:pt idx="1">
                  <c:v>72</c:v>
                </c:pt>
                <c:pt idx="2">
                  <c:v>43</c:v>
                </c:pt>
                <c:pt idx="3">
                  <c:v>8</c:v>
                </c:pt>
                <c:pt idx="4">
                  <c:v>12</c:v>
                </c:pt>
                <c:pt idx="5">
                  <c:v>19</c:v>
                </c:pt>
                <c:pt idx="6">
                  <c:v>8</c:v>
                </c:pt>
                <c:pt idx="7">
                  <c:v>6</c:v>
                </c:pt>
                <c:pt idx="8">
                  <c:v>7</c:v>
                </c:pt>
              </c:numCache>
            </c:numRef>
          </c:val>
          <c:extLst>
            <c:ext xmlns:c16="http://schemas.microsoft.com/office/drawing/2014/chart" uri="{C3380CC4-5D6E-409C-BE32-E72D297353CC}">
              <c16:uniqueId val="{00000000-2902-482A-A2FA-F570551CAFAD}"/>
            </c:ext>
          </c:extLst>
        </c:ser>
        <c:ser>
          <c:idx val="1"/>
          <c:order val="1"/>
          <c:tx>
            <c:strRef>
              <c:f>'survival by family size'!$C$3:$C$4</c:f>
              <c:strCache>
                <c:ptCount val="1"/>
                <c:pt idx="0">
                  <c:v>Survived</c:v>
                </c:pt>
              </c:strCache>
            </c:strRef>
          </c:tx>
          <c:spPr>
            <a:solidFill>
              <a:schemeClr val="accent2"/>
            </a:solidFill>
            <a:ln>
              <a:noFill/>
            </a:ln>
            <a:effectLst/>
          </c:spPr>
          <c:invertIfNegative val="0"/>
          <c:cat>
            <c:strRef>
              <c:f>'survival by family size'!$A$5:$A$14</c:f>
              <c:strCache>
                <c:ptCount val="9"/>
                <c:pt idx="0">
                  <c:v>0</c:v>
                </c:pt>
                <c:pt idx="1">
                  <c:v>1</c:v>
                </c:pt>
                <c:pt idx="2">
                  <c:v>2</c:v>
                </c:pt>
                <c:pt idx="3">
                  <c:v>3</c:v>
                </c:pt>
                <c:pt idx="4">
                  <c:v>4</c:v>
                </c:pt>
                <c:pt idx="5">
                  <c:v>5</c:v>
                </c:pt>
                <c:pt idx="6">
                  <c:v>6</c:v>
                </c:pt>
                <c:pt idx="7">
                  <c:v>7</c:v>
                </c:pt>
                <c:pt idx="8">
                  <c:v>10</c:v>
                </c:pt>
              </c:strCache>
            </c:strRef>
          </c:cat>
          <c:val>
            <c:numRef>
              <c:f>'survival by family size'!$C$5:$C$14</c:f>
              <c:numCache>
                <c:formatCode>General</c:formatCode>
                <c:ptCount val="9"/>
                <c:pt idx="0">
                  <c:v>163</c:v>
                </c:pt>
                <c:pt idx="1">
                  <c:v>89</c:v>
                </c:pt>
                <c:pt idx="2">
                  <c:v>59</c:v>
                </c:pt>
                <c:pt idx="3">
                  <c:v>21</c:v>
                </c:pt>
                <c:pt idx="4">
                  <c:v>3</c:v>
                </c:pt>
                <c:pt idx="5">
                  <c:v>3</c:v>
                </c:pt>
                <c:pt idx="6">
                  <c:v>4</c:v>
                </c:pt>
              </c:numCache>
            </c:numRef>
          </c:val>
          <c:extLst>
            <c:ext xmlns:c16="http://schemas.microsoft.com/office/drawing/2014/chart" uri="{C3380CC4-5D6E-409C-BE32-E72D297353CC}">
              <c16:uniqueId val="{00000004-754F-45FE-AA23-CD2489158F42}"/>
            </c:ext>
          </c:extLst>
        </c:ser>
        <c:dLbls>
          <c:showLegendKey val="0"/>
          <c:showVal val="0"/>
          <c:showCatName val="0"/>
          <c:showSerName val="0"/>
          <c:showPercent val="0"/>
          <c:showBubbleSize val="0"/>
        </c:dLbls>
        <c:gapWidth val="219"/>
        <c:overlap val="-27"/>
        <c:axId val="1210155968"/>
        <c:axId val="1210157888"/>
      </c:barChart>
      <c:catAx>
        <c:axId val="121015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157888"/>
        <c:crosses val="autoZero"/>
        <c:auto val="1"/>
        <c:lblAlgn val="ctr"/>
        <c:lblOffset val="100"/>
        <c:noMultiLvlLbl val="0"/>
      </c:catAx>
      <c:valAx>
        <c:axId val="121015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15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[Book1.xlsx]survival by family size!PivotTable14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survival by family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'survival by family size'!$B$3:$B$4</c:f>
              <c:strCache>
                <c:ptCount val="1"/>
                <c:pt idx="0">
                  <c:v>Died</c:v>
                </c:pt>
              </c:strCache>
            </c:strRef>
          </c:tx>
          <c:spPr>
            <a:solidFill>
              <a:schemeClr val="accent1"/>
            </a:solidFill>
            <a:ln>
              <a:noFill/>
            </a:ln>
            <a:effectLst/>
          </c:spPr>
          <c:invertIfNegative val="0"/>
          <c:cat>
            <c:strRef>
              <c:f>'survival by family size'!$A$5:$A$14</c:f>
              <c:strCache>
                <c:ptCount val="9"/>
                <c:pt idx="0">
                  <c:v>0</c:v>
                </c:pt>
                <c:pt idx="1">
                  <c:v>1</c:v>
                </c:pt>
                <c:pt idx="2">
                  <c:v>2</c:v>
                </c:pt>
                <c:pt idx="3">
                  <c:v>3</c:v>
                </c:pt>
                <c:pt idx="4">
                  <c:v>4</c:v>
                </c:pt>
                <c:pt idx="5">
                  <c:v>5</c:v>
                </c:pt>
                <c:pt idx="6">
                  <c:v>6</c:v>
                </c:pt>
                <c:pt idx="7">
                  <c:v>7</c:v>
                </c:pt>
                <c:pt idx="8">
                  <c:v>10</c:v>
                </c:pt>
              </c:strCache>
            </c:strRef>
          </c:cat>
          <c:val>
            <c:numRef>
              <c:f>'survival by family size'!$B$5:$B$14</c:f>
              <c:numCache>
                <c:formatCode>General</c:formatCode>
                <c:ptCount val="9"/>
                <c:pt idx="0">
                  <c:v>374</c:v>
                </c:pt>
                <c:pt idx="1">
                  <c:v>72</c:v>
                </c:pt>
                <c:pt idx="2">
                  <c:v>43</c:v>
                </c:pt>
                <c:pt idx="3">
                  <c:v>8</c:v>
                </c:pt>
                <c:pt idx="4">
                  <c:v>12</c:v>
                </c:pt>
                <c:pt idx="5">
                  <c:v>19</c:v>
                </c:pt>
                <c:pt idx="6">
                  <c:v>8</c:v>
                </c:pt>
                <c:pt idx="7">
                  <c:v>6</c:v>
                </c:pt>
                <c:pt idx="8">
                  <c:v>7</c:v>
                </c:pt>
              </c:numCache>
            </c:numRef>
          </c:val>
          <c:extLst>
            <c:ext xmlns:c16="http://schemas.microsoft.com/office/drawing/2014/chart" uri="{C3380CC4-5D6E-409C-BE32-E72D297353CC}">
              <c16:uniqueId val="{00000000-9AF9-4FBA-93DE-7D7B92BD0316}"/>
            </c:ext>
          </c:extLst>
        </c:ser>
        <c:ser>
          <c:idx val="1"/>
          <c:order val="1"/>
          <c:tx>
            <c:strRef>
              <c:f>'survival by family size'!$C$3:$C$4</c:f>
              <c:strCache>
                <c:ptCount val="1"/>
                <c:pt idx="0">
                  <c:v>Survived</c:v>
                </c:pt>
              </c:strCache>
            </c:strRef>
          </c:tx>
          <c:spPr>
            <a:solidFill>
              <a:schemeClr val="accent2"/>
            </a:solidFill>
            <a:ln>
              <a:noFill/>
            </a:ln>
            <a:effectLst/>
          </c:spPr>
          <c:invertIfNegative val="0"/>
          <c:cat>
            <c:strRef>
              <c:f>'survival by family size'!$A$5:$A$14</c:f>
              <c:strCache>
                <c:ptCount val="9"/>
                <c:pt idx="0">
                  <c:v>0</c:v>
                </c:pt>
                <c:pt idx="1">
                  <c:v>1</c:v>
                </c:pt>
                <c:pt idx="2">
                  <c:v>2</c:v>
                </c:pt>
                <c:pt idx="3">
                  <c:v>3</c:v>
                </c:pt>
                <c:pt idx="4">
                  <c:v>4</c:v>
                </c:pt>
                <c:pt idx="5">
                  <c:v>5</c:v>
                </c:pt>
                <c:pt idx="6">
                  <c:v>6</c:v>
                </c:pt>
                <c:pt idx="7">
                  <c:v>7</c:v>
                </c:pt>
                <c:pt idx="8">
                  <c:v>10</c:v>
                </c:pt>
              </c:strCache>
            </c:strRef>
          </c:cat>
          <c:val>
            <c:numRef>
              <c:f>'survival by family size'!$C$5:$C$14</c:f>
              <c:numCache>
                <c:formatCode>General</c:formatCode>
                <c:ptCount val="9"/>
                <c:pt idx="0">
                  <c:v>163</c:v>
                </c:pt>
                <c:pt idx="1">
                  <c:v>89</c:v>
                </c:pt>
                <c:pt idx="2">
                  <c:v>59</c:v>
                </c:pt>
                <c:pt idx="3">
                  <c:v>21</c:v>
                </c:pt>
                <c:pt idx="4">
                  <c:v>3</c:v>
                </c:pt>
                <c:pt idx="5">
                  <c:v>3</c:v>
                </c:pt>
                <c:pt idx="6">
                  <c:v>4</c:v>
                </c:pt>
              </c:numCache>
            </c:numRef>
          </c:val>
          <c:extLst>
            <c:ext xmlns:c16="http://schemas.microsoft.com/office/drawing/2014/chart" uri="{C3380CC4-5D6E-409C-BE32-E72D297353CC}">
              <c16:uniqueId val="{00000004-08A0-4928-B769-07324B3ED0C9}"/>
            </c:ext>
          </c:extLst>
        </c:ser>
        <c:dLbls>
          <c:showLegendKey val="0"/>
          <c:showVal val="0"/>
          <c:showCatName val="0"/>
          <c:showSerName val="0"/>
          <c:showPercent val="0"/>
          <c:showBubbleSize val="0"/>
        </c:dLbls>
        <c:gapWidth val="219"/>
        <c:overlap val="-27"/>
        <c:axId val="1210155968"/>
        <c:axId val="1210157888"/>
      </c:barChart>
      <c:catAx>
        <c:axId val="121015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157888"/>
        <c:crosses val="autoZero"/>
        <c:auto val="1"/>
        <c:lblAlgn val="ctr"/>
        <c:lblOffset val="100"/>
        <c:noMultiLvlLbl val="0"/>
      </c:catAx>
      <c:valAx>
        <c:axId val="121015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15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[Book1.xlsx]survival by embarked!PivotTable13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survival by embarked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'survival by embarked'!$B$3:$B$4</c:f>
              <c:strCache>
                <c:ptCount val="1"/>
                <c:pt idx="0">
                  <c:v>Died</c:v>
                </c:pt>
              </c:strCache>
            </c:strRef>
          </c:tx>
          <c:spPr>
            <a:solidFill>
              <a:schemeClr val="accent1"/>
            </a:solidFill>
            <a:ln>
              <a:noFill/>
            </a:ln>
            <a:effectLst/>
          </c:spPr>
          <c:invertIfNegative val="0"/>
          <c:cat>
            <c:strRef>
              <c:f>'survival by embarked'!$A$5:$A$9</c:f>
              <c:strCache>
                <c:ptCount val="4"/>
                <c:pt idx="0">
                  <c:v>C</c:v>
                </c:pt>
                <c:pt idx="1">
                  <c:v>Q</c:v>
                </c:pt>
                <c:pt idx="2">
                  <c:v>S</c:v>
                </c:pt>
                <c:pt idx="3">
                  <c:v>Unknown</c:v>
                </c:pt>
              </c:strCache>
            </c:strRef>
          </c:cat>
          <c:val>
            <c:numRef>
              <c:f>'survival by embarked'!$B$5:$B$9</c:f>
              <c:numCache>
                <c:formatCode>General</c:formatCode>
                <c:ptCount val="4"/>
                <c:pt idx="0">
                  <c:v>75</c:v>
                </c:pt>
                <c:pt idx="1">
                  <c:v>47</c:v>
                </c:pt>
                <c:pt idx="2">
                  <c:v>427</c:v>
                </c:pt>
              </c:numCache>
            </c:numRef>
          </c:val>
          <c:extLst>
            <c:ext xmlns:c16="http://schemas.microsoft.com/office/drawing/2014/chart" uri="{C3380CC4-5D6E-409C-BE32-E72D297353CC}">
              <c16:uniqueId val="{00000000-0A9F-4B12-9232-1AC34EAAA12A}"/>
            </c:ext>
          </c:extLst>
        </c:ser>
        <c:ser>
          <c:idx val="1"/>
          <c:order val="1"/>
          <c:tx>
            <c:strRef>
              <c:f>'survival by embarked'!$C$3:$C$4</c:f>
              <c:strCache>
                <c:ptCount val="1"/>
                <c:pt idx="0">
                  <c:v>Survived</c:v>
                </c:pt>
              </c:strCache>
            </c:strRef>
          </c:tx>
          <c:spPr>
            <a:solidFill>
              <a:schemeClr val="accent2"/>
            </a:solidFill>
            <a:ln>
              <a:noFill/>
            </a:ln>
            <a:effectLst/>
          </c:spPr>
          <c:invertIfNegative val="0"/>
          <c:cat>
            <c:strRef>
              <c:f>'survival by embarked'!$A$5:$A$9</c:f>
              <c:strCache>
                <c:ptCount val="4"/>
                <c:pt idx="0">
                  <c:v>C</c:v>
                </c:pt>
                <c:pt idx="1">
                  <c:v>Q</c:v>
                </c:pt>
                <c:pt idx="2">
                  <c:v>S</c:v>
                </c:pt>
                <c:pt idx="3">
                  <c:v>Unknown</c:v>
                </c:pt>
              </c:strCache>
            </c:strRef>
          </c:cat>
          <c:val>
            <c:numRef>
              <c:f>'survival by embarked'!$C$5:$C$9</c:f>
              <c:numCache>
                <c:formatCode>General</c:formatCode>
                <c:ptCount val="4"/>
                <c:pt idx="0">
                  <c:v>93</c:v>
                </c:pt>
                <c:pt idx="1">
                  <c:v>30</c:v>
                </c:pt>
                <c:pt idx="2">
                  <c:v>217</c:v>
                </c:pt>
                <c:pt idx="3">
                  <c:v>2</c:v>
                </c:pt>
              </c:numCache>
            </c:numRef>
          </c:val>
          <c:extLst>
            <c:ext xmlns:c16="http://schemas.microsoft.com/office/drawing/2014/chart" uri="{C3380CC4-5D6E-409C-BE32-E72D297353CC}">
              <c16:uniqueId val="{00000002-F813-46E1-9E46-16B2CA39DE73}"/>
            </c:ext>
          </c:extLst>
        </c:ser>
        <c:dLbls>
          <c:showLegendKey val="0"/>
          <c:showVal val="0"/>
          <c:showCatName val="0"/>
          <c:showSerName val="0"/>
          <c:showPercent val="0"/>
          <c:showBubbleSize val="0"/>
        </c:dLbls>
        <c:gapWidth val="150"/>
        <c:overlap val="100"/>
        <c:axId val="1218274080"/>
        <c:axId val="1218274560"/>
      </c:barChart>
      <c:catAx>
        <c:axId val="121827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274560"/>
        <c:crosses val="autoZero"/>
        <c:auto val="1"/>
        <c:lblAlgn val="ctr"/>
        <c:lblOffset val="100"/>
        <c:noMultiLvlLbl val="0"/>
      </c:catAx>
      <c:valAx>
        <c:axId val="1218274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27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[Book1.xlsx]survir by age group!PivotTable2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survir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'survir by age group'!$B$3:$B$4</c:f>
              <c:strCache>
                <c:ptCount val="1"/>
                <c:pt idx="0">
                  <c:v>Died</c:v>
                </c:pt>
              </c:strCache>
            </c:strRef>
          </c:tx>
          <c:spPr>
            <a:solidFill>
              <a:schemeClr val="accent1"/>
            </a:solidFill>
            <a:ln>
              <a:noFill/>
            </a:ln>
            <a:effectLst/>
          </c:spPr>
          <c:invertIfNegative val="0"/>
          <c:cat>
            <c:strRef>
              <c:f>'survir by age group'!$A$5:$A$13</c:f>
              <c:strCache>
                <c:ptCount val="8"/>
                <c:pt idx="0">
                  <c:v>0-11</c:v>
                </c:pt>
                <c:pt idx="1">
                  <c:v>12-19</c:v>
                </c:pt>
                <c:pt idx="2">
                  <c:v>20-29</c:v>
                </c:pt>
                <c:pt idx="3">
                  <c:v>30-39</c:v>
                </c:pt>
                <c:pt idx="4">
                  <c:v>40-49</c:v>
                </c:pt>
                <c:pt idx="5">
                  <c:v>50-59</c:v>
                </c:pt>
                <c:pt idx="6">
                  <c:v>60-69</c:v>
                </c:pt>
                <c:pt idx="7">
                  <c:v>0</c:v>
                </c:pt>
              </c:strCache>
            </c:strRef>
          </c:cat>
          <c:val>
            <c:numRef>
              <c:f>'survir by age group'!$B$5:$B$13</c:f>
              <c:numCache>
                <c:formatCode>General</c:formatCode>
                <c:ptCount val="8"/>
                <c:pt idx="0">
                  <c:v>29</c:v>
                </c:pt>
                <c:pt idx="1">
                  <c:v>56</c:v>
                </c:pt>
                <c:pt idx="2">
                  <c:v>268</c:v>
                </c:pt>
                <c:pt idx="3">
                  <c:v>94</c:v>
                </c:pt>
                <c:pt idx="4">
                  <c:v>55</c:v>
                </c:pt>
                <c:pt idx="5">
                  <c:v>28</c:v>
                </c:pt>
                <c:pt idx="6">
                  <c:v>13</c:v>
                </c:pt>
                <c:pt idx="7">
                  <c:v>6</c:v>
                </c:pt>
              </c:numCache>
            </c:numRef>
          </c:val>
          <c:extLst>
            <c:ext xmlns:c16="http://schemas.microsoft.com/office/drawing/2014/chart" uri="{C3380CC4-5D6E-409C-BE32-E72D297353CC}">
              <c16:uniqueId val="{00000000-C723-407A-AB2C-7753DCCA2575}"/>
            </c:ext>
          </c:extLst>
        </c:ser>
        <c:ser>
          <c:idx val="1"/>
          <c:order val="1"/>
          <c:tx>
            <c:strRef>
              <c:f>'survir by age group'!$C$3:$C$4</c:f>
              <c:strCache>
                <c:ptCount val="1"/>
                <c:pt idx="0">
                  <c:v>Survived</c:v>
                </c:pt>
              </c:strCache>
            </c:strRef>
          </c:tx>
          <c:spPr>
            <a:solidFill>
              <a:schemeClr val="accent2"/>
            </a:solidFill>
            <a:ln>
              <a:noFill/>
            </a:ln>
            <a:effectLst/>
          </c:spPr>
          <c:invertIfNegative val="0"/>
          <c:cat>
            <c:strRef>
              <c:f>'survir by age group'!$A$5:$A$13</c:f>
              <c:strCache>
                <c:ptCount val="8"/>
                <c:pt idx="0">
                  <c:v>0-11</c:v>
                </c:pt>
                <c:pt idx="1">
                  <c:v>12-19</c:v>
                </c:pt>
                <c:pt idx="2">
                  <c:v>20-29</c:v>
                </c:pt>
                <c:pt idx="3">
                  <c:v>30-39</c:v>
                </c:pt>
                <c:pt idx="4">
                  <c:v>40-49</c:v>
                </c:pt>
                <c:pt idx="5">
                  <c:v>50-59</c:v>
                </c:pt>
                <c:pt idx="6">
                  <c:v>60-69</c:v>
                </c:pt>
                <c:pt idx="7">
                  <c:v>0</c:v>
                </c:pt>
              </c:strCache>
            </c:strRef>
          </c:cat>
          <c:val>
            <c:numRef>
              <c:f>'survir by age group'!$C$5:$C$13</c:f>
              <c:numCache>
                <c:formatCode>General</c:formatCode>
                <c:ptCount val="8"/>
                <c:pt idx="0">
                  <c:v>39</c:v>
                </c:pt>
                <c:pt idx="1">
                  <c:v>40</c:v>
                </c:pt>
                <c:pt idx="2">
                  <c:v>129</c:v>
                </c:pt>
                <c:pt idx="3">
                  <c:v>73</c:v>
                </c:pt>
                <c:pt idx="4">
                  <c:v>34</c:v>
                </c:pt>
                <c:pt idx="5">
                  <c:v>20</c:v>
                </c:pt>
                <c:pt idx="6">
                  <c:v>6</c:v>
                </c:pt>
                <c:pt idx="7">
                  <c:v>1</c:v>
                </c:pt>
              </c:numCache>
            </c:numRef>
          </c:val>
          <c:extLst>
            <c:ext xmlns:c16="http://schemas.microsoft.com/office/drawing/2014/chart" uri="{C3380CC4-5D6E-409C-BE32-E72D297353CC}">
              <c16:uniqueId val="{00000002-9284-4B98-AE6D-055CA91F2412}"/>
            </c:ext>
          </c:extLst>
        </c:ser>
        <c:dLbls>
          <c:showLegendKey val="0"/>
          <c:showVal val="0"/>
          <c:showCatName val="0"/>
          <c:showSerName val="0"/>
          <c:showPercent val="0"/>
          <c:showBubbleSize val="0"/>
        </c:dLbls>
        <c:gapWidth val="150"/>
        <c:overlap val="100"/>
        <c:axId val="1237895584"/>
        <c:axId val="1237896544"/>
      </c:barChart>
      <c:catAx>
        <c:axId val="123789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896544"/>
        <c:crosses val="autoZero"/>
        <c:auto val="1"/>
        <c:lblAlgn val="ctr"/>
        <c:lblOffset val="100"/>
        <c:noMultiLvlLbl val="0"/>
      </c:catAx>
      <c:valAx>
        <c:axId val="1237896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89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[Book1.xlsx]survival by sex!PivotTable1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survival by sex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s>
    <c:plotArea>
      <c:layout/>
      <c:barChart>
        <c:barDir val="col"/>
        <c:grouping val="percentStacked"/>
        <c:varyColors val="0"/>
        <c:ser>
          <c:idx val="0"/>
          <c:order val="0"/>
          <c:tx>
            <c:strRef>
              <c:f>'survival by sex'!$B$3:$B$4</c:f>
              <c:strCache>
                <c:ptCount val="1"/>
                <c:pt idx="0">
                  <c:v>Died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'survival by sex'!$A$5:$A$7</c:f>
              <c:strCache>
                <c:ptCount val="2"/>
                <c:pt idx="0">
                  <c:v>female</c:v>
                </c:pt>
                <c:pt idx="1">
                  <c:v>male</c:v>
                </c:pt>
              </c:strCache>
            </c:strRef>
          </c:cat>
          <c:val>
            <c:numRef>
              <c:f>'survival by sex'!$B$5:$B$7</c:f>
              <c:numCache>
                <c:formatCode>0.00%</c:formatCode>
                <c:ptCount val="2"/>
                <c:pt idx="0">
                  <c:v>0.25796178343949044</c:v>
                </c:pt>
                <c:pt idx="1">
                  <c:v>0.81109185441941078</c:v>
                </c:pt>
              </c:numCache>
            </c:numRef>
          </c:val>
          <c:extLst>
            <c:ext xmlns:c16="http://schemas.microsoft.com/office/drawing/2014/chart" uri="{C3380CC4-5D6E-409C-BE32-E72D297353CC}">
              <c16:uniqueId val="{00000000-A977-420D-A749-5CCABC62ED95}"/>
            </c:ext>
          </c:extLst>
        </c:ser>
        <c:ser>
          <c:idx val="1"/>
          <c:order val="1"/>
          <c:tx>
            <c:strRef>
              <c:f>'survival by sex'!$C$3:$C$4</c:f>
              <c:strCache>
                <c:ptCount val="1"/>
                <c:pt idx="0">
                  <c:v>Survived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'survival by sex'!$A$5:$A$7</c:f>
              <c:strCache>
                <c:ptCount val="2"/>
                <c:pt idx="0">
                  <c:v>female</c:v>
                </c:pt>
                <c:pt idx="1">
                  <c:v>male</c:v>
                </c:pt>
              </c:strCache>
            </c:strRef>
          </c:cat>
          <c:val>
            <c:numRef>
              <c:f>'survival by sex'!$C$5:$C$7</c:f>
              <c:numCache>
                <c:formatCode>0.00%</c:formatCode>
                <c:ptCount val="2"/>
                <c:pt idx="0">
                  <c:v>0.7420382165605095</c:v>
                </c:pt>
                <c:pt idx="1">
                  <c:v>0.18890814558058924</c:v>
                </c:pt>
              </c:numCache>
            </c:numRef>
          </c:val>
          <c:extLst>
            <c:ext xmlns:c16="http://schemas.microsoft.com/office/drawing/2014/chart" uri="{C3380CC4-5D6E-409C-BE32-E72D297353CC}">
              <c16:uniqueId val="{00000006-950E-48EC-AB0C-768209372281}"/>
            </c:ext>
          </c:extLst>
        </c:ser>
        <c:dLbls>
          <c:dLblPos val="ctr"/>
          <c:showLegendKey val="0"/>
          <c:showVal val="1"/>
          <c:showCatName val="0"/>
          <c:showSerName val="0"/>
          <c:showPercent val="0"/>
          <c:showBubbleSize val="0"/>
        </c:dLbls>
        <c:gapWidth val="150"/>
        <c:overlap val="100"/>
        <c:axId val="1237948928"/>
        <c:axId val="1237949888"/>
      </c:barChart>
      <c:catAx>
        <c:axId val="123794892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949888"/>
        <c:crosses val="autoZero"/>
        <c:auto val="1"/>
        <c:lblAlgn val="ctr"/>
        <c:lblOffset val="100"/>
        <c:noMultiLvlLbl val="0"/>
      </c:catAx>
      <c:valAx>
        <c:axId val="123794988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9489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[Book1.xlsx]survived rate by class!PivotTable1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survival rate by class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'survived rate by class'!$B$3:$B$4</c:f>
              <c:strCache>
                <c:ptCount val="1"/>
                <c:pt idx="0">
                  <c:v>Died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'survived rate by class'!$A$5:$A$8</c:f>
              <c:strCache>
                <c:ptCount val="3"/>
                <c:pt idx="0">
                  <c:v>1st</c:v>
                </c:pt>
                <c:pt idx="1">
                  <c:v>2nd</c:v>
                </c:pt>
                <c:pt idx="2">
                  <c:v>3rd</c:v>
                </c:pt>
              </c:strCache>
            </c:strRef>
          </c:cat>
          <c:val>
            <c:numRef>
              <c:f>'survived rate by class'!$B$5:$B$8</c:f>
              <c:numCache>
                <c:formatCode>0.00%</c:formatCode>
                <c:ptCount val="3"/>
                <c:pt idx="0">
                  <c:v>0.37037037037037035</c:v>
                </c:pt>
                <c:pt idx="1">
                  <c:v>0.52717391304347827</c:v>
                </c:pt>
                <c:pt idx="2">
                  <c:v>0.75763747454175157</c:v>
                </c:pt>
              </c:numCache>
            </c:numRef>
          </c:val>
          <c:extLst>
            <c:ext xmlns:c16="http://schemas.microsoft.com/office/drawing/2014/chart" uri="{C3380CC4-5D6E-409C-BE32-E72D297353CC}">
              <c16:uniqueId val="{00000000-F8A1-4355-9BE0-F2867AE34922}"/>
            </c:ext>
          </c:extLst>
        </c:ser>
        <c:ser>
          <c:idx val="1"/>
          <c:order val="1"/>
          <c:tx>
            <c:strRef>
              <c:f>'survived rate by class'!$C$3:$C$4</c:f>
              <c:strCache>
                <c:ptCount val="1"/>
                <c:pt idx="0">
                  <c:v>Survived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'survived rate by class'!$A$5:$A$8</c:f>
              <c:strCache>
                <c:ptCount val="3"/>
                <c:pt idx="0">
                  <c:v>1st</c:v>
                </c:pt>
                <c:pt idx="1">
                  <c:v>2nd</c:v>
                </c:pt>
                <c:pt idx="2">
                  <c:v>3rd</c:v>
                </c:pt>
              </c:strCache>
            </c:strRef>
          </c:cat>
          <c:val>
            <c:numRef>
              <c:f>'survived rate by class'!$C$5:$C$8</c:f>
              <c:numCache>
                <c:formatCode>0.00%</c:formatCode>
                <c:ptCount val="3"/>
                <c:pt idx="0">
                  <c:v>0.62962962962962965</c:v>
                </c:pt>
                <c:pt idx="1">
                  <c:v>0.47282608695652173</c:v>
                </c:pt>
                <c:pt idx="2">
                  <c:v>0.24236252545824846</c:v>
                </c:pt>
              </c:numCache>
            </c:numRef>
          </c:val>
          <c:extLst>
            <c:ext xmlns:c16="http://schemas.microsoft.com/office/drawing/2014/chart" uri="{C3380CC4-5D6E-409C-BE32-E72D297353CC}">
              <c16:uniqueId val="{00000005-DAB8-4218-A908-5EAFFEACB5AC}"/>
            </c:ext>
          </c:extLst>
        </c:ser>
        <c:dLbls>
          <c:dLblPos val="ctr"/>
          <c:showLegendKey val="0"/>
          <c:showVal val="1"/>
          <c:showCatName val="0"/>
          <c:showSerName val="0"/>
          <c:showPercent val="0"/>
          <c:showBubbleSize val="0"/>
        </c:dLbls>
        <c:gapWidth val="150"/>
        <c:overlap val="100"/>
        <c:axId val="1352792224"/>
        <c:axId val="1352793184"/>
      </c:barChart>
      <c:catAx>
        <c:axId val="135279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793184"/>
        <c:crosses val="autoZero"/>
        <c:auto val="1"/>
        <c:lblAlgn val="ctr"/>
        <c:lblOffset val="100"/>
        <c:noMultiLvlLbl val="0"/>
      </c:catAx>
      <c:valAx>
        <c:axId val="13527931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7922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[Book1.xlsx]survival by family size!PivotTable14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Survival By Family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'survival by family size'!$B$3:$B$4</c:f>
              <c:strCache>
                <c:ptCount val="1"/>
                <c:pt idx="0">
                  <c:v>Died</c:v>
                </c:pt>
              </c:strCache>
            </c:strRef>
          </c:tx>
          <c:spPr>
            <a:solidFill>
              <a:schemeClr val="accent1"/>
            </a:solidFill>
            <a:ln>
              <a:noFill/>
            </a:ln>
            <a:effectLst/>
          </c:spPr>
          <c:invertIfNegative val="0"/>
          <c:cat>
            <c:strRef>
              <c:f>'survival by family size'!$A$5:$A$14</c:f>
              <c:strCache>
                <c:ptCount val="9"/>
                <c:pt idx="0">
                  <c:v>0</c:v>
                </c:pt>
                <c:pt idx="1">
                  <c:v>1</c:v>
                </c:pt>
                <c:pt idx="2">
                  <c:v>2</c:v>
                </c:pt>
                <c:pt idx="3">
                  <c:v>3</c:v>
                </c:pt>
                <c:pt idx="4">
                  <c:v>4</c:v>
                </c:pt>
                <c:pt idx="5">
                  <c:v>5</c:v>
                </c:pt>
                <c:pt idx="6">
                  <c:v>6</c:v>
                </c:pt>
                <c:pt idx="7">
                  <c:v>7</c:v>
                </c:pt>
                <c:pt idx="8">
                  <c:v>10</c:v>
                </c:pt>
              </c:strCache>
            </c:strRef>
          </c:cat>
          <c:val>
            <c:numRef>
              <c:f>'survival by family size'!$B$5:$B$14</c:f>
              <c:numCache>
                <c:formatCode>General</c:formatCode>
                <c:ptCount val="9"/>
                <c:pt idx="0">
                  <c:v>374</c:v>
                </c:pt>
                <c:pt idx="1">
                  <c:v>72</c:v>
                </c:pt>
                <c:pt idx="2">
                  <c:v>43</c:v>
                </c:pt>
                <c:pt idx="3">
                  <c:v>8</c:v>
                </c:pt>
                <c:pt idx="4">
                  <c:v>12</c:v>
                </c:pt>
                <c:pt idx="5">
                  <c:v>19</c:v>
                </c:pt>
                <c:pt idx="6">
                  <c:v>8</c:v>
                </c:pt>
                <c:pt idx="7">
                  <c:v>6</c:v>
                </c:pt>
                <c:pt idx="8">
                  <c:v>7</c:v>
                </c:pt>
              </c:numCache>
            </c:numRef>
          </c:val>
          <c:extLst>
            <c:ext xmlns:c16="http://schemas.microsoft.com/office/drawing/2014/chart" uri="{C3380CC4-5D6E-409C-BE32-E72D297353CC}">
              <c16:uniqueId val="{00000000-E7CF-4A00-B586-AA80D637AAC7}"/>
            </c:ext>
          </c:extLst>
        </c:ser>
        <c:ser>
          <c:idx val="1"/>
          <c:order val="1"/>
          <c:tx>
            <c:strRef>
              <c:f>'survival by family size'!$C$3:$C$4</c:f>
              <c:strCache>
                <c:ptCount val="1"/>
                <c:pt idx="0">
                  <c:v>Survived</c:v>
                </c:pt>
              </c:strCache>
            </c:strRef>
          </c:tx>
          <c:spPr>
            <a:solidFill>
              <a:schemeClr val="accent2"/>
            </a:solidFill>
            <a:ln>
              <a:noFill/>
            </a:ln>
            <a:effectLst/>
          </c:spPr>
          <c:invertIfNegative val="0"/>
          <c:cat>
            <c:strRef>
              <c:f>'survival by family size'!$A$5:$A$14</c:f>
              <c:strCache>
                <c:ptCount val="9"/>
                <c:pt idx="0">
                  <c:v>0</c:v>
                </c:pt>
                <c:pt idx="1">
                  <c:v>1</c:v>
                </c:pt>
                <c:pt idx="2">
                  <c:v>2</c:v>
                </c:pt>
                <c:pt idx="3">
                  <c:v>3</c:v>
                </c:pt>
                <c:pt idx="4">
                  <c:v>4</c:v>
                </c:pt>
                <c:pt idx="5">
                  <c:v>5</c:v>
                </c:pt>
                <c:pt idx="6">
                  <c:v>6</c:v>
                </c:pt>
                <c:pt idx="7">
                  <c:v>7</c:v>
                </c:pt>
                <c:pt idx="8">
                  <c:v>10</c:v>
                </c:pt>
              </c:strCache>
            </c:strRef>
          </c:cat>
          <c:val>
            <c:numRef>
              <c:f>'survival by family size'!$C$5:$C$14</c:f>
              <c:numCache>
                <c:formatCode>General</c:formatCode>
                <c:ptCount val="9"/>
                <c:pt idx="0">
                  <c:v>163</c:v>
                </c:pt>
                <c:pt idx="1">
                  <c:v>89</c:v>
                </c:pt>
                <c:pt idx="2">
                  <c:v>59</c:v>
                </c:pt>
                <c:pt idx="3">
                  <c:v>21</c:v>
                </c:pt>
                <c:pt idx="4">
                  <c:v>3</c:v>
                </c:pt>
                <c:pt idx="5">
                  <c:v>3</c:v>
                </c:pt>
                <c:pt idx="6">
                  <c:v>4</c:v>
                </c:pt>
              </c:numCache>
            </c:numRef>
          </c:val>
          <c:extLst>
            <c:ext xmlns:c16="http://schemas.microsoft.com/office/drawing/2014/chart" uri="{C3380CC4-5D6E-409C-BE32-E72D297353CC}">
              <c16:uniqueId val="{00000001-E7CF-4A00-B586-AA80D637AAC7}"/>
            </c:ext>
          </c:extLst>
        </c:ser>
        <c:dLbls>
          <c:showLegendKey val="0"/>
          <c:showVal val="0"/>
          <c:showCatName val="0"/>
          <c:showSerName val="0"/>
          <c:showPercent val="0"/>
          <c:showBubbleSize val="0"/>
        </c:dLbls>
        <c:gapWidth val="219"/>
        <c:overlap val="-27"/>
        <c:axId val="1210155968"/>
        <c:axId val="1210157888"/>
      </c:barChart>
      <c:catAx>
        <c:axId val="121015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157888"/>
        <c:crosses val="autoZero"/>
        <c:auto val="1"/>
        <c:lblAlgn val="ctr"/>
        <c:lblOffset val="100"/>
        <c:noMultiLvlLbl val="0"/>
      </c:catAx>
      <c:valAx>
        <c:axId val="121015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15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[Book1.xlsx]survival by embarked!PivotTable13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Survival By Embarked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'survival by embarked'!$B$3:$B$4</c:f>
              <c:strCache>
                <c:ptCount val="1"/>
                <c:pt idx="0">
                  <c:v>Died</c:v>
                </c:pt>
              </c:strCache>
            </c:strRef>
          </c:tx>
          <c:spPr>
            <a:solidFill>
              <a:schemeClr val="accent1"/>
            </a:solidFill>
            <a:ln>
              <a:noFill/>
            </a:ln>
            <a:effectLst/>
          </c:spPr>
          <c:invertIfNegative val="0"/>
          <c:cat>
            <c:strRef>
              <c:f>'survival by embarked'!$A$5:$A$9</c:f>
              <c:strCache>
                <c:ptCount val="4"/>
                <c:pt idx="0">
                  <c:v>C</c:v>
                </c:pt>
                <c:pt idx="1">
                  <c:v>Q</c:v>
                </c:pt>
                <c:pt idx="2">
                  <c:v>S</c:v>
                </c:pt>
                <c:pt idx="3">
                  <c:v>Unknown</c:v>
                </c:pt>
              </c:strCache>
            </c:strRef>
          </c:cat>
          <c:val>
            <c:numRef>
              <c:f>'survival by embarked'!$B$5:$B$9</c:f>
              <c:numCache>
                <c:formatCode>General</c:formatCode>
                <c:ptCount val="4"/>
                <c:pt idx="0">
                  <c:v>75</c:v>
                </c:pt>
                <c:pt idx="1">
                  <c:v>47</c:v>
                </c:pt>
                <c:pt idx="2">
                  <c:v>427</c:v>
                </c:pt>
              </c:numCache>
            </c:numRef>
          </c:val>
          <c:extLst>
            <c:ext xmlns:c16="http://schemas.microsoft.com/office/drawing/2014/chart" uri="{C3380CC4-5D6E-409C-BE32-E72D297353CC}">
              <c16:uniqueId val="{00000000-8F76-4555-8DDC-10BDB686154E}"/>
            </c:ext>
          </c:extLst>
        </c:ser>
        <c:ser>
          <c:idx val="1"/>
          <c:order val="1"/>
          <c:tx>
            <c:strRef>
              <c:f>'survival by embarked'!$C$3:$C$4</c:f>
              <c:strCache>
                <c:ptCount val="1"/>
                <c:pt idx="0">
                  <c:v>Survived</c:v>
                </c:pt>
              </c:strCache>
            </c:strRef>
          </c:tx>
          <c:spPr>
            <a:solidFill>
              <a:schemeClr val="accent2"/>
            </a:solidFill>
            <a:ln>
              <a:noFill/>
            </a:ln>
            <a:effectLst/>
          </c:spPr>
          <c:invertIfNegative val="0"/>
          <c:cat>
            <c:strRef>
              <c:f>'survival by embarked'!$A$5:$A$9</c:f>
              <c:strCache>
                <c:ptCount val="4"/>
                <c:pt idx="0">
                  <c:v>C</c:v>
                </c:pt>
                <c:pt idx="1">
                  <c:v>Q</c:v>
                </c:pt>
                <c:pt idx="2">
                  <c:v>S</c:v>
                </c:pt>
                <c:pt idx="3">
                  <c:v>Unknown</c:v>
                </c:pt>
              </c:strCache>
            </c:strRef>
          </c:cat>
          <c:val>
            <c:numRef>
              <c:f>'survival by embarked'!$C$5:$C$9</c:f>
              <c:numCache>
                <c:formatCode>General</c:formatCode>
                <c:ptCount val="4"/>
                <c:pt idx="0">
                  <c:v>93</c:v>
                </c:pt>
                <c:pt idx="1">
                  <c:v>30</c:v>
                </c:pt>
                <c:pt idx="2">
                  <c:v>217</c:v>
                </c:pt>
                <c:pt idx="3">
                  <c:v>2</c:v>
                </c:pt>
              </c:numCache>
            </c:numRef>
          </c:val>
          <c:extLst>
            <c:ext xmlns:c16="http://schemas.microsoft.com/office/drawing/2014/chart" uri="{C3380CC4-5D6E-409C-BE32-E72D297353CC}">
              <c16:uniqueId val="{00000001-8F76-4555-8DDC-10BDB686154E}"/>
            </c:ext>
          </c:extLst>
        </c:ser>
        <c:dLbls>
          <c:showLegendKey val="0"/>
          <c:showVal val="0"/>
          <c:showCatName val="0"/>
          <c:showSerName val="0"/>
          <c:showPercent val="0"/>
          <c:showBubbleSize val="0"/>
        </c:dLbls>
        <c:gapWidth val="150"/>
        <c:overlap val="100"/>
        <c:axId val="1218274080"/>
        <c:axId val="1218274560"/>
      </c:barChart>
      <c:catAx>
        <c:axId val="121827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274560"/>
        <c:crosses val="autoZero"/>
        <c:auto val="1"/>
        <c:lblAlgn val="ctr"/>
        <c:lblOffset val="100"/>
        <c:noMultiLvlLbl val="0"/>
      </c:catAx>
      <c:valAx>
        <c:axId val="1218274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27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[Book1.xlsx]survived rate by class!PivotTable1</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'survived rate by class'!$B$3:$B$4</c:f>
              <c:strCache>
                <c:ptCount val="1"/>
                <c:pt idx="0">
                  <c:v>Died</c:v>
                </c:pt>
              </c:strCache>
            </c:strRef>
          </c:tx>
          <c:dPt>
            <c:idx val="0"/>
            <c:bubble3D val="0"/>
            <c:explosion val="20"/>
            <c:spPr>
              <a:solidFill>
                <a:schemeClr val="accent1"/>
              </a:solidFill>
              <a:ln w="19050">
                <a:solidFill>
                  <a:schemeClr val="lt1"/>
                </a:solidFill>
              </a:ln>
              <a:effectLst/>
            </c:spPr>
            <c:extLst>
              <c:ext xmlns:c16="http://schemas.microsoft.com/office/drawing/2014/chart" uri="{C3380CC4-5D6E-409C-BE32-E72D297353CC}">
                <c16:uniqueId val="{00000001-47AF-490B-B59C-348082390C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AF-490B-B59C-348082390C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AF-490B-B59C-348082390C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'survived rate by class'!$A$5:$A$8</c:f>
              <c:strCache>
                <c:ptCount val="3"/>
                <c:pt idx="0">
                  <c:v>1st</c:v>
                </c:pt>
                <c:pt idx="1">
                  <c:v>2nd</c:v>
                </c:pt>
                <c:pt idx="2">
                  <c:v>3rd</c:v>
                </c:pt>
              </c:strCache>
            </c:strRef>
          </c:cat>
          <c:val>
            <c:numRef>
              <c:f>'survived rate by class'!$B$5:$B$8</c:f>
              <c:numCache>
                <c:formatCode>0.00%</c:formatCode>
                <c:ptCount val="3"/>
                <c:pt idx="0">
                  <c:v>0.37037037037037035</c:v>
                </c:pt>
                <c:pt idx="1">
                  <c:v>0.52717391304347827</c:v>
                </c:pt>
                <c:pt idx="2">
                  <c:v>0.75763747454175157</c:v>
                </c:pt>
              </c:numCache>
            </c:numRef>
          </c:val>
          <c:extLst>
            <c:ext xmlns:c16="http://schemas.microsoft.com/office/drawing/2014/chart" uri="{C3380CC4-5D6E-409C-BE32-E72D297353CC}">
              <c16:uniqueId val="{00000006-47AF-490B-B59C-348082390C14}"/>
            </c:ext>
          </c:extLst>
        </c:ser>
        <c:ser>
          <c:idx val="1"/>
          <c:order val="1"/>
          <c:tx>
            <c:strRef>
              <c:f>'survived rate by class'!$C$3:$C$4</c:f>
              <c:strCache>
                <c:ptCount val="1"/>
                <c:pt idx="0">
                  <c:v>Survived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47AF-490B-B59C-348082390C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47AF-490B-B59C-348082390C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47AF-490B-B59C-348082390C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'survived rate by class'!$A$5:$A$8</c:f>
              <c:strCache>
                <c:ptCount val="3"/>
                <c:pt idx="0">
                  <c:v>1st</c:v>
                </c:pt>
                <c:pt idx="1">
                  <c:v>2nd</c:v>
                </c:pt>
                <c:pt idx="2">
                  <c:v>3rd</c:v>
                </c:pt>
              </c:strCache>
            </c:strRef>
          </c:cat>
          <c:val>
            <c:numRef>
              <c:f>'survived rate by class'!$C$5:$C$8</c:f>
              <c:numCache>
                <c:formatCode>0.00%</c:formatCode>
                <c:ptCount val="3"/>
                <c:pt idx="0">
                  <c:v>0.62962962962962965</c:v>
                </c:pt>
                <c:pt idx="1">
                  <c:v>0.47282608695652173</c:v>
                </c:pt>
                <c:pt idx="2">
                  <c:v>0.24236252545824846</c:v>
                </c:pt>
              </c:numCache>
            </c:numRef>
          </c:val>
          <c:extLst>
            <c:ext xmlns:c16="http://schemas.microsoft.com/office/drawing/2014/chart" uri="{C3380CC4-5D6E-409C-BE32-E72D297353CC}">
              <c16:uniqueId val="{0000000D-47AF-490B-B59C-348082390C1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[Book1.xlsx]survival by sex!PivotTable1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Survival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'survival by sex'!$B$3:$B$4</c:f>
              <c:strCache>
                <c:ptCount val="1"/>
                <c:pt idx="0">
                  <c:v>Died</c:v>
                </c:pt>
              </c:strCache>
            </c:strRef>
          </c:tx>
          <c:spPr>
            <a:solidFill>
              <a:schemeClr val="accent1"/>
            </a:solidFill>
            <a:ln>
              <a:noFill/>
            </a:ln>
            <a:effectLst/>
            <a:sp3d/>
          </c:spPr>
          <c:invertIfNegative val="0"/>
          <c:cat>
            <c:strRef>
              <c:f>'survival by sex'!$A$5:$A$7</c:f>
              <c:strCache>
                <c:ptCount val="2"/>
                <c:pt idx="0">
                  <c:v>female</c:v>
                </c:pt>
                <c:pt idx="1">
                  <c:v>male</c:v>
                </c:pt>
              </c:strCache>
            </c:strRef>
          </c:cat>
          <c:val>
            <c:numRef>
              <c:f>'survival by sex'!$B$5:$B$7</c:f>
              <c:numCache>
                <c:formatCode>0.00%</c:formatCode>
                <c:ptCount val="2"/>
                <c:pt idx="0">
                  <c:v>0.25796178343949044</c:v>
                </c:pt>
                <c:pt idx="1">
                  <c:v>0.81109185441941078</c:v>
                </c:pt>
              </c:numCache>
            </c:numRef>
          </c:val>
          <c:extLst>
            <c:ext xmlns:c16="http://schemas.microsoft.com/office/drawing/2014/chart" uri="{C3380CC4-5D6E-409C-BE32-E72D297353CC}">
              <c16:uniqueId val="{00000000-8A4B-45A5-BF14-63B012E9DCDC}"/>
            </c:ext>
          </c:extLst>
        </c:ser>
        <c:ser>
          <c:idx val="1"/>
          <c:order val="1"/>
          <c:tx>
            <c:strRef>
              <c:f>'survival by sex'!$C$3:$C$4</c:f>
              <c:strCache>
                <c:ptCount val="1"/>
                <c:pt idx="0">
                  <c:v>Survived</c:v>
                </c:pt>
              </c:strCache>
            </c:strRef>
          </c:tx>
          <c:spPr>
            <a:solidFill>
              <a:schemeClr val="accent2"/>
            </a:solidFill>
            <a:ln>
              <a:noFill/>
            </a:ln>
            <a:effectLst/>
            <a:sp3d/>
          </c:spPr>
          <c:invertIfNegative val="0"/>
          <c:cat>
            <c:strRef>
              <c:f>'survival by sex'!$A$5:$A$7</c:f>
              <c:strCache>
                <c:ptCount val="2"/>
                <c:pt idx="0">
                  <c:v>female</c:v>
                </c:pt>
                <c:pt idx="1">
                  <c:v>male</c:v>
                </c:pt>
              </c:strCache>
            </c:strRef>
          </c:cat>
          <c:val>
            <c:numRef>
              <c:f>'survival by sex'!$C$5:$C$7</c:f>
              <c:numCache>
                <c:formatCode>0.00%</c:formatCode>
                <c:ptCount val="2"/>
                <c:pt idx="0">
                  <c:v>0.7420382165605095</c:v>
                </c:pt>
                <c:pt idx="1">
                  <c:v>0.18890814558058924</c:v>
                </c:pt>
              </c:numCache>
            </c:numRef>
          </c:val>
          <c:extLst>
            <c:ext xmlns:c16="http://schemas.microsoft.com/office/drawing/2014/chart" uri="{C3380CC4-5D6E-409C-BE32-E72D297353CC}">
              <c16:uniqueId val="{00000001-8A4B-45A5-BF14-63B012E9DCDC}"/>
            </c:ext>
          </c:extLst>
        </c:ser>
        <c:dLbls>
          <c:showLegendKey val="0"/>
          <c:showVal val="0"/>
          <c:showCatName val="0"/>
          <c:showSerName val="0"/>
          <c:showPercent val="0"/>
          <c:showBubbleSize val="0"/>
        </c:dLbls>
        <c:gapWidth val="150"/>
        <c:shape val="box"/>
        <c:axId val="1163849391"/>
        <c:axId val="1163849871"/>
        <c:axId val="0"/>
      </c:bar3DChart>
      <c:catAx>
        <c:axId val="1163849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849871"/>
        <c:crosses val="autoZero"/>
        <c:auto val="1"/>
        <c:lblAlgn val="ctr"/>
        <c:lblOffset val="100"/>
        <c:noMultiLvlLbl val="0"/>
      </c:catAx>
      <c:valAx>
        <c:axId val="116384987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84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[Book1.xlsx]survir by age group!PivotTable2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Survir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'survir by age group'!$B$3:$B$4</c:f>
              <c:strCache>
                <c:ptCount val="1"/>
                <c:pt idx="0">
                  <c:v>Died</c:v>
                </c:pt>
              </c:strCache>
            </c:strRef>
          </c:tx>
          <c:spPr>
            <a:solidFill>
              <a:schemeClr val="accent1"/>
            </a:solidFill>
            <a:ln>
              <a:noFill/>
            </a:ln>
            <a:effectLst/>
          </c:spPr>
          <c:invertIfNegative val="0"/>
          <c:cat>
            <c:strRef>
              <c:f>'survir by age group'!$A$5:$A$13</c:f>
              <c:strCache>
                <c:ptCount val="8"/>
                <c:pt idx="0">
                  <c:v>0-11</c:v>
                </c:pt>
                <c:pt idx="1">
                  <c:v>12-19</c:v>
                </c:pt>
                <c:pt idx="2">
                  <c:v>20-29</c:v>
                </c:pt>
                <c:pt idx="3">
                  <c:v>30-39</c:v>
                </c:pt>
                <c:pt idx="4">
                  <c:v>40-49</c:v>
                </c:pt>
                <c:pt idx="5">
                  <c:v>50-59</c:v>
                </c:pt>
                <c:pt idx="6">
                  <c:v>60-69</c:v>
                </c:pt>
                <c:pt idx="7">
                  <c:v>0</c:v>
                </c:pt>
              </c:strCache>
            </c:strRef>
          </c:cat>
          <c:val>
            <c:numRef>
              <c:f>'survir by age group'!$B$5:$B$13</c:f>
              <c:numCache>
                <c:formatCode>General</c:formatCode>
                <c:ptCount val="8"/>
                <c:pt idx="0">
                  <c:v>29</c:v>
                </c:pt>
                <c:pt idx="1">
                  <c:v>56</c:v>
                </c:pt>
                <c:pt idx="2">
                  <c:v>268</c:v>
                </c:pt>
                <c:pt idx="3">
                  <c:v>94</c:v>
                </c:pt>
                <c:pt idx="4">
                  <c:v>55</c:v>
                </c:pt>
                <c:pt idx="5">
                  <c:v>28</c:v>
                </c:pt>
                <c:pt idx="6">
                  <c:v>13</c:v>
                </c:pt>
                <c:pt idx="7">
                  <c:v>6</c:v>
                </c:pt>
              </c:numCache>
            </c:numRef>
          </c:val>
          <c:extLst>
            <c:ext xmlns:c16="http://schemas.microsoft.com/office/drawing/2014/chart" uri="{C3380CC4-5D6E-409C-BE32-E72D297353CC}">
              <c16:uniqueId val="{00000000-40BA-47DD-984A-402D5B63FA96}"/>
            </c:ext>
          </c:extLst>
        </c:ser>
        <c:dLbls>
          <c:showLegendKey val="0"/>
          <c:showVal val="0"/>
          <c:showCatName val="0"/>
          <c:showSerName val="0"/>
          <c:showPercent val="0"/>
          <c:showBubbleSize val="0"/>
        </c:dLbls>
        <c:gapWidth val="219"/>
        <c:overlap val="-27"/>
        <c:axId val="1175946319"/>
        <c:axId val="1175955919"/>
      </c:barChart>
      <c:lineChart>
        <c:grouping val="standard"/>
        <c:varyColors val="0"/>
        <c:ser>
          <c:idx val="1"/>
          <c:order val="1"/>
          <c:tx>
            <c:strRef>
              <c:f>'survir by age group'!$C$3:$C$4</c:f>
              <c:strCache>
                <c:ptCount val="1"/>
                <c:pt idx="0">
                  <c:v>Survived</c:v>
                </c:pt>
              </c:strCache>
            </c:strRef>
          </c:tx>
          <c:spPr>
            <a:ln w="28575" cap="rnd">
              <a:solidFill>
                <a:schemeClr val="accent2"/>
              </a:solidFill>
              <a:round/>
            </a:ln>
            <a:effectLst/>
          </c:spPr>
          <c:marker>
            <c:symbol val="none"/>
          </c:marker>
          <c:cat>
            <c:strRef>
              <c:f>'survir by age group'!$A$5:$A$13</c:f>
              <c:strCache>
                <c:ptCount val="8"/>
                <c:pt idx="0">
                  <c:v>0-11</c:v>
                </c:pt>
                <c:pt idx="1">
                  <c:v>12-19</c:v>
                </c:pt>
                <c:pt idx="2">
                  <c:v>20-29</c:v>
                </c:pt>
                <c:pt idx="3">
                  <c:v>30-39</c:v>
                </c:pt>
                <c:pt idx="4">
                  <c:v>40-49</c:v>
                </c:pt>
                <c:pt idx="5">
                  <c:v>50-59</c:v>
                </c:pt>
                <c:pt idx="6">
                  <c:v>60-69</c:v>
                </c:pt>
                <c:pt idx="7">
                  <c:v>0</c:v>
                </c:pt>
              </c:strCache>
            </c:strRef>
          </c:cat>
          <c:val>
            <c:numRef>
              <c:f>'survir by age group'!$C$5:$C$13</c:f>
              <c:numCache>
                <c:formatCode>General</c:formatCode>
                <c:ptCount val="8"/>
                <c:pt idx="0">
                  <c:v>39</c:v>
                </c:pt>
                <c:pt idx="1">
                  <c:v>40</c:v>
                </c:pt>
                <c:pt idx="2">
                  <c:v>129</c:v>
                </c:pt>
                <c:pt idx="3">
                  <c:v>73</c:v>
                </c:pt>
                <c:pt idx="4">
                  <c:v>34</c:v>
                </c:pt>
                <c:pt idx="5">
                  <c:v>20</c:v>
                </c:pt>
                <c:pt idx="6">
                  <c:v>6</c:v>
                </c:pt>
                <c:pt idx="7">
                  <c:v>1</c:v>
                </c:pt>
              </c:numCache>
            </c:numRef>
          </c:val>
          <c:smooth val="0"/>
          <c:extLst>
            <c:ext xmlns:c16="http://schemas.microsoft.com/office/drawing/2014/chart" uri="{C3380CC4-5D6E-409C-BE32-E72D297353CC}">
              <c16:uniqueId val="{00000001-40BA-47DD-984A-402D5B63FA96}"/>
            </c:ext>
          </c:extLst>
        </c:ser>
        <c:dLbls>
          <c:showLegendKey val="0"/>
          <c:showVal val="0"/>
          <c:showCatName val="0"/>
          <c:showSerName val="0"/>
          <c:showPercent val="0"/>
          <c:showBubbleSize val="0"/>
        </c:dLbls>
        <c:marker val="1"/>
        <c:smooth val="0"/>
        <c:axId val="1175946319"/>
        <c:axId val="1175955919"/>
      </c:lineChart>
      <c:catAx>
        <c:axId val="117594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955919"/>
        <c:crosses val="autoZero"/>
        <c:auto val="1"/>
        <c:lblAlgn val="ctr"/>
        <c:lblOffset val="100"/>
        <c:noMultiLvlLbl val="0"/>
      </c:catAx>
      <c:valAx>
        <c:axId val="1175955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94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tx>
        <cx:txData>
          <cx:v>fare distibution by survival</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fare distibution by survival</a:t>
          </a:r>
        </a:p>
      </cx:txPr>
    </cx:title>
    <cx:plotArea>
      <cx:plotAreaRegion>
        <cx:series layoutId="boxWhisker" uniqueId="{27C066A3-C0C4-4B05-ABD4-4DB793914F4B}">
          <cx:tx>
            <cx:txData>
              <cx:f>_xlchart.v1.0</cx:f>
              <cx:v>fair survived</cx:v>
            </cx:txData>
          </cx:tx>
          <cx:dataId val="0"/>
          <cx:layoutPr>
            <cx:visibility meanLine="0" meanMarker="1" nonoutliers="0" outliers="1"/>
            <cx:statistics quartileMethod="exclusive"/>
          </cx:layoutPr>
        </cx:series>
        <cx:series layoutId="boxWhisker" uniqueId="{E570E648-7A14-4DD0-B782-09A63AC939B7}">
          <cx:tx>
            <cx:txData>
              <cx:f>_xlchart.v1.2</cx:f>
              <cx:v>fair died</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data id="1">
      <cx:numDim type="val">
        <cx:f>_xlchart.v1.7</cx:f>
      </cx:numDim>
    </cx:data>
  </cx:chartData>
  <cx:chart>
    <cx:title pos="t" align="ctr" overlay="0">
      <cx:tx>
        <cx:txData>
          <cx:v>fare distibution by survival</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fare distibution by survival</a:t>
          </a:r>
        </a:p>
      </cx:txPr>
    </cx:title>
    <cx:plotArea>
      <cx:plotAreaRegion>
        <cx:plotSurface>
          <cx:spPr>
            <a:effectLst>
              <a:outerShdw blurRad="50800" dist="50800" algn="ctr" rotWithShape="0">
                <a:srgbClr val="000000">
                  <a:alpha val="43137"/>
                </a:srgbClr>
              </a:outerShdw>
              <a:softEdge rad="0"/>
            </a:effectLst>
          </cx:spPr>
        </cx:plotSurface>
        <cx:series layoutId="boxWhisker" uniqueId="{27C066A3-C0C4-4B05-ABD4-4DB793914F4B}">
          <cx:tx>
            <cx:txData>
              <cx:f>_xlchart.v1.4</cx:f>
              <cx:v>fair survived</cx:v>
            </cx:txData>
          </cx:tx>
          <cx:dataId val="0"/>
          <cx:layoutPr>
            <cx:visibility meanLine="0" meanMarker="1" nonoutliers="0" outliers="1"/>
            <cx:statistics quartileMethod="exclusive"/>
          </cx:layoutPr>
        </cx:series>
        <cx:series layoutId="boxWhisker" uniqueId="{E570E648-7A14-4DD0-B782-09A63AC939B7}">
          <cx:tx>
            <cx:txData>
              <cx:f>_xlchart.v1.6</cx:f>
              <cx:v>fair died</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spPr>
    <a:effectLst>
      <a:outerShdw blurRad="635000" dist="76200" dir="18120000" algn="ctr" rotWithShape="0">
        <a:srgbClr val="000000">
          <a:alpha val="0"/>
        </a:srgbClr>
      </a:outerShdw>
      <a:softEdge rad="0"/>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data id="1">
      <cx:numDim type="val">
        <cx:f>_xlchart.v1.11</cx:f>
      </cx:numDim>
    </cx:data>
  </cx:chartData>
  <cx:chart>
    <cx:title pos="t" align="ctr" overlay="0">
      <cx:tx>
        <cx:txData>
          <cx:v>Fare Distibution By Survival</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Fare Distibution By Survival</a:t>
          </a:r>
        </a:p>
      </cx:txPr>
    </cx:title>
    <cx:plotArea>
      <cx:plotAreaRegion>
        <cx:plotSurface>
          <cx:spPr>
            <a:effectLst>
              <a:outerShdw blurRad="50800" dist="50800" algn="ctr" rotWithShape="0">
                <a:srgbClr val="000000">
                  <a:alpha val="43137"/>
                </a:srgbClr>
              </a:outerShdw>
              <a:softEdge rad="0"/>
            </a:effectLst>
          </cx:spPr>
        </cx:plotSurface>
        <cx:series layoutId="boxWhisker" uniqueId="{27C066A3-C0C4-4B05-ABD4-4DB793914F4B}">
          <cx:tx>
            <cx:txData>
              <cx:f>_xlchart.v1.8</cx:f>
              <cx:v>fair survived</cx:v>
            </cx:txData>
          </cx:tx>
          <cx:dataId val="0"/>
          <cx:layoutPr>
            <cx:visibility meanLine="0" meanMarker="1" nonoutliers="0" outliers="1"/>
            <cx:statistics quartileMethod="exclusive"/>
          </cx:layoutPr>
        </cx:series>
        <cx:series layoutId="boxWhisker" uniqueId="{E570E648-7A14-4DD0-B782-09A63AC939B7}">
          <cx:tx>
            <cx:txData>
              <cx:f>_xlchart.v1.10</cx:f>
              <cx:v>fair died</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spPr>
    <a:effectLst>
      <a:outerShdw blurRad="635000" dist="76200" dir="18120000" algn="ctr" rotWithShape="0">
        <a:srgbClr val="000000">
          <a:alpha val="0"/>
        </a:srgbClr>
      </a:outerShdw>
      <a:softEdge rad="0"/>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11.xml"/><Relationship Id="rId7" Type="http://schemas.openxmlformats.org/officeDocument/2006/relationships/hyperlink" Target="https://de.wiktionary.org/wiki/Titanic" TargetMode="External"/><Relationship Id="rId2" Type="http://schemas.openxmlformats.org/officeDocument/2006/relationships/chart" Target="../charts/chart10.xml"/><Relationship Id="rId1" Type="http://schemas.microsoft.com/office/2014/relationships/chartEx" Target="../charts/chartEx2.xml"/><Relationship Id="rId6" Type="http://schemas.openxmlformats.org/officeDocument/2006/relationships/image" Target="../media/image1.jpeg"/><Relationship Id="rId5" Type="http://schemas.openxmlformats.org/officeDocument/2006/relationships/chart" Target="../charts/chart13.xml"/><Relationship Id="rId4"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6.xml"/><Relationship Id="rId7" Type="http://schemas.openxmlformats.org/officeDocument/2006/relationships/chart" Target="../charts/chart18.xml"/><Relationship Id="rId2" Type="http://schemas.openxmlformats.org/officeDocument/2006/relationships/chart" Target="../charts/chart15.xml"/><Relationship Id="rId1" Type="http://schemas.microsoft.com/office/2014/relationships/chartEx" Target="../charts/chartEx3.xml"/><Relationship Id="rId6" Type="http://schemas.openxmlformats.org/officeDocument/2006/relationships/chart" Target="../charts/chart17.xml"/><Relationship Id="rId5" Type="http://schemas.openxmlformats.org/officeDocument/2006/relationships/hyperlink" Target="https://de.wiktionary.org/wiki/Titanic" TargetMode="External"/><Relationship Id="rId4"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609600</xdr:colOff>
      <xdr:row>2</xdr:row>
      <xdr:rowOff>76200</xdr:rowOff>
    </xdr:from>
    <xdr:to>
      <xdr:col>12</xdr:col>
      <xdr:colOff>161925</xdr:colOff>
      <xdr:row>16</xdr:row>
      <xdr:rowOff>152400</xdr:rowOff>
    </xdr:to>
    <xdr:graphicFrame macro="">
      <xdr:nvGraphicFramePr>
        <xdr:cNvPr id="2" name="Chart 1">
          <a:extLst>
            <a:ext uri="{FF2B5EF4-FFF2-40B4-BE49-F238E27FC236}">
              <a16:creationId xmlns:a16="http://schemas.microsoft.com/office/drawing/2014/main" id="{36E79A22-3EB9-38F8-AFFC-6E85B82CFA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411616</xdr:colOff>
      <xdr:row>2</xdr:row>
      <xdr:rowOff>112600</xdr:rowOff>
    </xdr:from>
    <xdr:to>
      <xdr:col>15</xdr:col>
      <xdr:colOff>403451</xdr:colOff>
      <xdr:row>16</xdr:row>
      <xdr:rowOff>160225</xdr:rowOff>
    </xdr:to>
    <mc:AlternateContent xmlns:mc="http://schemas.openxmlformats.org/markup-compatibility/2006" xmlns:a14="http://schemas.microsoft.com/office/drawing/2010/main">
      <mc:Choice Requires="a14">
        <xdr:graphicFrame macro="">
          <xdr:nvGraphicFramePr>
            <xdr:cNvPr id="3" name="Sex">
              <a:extLst>
                <a:ext uri="{FF2B5EF4-FFF2-40B4-BE49-F238E27FC236}">
                  <a16:creationId xmlns:a16="http://schemas.microsoft.com/office/drawing/2014/main" id="{FE6F7F81-57CA-2A4E-17B9-4DCC74A02CF5}"/>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0582955" y="486796"/>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1064758</xdr:colOff>
      <xdr:row>19</xdr:row>
      <xdr:rowOff>6123</xdr:rowOff>
    </xdr:from>
    <xdr:to>
      <xdr:col>9</xdr:col>
      <xdr:colOff>76539</xdr:colOff>
      <xdr:row>33</xdr:row>
      <xdr:rowOff>129948</xdr:rowOff>
    </xdr:to>
    <xdr:graphicFrame macro="">
      <xdr:nvGraphicFramePr>
        <xdr:cNvPr id="5" name="Chart 4">
          <a:extLst>
            <a:ext uri="{FF2B5EF4-FFF2-40B4-BE49-F238E27FC236}">
              <a16:creationId xmlns:a16="http://schemas.microsoft.com/office/drawing/2014/main" id="{54F2A469-FEE2-C1CF-7916-70E2224C59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495300</xdr:colOff>
      <xdr:row>3</xdr:row>
      <xdr:rowOff>66675</xdr:rowOff>
    </xdr:from>
    <xdr:to>
      <xdr:col>14</xdr:col>
      <xdr:colOff>323850</xdr:colOff>
      <xdr:row>20</xdr:row>
      <xdr:rowOff>171450</xdr:rowOff>
    </xdr:to>
    <xdr:graphicFrame macro="">
      <xdr:nvGraphicFramePr>
        <xdr:cNvPr id="2" name="Chart 1">
          <a:extLst>
            <a:ext uri="{FF2B5EF4-FFF2-40B4-BE49-F238E27FC236}">
              <a16:creationId xmlns:a16="http://schemas.microsoft.com/office/drawing/2014/main" id="{168E1F4E-347B-F27C-794D-90B4B8F468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352425</xdr:colOff>
      <xdr:row>10</xdr:row>
      <xdr:rowOff>133350</xdr:rowOff>
    </xdr:from>
    <xdr:to>
      <xdr:col>19</xdr:col>
      <xdr:colOff>352425</xdr:colOff>
      <xdr:row>24</xdr:row>
      <xdr:rowOff>133350</xdr:rowOff>
    </xdr:to>
    <mc:AlternateContent xmlns:mc="http://schemas.openxmlformats.org/markup-compatibility/2006" xmlns:a14="http://schemas.microsoft.com/office/drawing/2010/main">
      <mc:Choice Requires="a14">
        <xdr:graphicFrame macro="">
          <xdr:nvGraphicFramePr>
            <xdr:cNvPr id="4" name="Age Group">
              <a:extLst>
                <a:ext uri="{FF2B5EF4-FFF2-40B4-BE49-F238E27FC236}">
                  <a16:creationId xmlns:a16="http://schemas.microsoft.com/office/drawing/2014/main" id="{20A40984-6E87-FAAC-E487-CAA5A7EA5F52}"/>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1506200" y="20383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290512</xdr:colOff>
      <xdr:row>24</xdr:row>
      <xdr:rowOff>157162</xdr:rowOff>
    </xdr:from>
    <xdr:to>
      <xdr:col>14</xdr:col>
      <xdr:colOff>595312</xdr:colOff>
      <xdr:row>39</xdr:row>
      <xdr:rowOff>42862</xdr:rowOff>
    </xdr:to>
    <xdr:graphicFrame macro="">
      <xdr:nvGraphicFramePr>
        <xdr:cNvPr id="3" name="Chart 2">
          <a:extLst>
            <a:ext uri="{FF2B5EF4-FFF2-40B4-BE49-F238E27FC236}">
              <a16:creationId xmlns:a16="http://schemas.microsoft.com/office/drawing/2014/main" id="{D6707A56-0A09-3343-0EFC-7DE93214E1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152400</xdr:colOff>
      <xdr:row>1</xdr:row>
      <xdr:rowOff>0</xdr:rowOff>
    </xdr:from>
    <xdr:to>
      <xdr:col>15</xdr:col>
      <xdr:colOff>457200</xdr:colOff>
      <xdr:row>15</xdr:row>
      <xdr:rowOff>76200</xdr:rowOff>
    </xdr:to>
    <xdr:graphicFrame macro="">
      <xdr:nvGraphicFramePr>
        <xdr:cNvPr id="2" name="Chart 1">
          <a:extLst>
            <a:ext uri="{FF2B5EF4-FFF2-40B4-BE49-F238E27FC236}">
              <a16:creationId xmlns:a16="http://schemas.microsoft.com/office/drawing/2014/main" id="{50714C6E-2B83-EC36-EEF9-964C184910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176212</xdr:colOff>
      <xdr:row>15</xdr:row>
      <xdr:rowOff>85725</xdr:rowOff>
    </xdr:from>
    <xdr:to>
      <xdr:col>15</xdr:col>
      <xdr:colOff>481012</xdr:colOff>
      <xdr:row>29</xdr:row>
      <xdr:rowOff>161925</xdr:rowOff>
    </xdr:to>
    <xdr:graphicFrame macro="">
      <xdr:nvGraphicFramePr>
        <xdr:cNvPr id="3" name="Chart 2">
          <a:extLst>
            <a:ext uri="{FF2B5EF4-FFF2-40B4-BE49-F238E27FC236}">
              <a16:creationId xmlns:a16="http://schemas.microsoft.com/office/drawing/2014/main" id="{B0DA4E72-B50D-91AD-E714-F77097E9C1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1057275</xdr:colOff>
      <xdr:row>15</xdr:row>
      <xdr:rowOff>152400</xdr:rowOff>
    </xdr:from>
    <xdr:to>
      <xdr:col>6</xdr:col>
      <xdr:colOff>657225</xdr:colOff>
      <xdr:row>33</xdr:row>
      <xdr:rowOff>14287</xdr:rowOff>
    </xdr:to>
    <xdr:graphicFrame macro="">
      <xdr:nvGraphicFramePr>
        <xdr:cNvPr id="4" name="Chart 3">
          <a:extLst>
            <a:ext uri="{FF2B5EF4-FFF2-40B4-BE49-F238E27FC236}">
              <a16:creationId xmlns:a16="http://schemas.microsoft.com/office/drawing/2014/main" id="{057D4E21-E30E-00DD-76D2-42EE3A24E7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428625</xdr:colOff>
      <xdr:row>9</xdr:row>
      <xdr:rowOff>47625</xdr:rowOff>
    </xdr:from>
    <xdr:to>
      <xdr:col>14</xdr:col>
      <xdr:colOff>123825</xdr:colOff>
      <xdr:row>23</xdr:row>
      <xdr:rowOff>123825</xdr:rowOff>
    </xdr:to>
    <xdr:graphicFrame macro="">
      <xdr:nvGraphicFramePr>
        <xdr:cNvPr id="2" name="Chart 1">
          <a:extLst>
            <a:ext uri="{FF2B5EF4-FFF2-40B4-BE49-F238E27FC236}">
              <a16:creationId xmlns:a16="http://schemas.microsoft.com/office/drawing/2014/main" id="{3F60ECDE-DB6C-A0FD-8C19-15BD6893A8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495300</xdr:colOff>
      <xdr:row>4</xdr:row>
      <xdr:rowOff>114300</xdr:rowOff>
    </xdr:from>
    <xdr:to>
      <xdr:col>16</xdr:col>
      <xdr:colOff>38100</xdr:colOff>
      <xdr:row>22</xdr:row>
      <xdr:rowOff>57150</xdr:rowOff>
    </xdr:to>
    <xdr:graphicFrame macro="">
      <xdr:nvGraphicFramePr>
        <xdr:cNvPr id="2" name="Chart 1">
          <a:extLst>
            <a:ext uri="{FF2B5EF4-FFF2-40B4-BE49-F238E27FC236}">
              <a16:creationId xmlns:a16="http://schemas.microsoft.com/office/drawing/2014/main" id="{6B056F50-89DA-9DB7-7628-1EF4A6D925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390525</xdr:colOff>
      <xdr:row>6</xdr:row>
      <xdr:rowOff>66675</xdr:rowOff>
    </xdr:from>
    <xdr:to>
      <xdr:col>19</xdr:col>
      <xdr:colOff>390525</xdr:colOff>
      <xdr:row>20</xdr:row>
      <xdr:rowOff>66675</xdr:rowOff>
    </xdr:to>
    <mc:AlternateContent xmlns:mc="http://schemas.openxmlformats.org/markup-compatibility/2006" xmlns:a14="http://schemas.microsoft.com/office/drawing/2010/main">
      <mc:Choice Requires="a14">
        <xdr:graphicFrame macro="">
          <xdr:nvGraphicFramePr>
            <xdr:cNvPr id="4" name="fair group">
              <a:extLst>
                <a:ext uri="{FF2B5EF4-FFF2-40B4-BE49-F238E27FC236}">
                  <a16:creationId xmlns:a16="http://schemas.microsoft.com/office/drawing/2014/main" id="{25FF928A-F21F-A522-7444-9A225826AAAE}"/>
                </a:ext>
              </a:extLst>
            </xdr:cNvPr>
            <xdr:cNvGraphicFramePr/>
          </xdr:nvGraphicFramePr>
          <xdr:xfrm>
            <a:off x="0" y="0"/>
            <a:ext cx="0" cy="0"/>
          </xdr:xfrm>
          <a:graphic>
            <a:graphicData uri="http://schemas.microsoft.com/office/drawing/2010/slicer">
              <sle:slicer xmlns:sle="http://schemas.microsoft.com/office/drawing/2010/slicer" name="fair group"/>
            </a:graphicData>
          </a:graphic>
        </xdr:graphicFrame>
      </mc:Choice>
      <mc:Fallback xmlns="">
        <xdr:sp macro="" textlink="">
          <xdr:nvSpPr>
            <xdr:cNvPr id="0" name=""/>
            <xdr:cNvSpPr>
              <a:spLocks noTextEdit="1"/>
            </xdr:cNvSpPr>
          </xdr:nvSpPr>
          <xdr:spPr>
            <a:xfrm>
              <a:off x="11544300" y="12096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20</xdr:col>
      <xdr:colOff>775608</xdr:colOff>
      <xdr:row>14</xdr:row>
      <xdr:rowOff>149483</xdr:rowOff>
    </xdr:from>
    <xdr:to>
      <xdr:col>22</xdr:col>
      <xdr:colOff>312965</xdr:colOff>
      <xdr:row>28</xdr:row>
      <xdr:rowOff>171255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DD3FA8A0-E7D7-67FA-D64C-AD3BFF4503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160483" y="2816483"/>
              <a:ext cx="4566557" cy="268877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20</xdr:col>
      <xdr:colOff>146897</xdr:colOff>
      <xdr:row>30</xdr:row>
      <xdr:rowOff>196759</xdr:rowOff>
    </xdr:from>
    <xdr:to>
      <xdr:col>38</xdr:col>
      <xdr:colOff>12567</xdr:colOff>
      <xdr:row>56</xdr:row>
      <xdr:rowOff>147912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F041625-D7A0-4B33-A317-0910E3A489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891347" y="5902234"/>
              <a:ext cx="10838470" cy="491367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257192</xdr:colOff>
      <xdr:row>56</xdr:row>
      <xdr:rowOff>133336</xdr:rowOff>
    </xdr:from>
    <xdr:to>
      <xdr:col>20</xdr:col>
      <xdr:colOff>146897</xdr:colOff>
      <xdr:row>75</xdr:row>
      <xdr:rowOff>135699</xdr:rowOff>
    </xdr:to>
    <xdr:graphicFrame macro="">
      <xdr:nvGraphicFramePr>
        <xdr:cNvPr id="3" name="Chart 2">
          <a:extLst>
            <a:ext uri="{FF2B5EF4-FFF2-40B4-BE49-F238E27FC236}">
              <a16:creationId xmlns:a16="http://schemas.microsoft.com/office/drawing/2014/main" id="{E795E777-AF38-46EF-B237-1A85E869B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110504</xdr:colOff>
      <xdr:row>56</xdr:row>
      <xdr:rowOff>147912</xdr:rowOff>
    </xdr:from>
    <xdr:to>
      <xdr:col>38</xdr:col>
      <xdr:colOff>355</xdr:colOff>
      <xdr:row>75</xdr:row>
      <xdr:rowOff>147911</xdr:rowOff>
    </xdr:to>
    <xdr:graphicFrame macro="">
      <xdr:nvGraphicFramePr>
        <xdr:cNvPr id="4" name="Chart 3">
          <a:extLst>
            <a:ext uri="{FF2B5EF4-FFF2-40B4-BE49-F238E27FC236}">
              <a16:creationId xmlns:a16="http://schemas.microsoft.com/office/drawing/2014/main" id="{3064C5F6-B319-409A-A54E-57C516408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257438</xdr:colOff>
      <xdr:row>75</xdr:row>
      <xdr:rowOff>147912</xdr:rowOff>
    </xdr:from>
    <xdr:to>
      <xdr:col>29</xdr:col>
      <xdr:colOff>98048</xdr:colOff>
      <xdr:row>95</xdr:row>
      <xdr:rowOff>147912</xdr:rowOff>
    </xdr:to>
    <xdr:graphicFrame macro="">
      <xdr:nvGraphicFramePr>
        <xdr:cNvPr id="5" name="Chart 4">
          <a:extLst>
            <a:ext uri="{FF2B5EF4-FFF2-40B4-BE49-F238E27FC236}">
              <a16:creationId xmlns:a16="http://schemas.microsoft.com/office/drawing/2014/main" id="{52AB5EC0-3FA5-43DC-A65C-F2EAA0A61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110259</xdr:colOff>
      <xdr:row>75</xdr:row>
      <xdr:rowOff>147912</xdr:rowOff>
    </xdr:from>
    <xdr:to>
      <xdr:col>38</xdr:col>
      <xdr:colOff>13790</xdr:colOff>
      <xdr:row>95</xdr:row>
      <xdr:rowOff>147913</xdr:rowOff>
    </xdr:to>
    <xdr:graphicFrame macro="">
      <xdr:nvGraphicFramePr>
        <xdr:cNvPr id="6" name="Chart 5">
          <a:extLst>
            <a:ext uri="{FF2B5EF4-FFF2-40B4-BE49-F238E27FC236}">
              <a16:creationId xmlns:a16="http://schemas.microsoft.com/office/drawing/2014/main" id="{83B519D5-06B4-4C29-B0B5-56E24DF1F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262322</xdr:colOff>
      <xdr:row>38</xdr:row>
      <xdr:rowOff>12464</xdr:rowOff>
    </xdr:from>
    <xdr:to>
      <xdr:col>20</xdr:col>
      <xdr:colOff>159109</xdr:colOff>
      <xdr:row>56</xdr:row>
      <xdr:rowOff>133337</xdr:rowOff>
    </xdr:to>
    <xdr:pic>
      <xdr:nvPicPr>
        <xdr:cNvPr id="8" name="Picture 7">
          <a:extLst>
            <a:ext uri="{FF2B5EF4-FFF2-40B4-BE49-F238E27FC236}">
              <a16:creationId xmlns:a16="http://schemas.microsoft.com/office/drawing/2014/main" id="{09D1433C-A46E-7A91-78B8-F3E15F8C9E3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7540860" y="7524634"/>
          <a:ext cx="5396126" cy="3679269"/>
        </a:xfrm>
        <a:prstGeom prst="rect">
          <a:avLst/>
        </a:prstGeom>
        <a:effectLst>
          <a:outerShdw blurRad="635000" dist="76200" dir="18120000" algn="ctr" rotWithShape="0">
            <a:srgbClr val="000000">
              <a:alpha val="0"/>
            </a:srgbClr>
          </a:outerShdw>
        </a:effectLst>
      </xdr:spPr>
    </xdr:pic>
    <xdr:clientData/>
  </xdr:twoCellAnchor>
  <xdr:oneCellAnchor>
    <xdr:from>
      <xdr:col>21</xdr:col>
      <xdr:colOff>323850</xdr:colOff>
      <xdr:row>4</xdr:row>
      <xdr:rowOff>76200</xdr:rowOff>
    </xdr:from>
    <xdr:ext cx="876300" cy="758594"/>
    <xdr:sp macro="" textlink="">
      <xdr:nvSpPr>
        <xdr:cNvPr id="9" name="TextBox 8">
          <a:extLst>
            <a:ext uri="{FF2B5EF4-FFF2-40B4-BE49-F238E27FC236}">
              <a16:creationId xmlns:a16="http://schemas.microsoft.com/office/drawing/2014/main" id="{E2DE2E7A-8494-A45F-C933-C22417A5B861}"/>
            </a:ext>
          </a:extLst>
        </xdr:cNvPr>
        <xdr:cNvSpPr txBox="1"/>
      </xdr:nvSpPr>
      <xdr:spPr>
        <a:xfrm>
          <a:off x="13125450" y="838200"/>
          <a:ext cx="876300" cy="7585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900"/>
        </a:p>
      </xdr:txBody>
    </xdr:sp>
    <xdr:clientData/>
  </xdr:oneCellAnchor>
  <xdr:twoCellAnchor>
    <xdr:from>
      <xdr:col>20</xdr:col>
      <xdr:colOff>154911</xdr:colOff>
      <xdr:row>22</xdr:row>
      <xdr:rowOff>194790</xdr:rowOff>
    </xdr:from>
    <xdr:to>
      <xdr:col>24</xdr:col>
      <xdr:colOff>12175</xdr:colOff>
      <xdr:row>30</xdr:row>
      <xdr:rowOff>148701</xdr:rowOff>
    </xdr:to>
    <xdr:sp macro="" textlink="">
      <xdr:nvSpPr>
        <xdr:cNvPr id="10" name="TextBox 9">
          <a:extLst>
            <a:ext uri="{FF2B5EF4-FFF2-40B4-BE49-F238E27FC236}">
              <a16:creationId xmlns:a16="http://schemas.microsoft.com/office/drawing/2014/main" id="{8EB5D68C-7593-0094-066D-092CDC012852}"/>
            </a:ext>
          </a:extLst>
        </xdr:cNvPr>
        <xdr:cNvSpPr txBox="1"/>
      </xdr:nvSpPr>
      <xdr:spPr>
        <a:xfrm>
          <a:off x="12932788" y="4543941"/>
          <a:ext cx="2301415" cy="1535420"/>
        </a:xfrm>
        <a:prstGeom prst="rect">
          <a:avLst/>
        </a:prstGeom>
        <a:solidFill>
          <a:schemeClr val="tx2">
            <a:lumMod val="75000"/>
            <a:lumOff val="25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ctr"/>
        <a:lstStyle/>
        <a:p>
          <a:pPr algn="ctr"/>
          <a:r>
            <a:rPr lang="en-US" sz="24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mn-lt"/>
              <a:ea typeface="+mn-ea"/>
              <a:cs typeface="+mn-cs"/>
            </a:rPr>
            <a:t>total passengers</a:t>
          </a:r>
        </a:p>
        <a:p>
          <a:pPr algn="ctr"/>
          <a:r>
            <a:rPr lang="en-US" sz="2400" b="0" cap="none" spc="0">
              <a:ln w="0"/>
              <a:gradFill>
                <a:gsLst>
                  <a:gs pos="21000">
                    <a:srgbClr val="53575C"/>
                  </a:gs>
                  <a:gs pos="88000">
                    <a:srgbClr val="C5C7CA"/>
                  </a:gs>
                </a:gsLst>
                <a:lin ang="5400000"/>
              </a:gradFill>
              <a:effectLst/>
            </a:rPr>
            <a:t> </a:t>
          </a:r>
          <a:r>
            <a:rPr lang="en-US" sz="24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mn-lt"/>
              <a:ea typeface="+mn-ea"/>
              <a:cs typeface="+mn-cs"/>
            </a:rPr>
            <a:t>892</a:t>
          </a:r>
        </a:p>
      </xdr:txBody>
    </xdr:sp>
    <xdr:clientData/>
  </xdr:twoCellAnchor>
  <xdr:twoCellAnchor>
    <xdr:from>
      <xdr:col>29</xdr:col>
      <xdr:colOff>80142</xdr:colOff>
      <xdr:row>22</xdr:row>
      <xdr:rowOff>194788</xdr:rowOff>
    </xdr:from>
    <xdr:to>
      <xdr:col>33</xdr:col>
      <xdr:colOff>203967</xdr:colOff>
      <xdr:row>30</xdr:row>
      <xdr:rowOff>133339</xdr:rowOff>
    </xdr:to>
    <xdr:sp macro="" textlink="">
      <xdr:nvSpPr>
        <xdr:cNvPr id="11" name="TextBox 10">
          <a:extLst>
            <a:ext uri="{FF2B5EF4-FFF2-40B4-BE49-F238E27FC236}">
              <a16:creationId xmlns:a16="http://schemas.microsoft.com/office/drawing/2014/main" id="{34E05085-3264-5639-BE2D-3AA6521C3CE8}"/>
            </a:ext>
          </a:extLst>
        </xdr:cNvPr>
        <xdr:cNvSpPr txBox="1"/>
      </xdr:nvSpPr>
      <xdr:spPr>
        <a:xfrm>
          <a:off x="18357359" y="4543939"/>
          <a:ext cx="2567976" cy="1520060"/>
        </a:xfrm>
        <a:prstGeom prst="rect">
          <a:avLst/>
        </a:prstGeom>
        <a:solidFill>
          <a:schemeClr val="tx2">
            <a:lumMod val="75000"/>
            <a:lumOff val="25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ctr"/>
        <a:lstStyle/>
        <a:p>
          <a:pPr algn="ctr"/>
          <a:r>
            <a:rPr lang="en-US" sz="24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mn-lt"/>
              <a:ea typeface="+mn-ea"/>
              <a:cs typeface="+mn-cs"/>
            </a:rPr>
            <a:t>avreg age</a:t>
          </a:r>
        </a:p>
        <a:p>
          <a:pPr marL="0" marR="0" lvl="0" indent="0" algn="ctr" defTabSz="914400" eaLnBrk="1" fontAlgn="auto" latinLnBrk="0" hangingPunct="1">
            <a:lnSpc>
              <a:spcPct val="100000"/>
            </a:lnSpc>
            <a:spcBef>
              <a:spcPts val="0"/>
            </a:spcBef>
            <a:spcAft>
              <a:spcPts val="0"/>
            </a:spcAft>
            <a:buClrTx/>
            <a:buSzTx/>
            <a:buFontTx/>
            <a:buNone/>
            <a:tabLst/>
            <a:defRPr/>
          </a:pPr>
          <a:r>
            <a:rPr lang="en-US" sz="24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mn-lt"/>
              <a:ea typeface="+mn-ea"/>
              <a:cs typeface="+mn-cs"/>
            </a:rPr>
            <a:t>29.36158</a:t>
          </a:r>
          <a:r>
            <a:rPr lang="en-US" sz="24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mn-lt"/>
              <a:ea typeface="+mn-ea"/>
              <a:cs typeface="+mn-cs"/>
            </a:rPr>
            <a:t> </a:t>
          </a:r>
        </a:p>
      </xdr:txBody>
    </xdr:sp>
    <xdr:clientData/>
  </xdr:twoCellAnchor>
  <xdr:twoCellAnchor>
    <xdr:from>
      <xdr:col>24</xdr:col>
      <xdr:colOff>211893</xdr:colOff>
      <xdr:row>22</xdr:row>
      <xdr:rowOff>194788</xdr:rowOff>
    </xdr:from>
    <xdr:to>
      <xdr:col>28</xdr:col>
      <xdr:colOff>423493</xdr:colOff>
      <xdr:row>30</xdr:row>
      <xdr:rowOff>148701</xdr:rowOff>
    </xdr:to>
    <xdr:sp macro="" textlink="">
      <xdr:nvSpPr>
        <xdr:cNvPr id="12" name="TextBox 11">
          <a:extLst>
            <a:ext uri="{FF2B5EF4-FFF2-40B4-BE49-F238E27FC236}">
              <a16:creationId xmlns:a16="http://schemas.microsoft.com/office/drawing/2014/main" id="{2023DB83-908B-E5D3-E1DC-89D2DF9A755E}"/>
            </a:ext>
          </a:extLst>
        </xdr:cNvPr>
        <xdr:cNvSpPr txBox="1"/>
      </xdr:nvSpPr>
      <xdr:spPr>
        <a:xfrm>
          <a:off x="15433921" y="4543939"/>
          <a:ext cx="2655751" cy="1535422"/>
        </a:xfrm>
        <a:prstGeom prst="rect">
          <a:avLst/>
        </a:prstGeom>
        <a:solidFill>
          <a:schemeClr val="tx2">
            <a:lumMod val="75000"/>
            <a:lumOff val="25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t"/>
        <a:lstStyle/>
        <a:p>
          <a:pPr algn="ctr"/>
          <a:r>
            <a:rPr lang="en-US" sz="24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mn-lt"/>
              <a:ea typeface="+mn-ea"/>
              <a:cs typeface="+mn-cs"/>
            </a:rPr>
            <a:t>overall survival</a:t>
          </a:r>
        </a:p>
        <a:p>
          <a:pPr algn="ctr"/>
          <a:r>
            <a:rPr lang="en-US" sz="24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mn-lt"/>
              <a:ea typeface="+mn-ea"/>
              <a:cs typeface="+mn-cs"/>
            </a:rPr>
            <a:t> rate (%)</a:t>
          </a:r>
        </a:p>
        <a:p>
          <a:pPr marL="0" marR="0" lvl="0" indent="0" algn="ctr" defTabSz="914400" eaLnBrk="1" fontAlgn="auto" latinLnBrk="0" hangingPunct="1">
            <a:lnSpc>
              <a:spcPct val="100000"/>
            </a:lnSpc>
            <a:spcBef>
              <a:spcPts val="0"/>
            </a:spcBef>
            <a:spcAft>
              <a:spcPts val="0"/>
            </a:spcAft>
            <a:buClrTx/>
            <a:buSzTx/>
            <a:buFontTx/>
            <a:buNone/>
            <a:tabLst/>
            <a:defRPr/>
          </a:pPr>
          <a:r>
            <a:rPr lang="en-US" sz="24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mn-lt"/>
              <a:ea typeface="+mn-ea"/>
              <a:cs typeface="+mn-cs"/>
            </a:rPr>
            <a:t>38.34081</a:t>
          </a:r>
          <a:r>
            <a:rPr lang="en-US" sz="24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mn-lt"/>
              <a:ea typeface="+mn-ea"/>
              <a:cs typeface="+mn-cs"/>
            </a:rPr>
            <a:t>  </a:t>
          </a:r>
          <a:r>
            <a:rPr lang="en-US" sz="3200" b="0" i="0">
              <a:solidFill>
                <a:schemeClr val="dk1"/>
              </a:solidFill>
              <a:effectLst/>
              <a:latin typeface="+mn-lt"/>
              <a:ea typeface="+mn-ea"/>
              <a:cs typeface="+mn-cs"/>
            </a:rPr>
            <a:t> </a:t>
          </a:r>
          <a:endParaRPr lang="en-US" sz="3200">
            <a:effectLst/>
          </a:endParaRPr>
        </a:p>
        <a:p>
          <a:pPr algn="ctr"/>
          <a:endParaRPr lang="en-US" sz="2800" b="0" cap="none" spc="0">
            <a:ln w="0"/>
            <a:gradFill>
              <a:gsLst>
                <a:gs pos="21000">
                  <a:srgbClr val="53575C"/>
                </a:gs>
                <a:gs pos="88000">
                  <a:srgbClr val="C5C7CA"/>
                </a:gs>
              </a:gsLst>
              <a:lin ang="5400000"/>
            </a:gradFill>
            <a:effectLst/>
          </a:endParaRPr>
        </a:p>
      </xdr:txBody>
    </xdr:sp>
    <xdr:clientData/>
  </xdr:twoCellAnchor>
  <xdr:twoCellAnchor>
    <xdr:from>
      <xdr:col>33</xdr:col>
      <xdr:colOff>439536</xdr:colOff>
      <xdr:row>23</xdr:row>
      <xdr:rowOff>6697</xdr:rowOff>
    </xdr:from>
    <xdr:to>
      <xdr:col>38</xdr:col>
      <xdr:colOff>9472</xdr:colOff>
      <xdr:row>30</xdr:row>
      <xdr:rowOff>117976</xdr:rowOff>
    </xdr:to>
    <xdr:sp macro="" textlink="">
      <xdr:nvSpPr>
        <xdr:cNvPr id="13" name="TextBox 12">
          <a:extLst>
            <a:ext uri="{FF2B5EF4-FFF2-40B4-BE49-F238E27FC236}">
              <a16:creationId xmlns:a16="http://schemas.microsoft.com/office/drawing/2014/main" id="{08DDD24E-1F92-E433-C9CE-A96ADF2849EC}"/>
            </a:ext>
          </a:extLst>
        </xdr:cNvPr>
        <xdr:cNvSpPr txBox="1"/>
      </xdr:nvSpPr>
      <xdr:spPr>
        <a:xfrm>
          <a:off x="21160904" y="4553537"/>
          <a:ext cx="2625125" cy="1495099"/>
        </a:xfrm>
        <a:prstGeom prst="rect">
          <a:avLst/>
        </a:prstGeom>
        <a:solidFill>
          <a:schemeClr val="tx2">
            <a:lumMod val="75000"/>
            <a:lumOff val="25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ctr"/>
        <a:lstStyle/>
        <a:p>
          <a:pPr algn="ctr"/>
          <a:r>
            <a:rPr lang="en-US" sz="24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mn-lt"/>
              <a:ea typeface="+mn-ea"/>
              <a:cs typeface="+mn-cs"/>
            </a:rPr>
            <a:t>averge fair</a:t>
          </a:r>
        </a:p>
        <a:p>
          <a:pPr marL="0" marR="0" lvl="0" indent="0" algn="ctr" defTabSz="914400" eaLnBrk="1" fontAlgn="auto" latinLnBrk="0" hangingPunct="1">
            <a:lnSpc>
              <a:spcPct val="100000"/>
            </a:lnSpc>
            <a:spcBef>
              <a:spcPts val="0"/>
            </a:spcBef>
            <a:spcAft>
              <a:spcPts val="0"/>
            </a:spcAft>
            <a:buClrTx/>
            <a:buSzTx/>
            <a:buFontTx/>
            <a:buNone/>
            <a:tabLst/>
            <a:defRPr/>
          </a:pPr>
          <a:r>
            <a:rPr lang="en-US" sz="24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mn-lt"/>
              <a:ea typeface="+mn-ea"/>
              <a:cs typeface="+mn-cs"/>
            </a:rPr>
            <a:t>32.20420797</a:t>
          </a:r>
          <a:r>
            <a:rPr lang="en-US" sz="24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mn-lt"/>
              <a:ea typeface="+mn-ea"/>
              <a:cs typeface="+mn-cs"/>
            </a:rPr>
            <a:t> </a:t>
          </a:r>
        </a:p>
      </xdr:txBody>
    </xdr:sp>
    <xdr:clientData/>
  </xdr:twoCellAnchor>
  <xdr:twoCellAnchor>
    <xdr:from>
      <xdr:col>11</xdr:col>
      <xdr:colOff>242618</xdr:colOff>
      <xdr:row>30</xdr:row>
      <xdr:rowOff>185502</xdr:rowOff>
    </xdr:from>
    <xdr:to>
      <xdr:col>20</xdr:col>
      <xdr:colOff>135080</xdr:colOff>
      <xdr:row>37</xdr:row>
      <xdr:rowOff>194789</xdr:rowOff>
    </xdr:to>
    <xdr:sp macro="" textlink="">
      <xdr:nvSpPr>
        <xdr:cNvPr id="14" name="TextBox 13">
          <a:extLst>
            <a:ext uri="{FF2B5EF4-FFF2-40B4-BE49-F238E27FC236}">
              <a16:creationId xmlns:a16="http://schemas.microsoft.com/office/drawing/2014/main" id="{B74A889C-7F66-19CD-E931-AF58E90C7C5E}"/>
            </a:ext>
          </a:extLst>
        </xdr:cNvPr>
        <xdr:cNvSpPr txBox="1"/>
      </xdr:nvSpPr>
      <xdr:spPr>
        <a:xfrm>
          <a:off x="7521156" y="6116162"/>
          <a:ext cx="5391801" cy="1393108"/>
        </a:xfrm>
        <a:prstGeom prst="rect">
          <a:avLst/>
        </a:prstGeom>
        <a:solidFill>
          <a:schemeClr val="tx2">
            <a:lumMod val="75000"/>
            <a:lumOff val="25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t"/>
        <a:lstStyle/>
        <a:p>
          <a:pPr algn="ctr"/>
          <a:r>
            <a:rPr lang="en-US" sz="80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mn-lt"/>
              <a:ea typeface="+mn-ea"/>
              <a:cs typeface="+mn-cs"/>
            </a:rPr>
            <a:t>THE TITANIC</a:t>
          </a:r>
        </a:p>
      </xdr:txBody>
    </xdr:sp>
    <xdr:clientData/>
  </xdr:twoCellAnchor>
  <xdr:twoCellAnchor>
    <xdr:from>
      <xdr:col>20</xdr:col>
      <xdr:colOff>146897</xdr:colOff>
      <xdr:row>56</xdr:row>
      <xdr:rowOff>147912</xdr:rowOff>
    </xdr:from>
    <xdr:to>
      <xdr:col>29</xdr:col>
      <xdr:colOff>110260</xdr:colOff>
      <xdr:row>75</xdr:row>
      <xdr:rowOff>135700</xdr:rowOff>
    </xdr:to>
    <xdr:graphicFrame macro="">
      <xdr:nvGraphicFramePr>
        <xdr:cNvPr id="15" name="Chart 14">
          <a:extLst>
            <a:ext uri="{FF2B5EF4-FFF2-40B4-BE49-F238E27FC236}">
              <a16:creationId xmlns:a16="http://schemas.microsoft.com/office/drawing/2014/main" id="{72C92ABC-3303-4BAA-A70A-59C8A4F6E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46164</xdr:colOff>
      <xdr:row>38</xdr:row>
      <xdr:rowOff>2629</xdr:rowOff>
    </xdr:from>
    <xdr:to>
      <xdr:col>11</xdr:col>
      <xdr:colOff>213702</xdr:colOff>
      <xdr:row>43</xdr:row>
      <xdr:rowOff>71887</xdr:rowOff>
    </xdr:to>
    <mc:AlternateContent xmlns:mc="http://schemas.openxmlformats.org/markup-compatibility/2006" xmlns:a14="http://schemas.microsoft.com/office/drawing/2010/main">
      <mc:Choice Requires="a14">
        <xdr:graphicFrame macro="">
          <xdr:nvGraphicFramePr>
            <xdr:cNvPr id="16" name="Sex 1">
              <a:extLst>
                <a:ext uri="{FF2B5EF4-FFF2-40B4-BE49-F238E27FC236}">
                  <a16:creationId xmlns:a16="http://schemas.microsoft.com/office/drawing/2014/main" id="{93D8693C-4980-4165-B91D-B1E898E056CD}"/>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5491589" y="7514799"/>
              <a:ext cx="2000651" cy="1057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66089</xdr:colOff>
      <xdr:row>53</xdr:row>
      <xdr:rowOff>159253</xdr:rowOff>
    </xdr:from>
    <xdr:to>
      <xdr:col>11</xdr:col>
      <xdr:colOff>204556</xdr:colOff>
      <xdr:row>67</xdr:row>
      <xdr:rowOff>159254</xdr:rowOff>
    </xdr:to>
    <mc:AlternateContent xmlns:mc="http://schemas.openxmlformats.org/markup-compatibility/2006" xmlns:a14="http://schemas.microsoft.com/office/drawing/2010/main">
      <mc:Choice Requires="a14">
        <xdr:graphicFrame macro="">
          <xdr:nvGraphicFramePr>
            <xdr:cNvPr id="7" name="Age Group 1">
              <a:extLst>
                <a:ext uri="{FF2B5EF4-FFF2-40B4-BE49-F238E27FC236}">
                  <a16:creationId xmlns:a16="http://schemas.microsoft.com/office/drawing/2014/main" id="{08A59015-2A97-4ECD-82A1-E5EF952FDEBD}"/>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5511514" y="10636753"/>
              <a:ext cx="1971580" cy="27676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35364</xdr:colOff>
      <xdr:row>43</xdr:row>
      <xdr:rowOff>159907</xdr:rowOff>
    </xdr:from>
    <xdr:to>
      <xdr:col>11</xdr:col>
      <xdr:colOff>201403</xdr:colOff>
      <xdr:row>53</xdr:row>
      <xdr:rowOff>48704</xdr:rowOff>
    </xdr:to>
    <mc:AlternateContent xmlns:mc="http://schemas.openxmlformats.org/markup-compatibility/2006" xmlns:a14="http://schemas.microsoft.com/office/drawing/2010/main">
      <mc:Choice Requires="a14">
        <xdr:graphicFrame macro="">
          <xdr:nvGraphicFramePr>
            <xdr:cNvPr id="20" name="fair group 1">
              <a:extLst>
                <a:ext uri="{FF2B5EF4-FFF2-40B4-BE49-F238E27FC236}">
                  <a16:creationId xmlns:a16="http://schemas.microsoft.com/office/drawing/2014/main" id="{F543D0A2-4F0F-4CA9-A572-2AD0999C2FA5}"/>
                </a:ext>
              </a:extLst>
            </xdr:cNvPr>
            <xdr:cNvGraphicFramePr/>
          </xdr:nvGraphicFramePr>
          <xdr:xfrm>
            <a:off x="0" y="0"/>
            <a:ext cx="0" cy="0"/>
          </xdr:xfrm>
          <a:graphic>
            <a:graphicData uri="http://schemas.microsoft.com/office/drawing/2010/slicer">
              <sle:slicer xmlns:sle="http://schemas.microsoft.com/office/drawing/2010/slicer" name="fair group 1"/>
            </a:graphicData>
          </a:graphic>
        </xdr:graphicFrame>
      </mc:Choice>
      <mc:Fallback xmlns="">
        <xdr:sp macro="" textlink="">
          <xdr:nvSpPr>
            <xdr:cNvPr id="0" name=""/>
            <xdr:cNvSpPr>
              <a:spLocks noTextEdit="1"/>
            </xdr:cNvSpPr>
          </xdr:nvSpPr>
          <xdr:spPr>
            <a:xfrm>
              <a:off x="5480789" y="8660520"/>
              <a:ext cx="1999152" cy="18656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96814</xdr:colOff>
      <xdr:row>82</xdr:row>
      <xdr:rowOff>187914</xdr:rowOff>
    </xdr:from>
    <xdr:to>
      <xdr:col>11</xdr:col>
      <xdr:colOff>226067</xdr:colOff>
      <xdr:row>95</xdr:row>
      <xdr:rowOff>125801</xdr:rowOff>
    </xdr:to>
    <mc:AlternateContent xmlns:mc="http://schemas.openxmlformats.org/markup-compatibility/2006" xmlns:a14="http://schemas.microsoft.com/office/drawing/2010/main">
      <mc:Choice Requires="a14">
        <xdr:graphicFrame macro="">
          <xdr:nvGraphicFramePr>
            <xdr:cNvPr id="21" name="Family Size">
              <a:extLst>
                <a:ext uri="{FF2B5EF4-FFF2-40B4-BE49-F238E27FC236}">
                  <a16:creationId xmlns:a16="http://schemas.microsoft.com/office/drawing/2014/main" id="{1D964C9A-43F9-65F6-EF1E-B7CD4D8535CD}"/>
                </a:ext>
              </a:extLst>
            </xdr:cNvPr>
            <xdr:cNvGraphicFramePr/>
          </xdr:nvGraphicFramePr>
          <xdr:xfrm>
            <a:off x="0" y="0"/>
            <a:ext cx="0" cy="0"/>
          </xdr:xfrm>
          <a:graphic>
            <a:graphicData uri="http://schemas.microsoft.com/office/drawing/2010/slicer">
              <sle:slicer xmlns:sle="http://schemas.microsoft.com/office/drawing/2010/slicer" name="Family Size"/>
            </a:graphicData>
          </a:graphic>
        </xdr:graphicFrame>
      </mc:Choice>
      <mc:Fallback xmlns="">
        <xdr:sp macro="" textlink="">
          <xdr:nvSpPr>
            <xdr:cNvPr id="0" name=""/>
            <xdr:cNvSpPr>
              <a:spLocks noTextEdit="1"/>
            </xdr:cNvSpPr>
          </xdr:nvSpPr>
          <xdr:spPr>
            <a:xfrm>
              <a:off x="5542239" y="16398386"/>
              <a:ext cx="1962366" cy="21968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81452</xdr:colOff>
      <xdr:row>68</xdr:row>
      <xdr:rowOff>78345</xdr:rowOff>
    </xdr:from>
    <xdr:to>
      <xdr:col>11</xdr:col>
      <xdr:colOff>204721</xdr:colOff>
      <xdr:row>82</xdr:row>
      <xdr:rowOff>95096</xdr:rowOff>
    </xdr:to>
    <mc:AlternateContent xmlns:mc="http://schemas.openxmlformats.org/markup-compatibility/2006" xmlns:a14="http://schemas.microsoft.com/office/drawing/2010/main">
      <mc:Choice Requires="a14">
        <xdr:graphicFrame macro="">
          <xdr:nvGraphicFramePr>
            <xdr:cNvPr id="22" name="Cabin">
              <a:extLst>
                <a:ext uri="{FF2B5EF4-FFF2-40B4-BE49-F238E27FC236}">
                  <a16:creationId xmlns:a16="http://schemas.microsoft.com/office/drawing/2014/main" id="{1FAE1C7F-984B-8927-BB75-BCD3B77BCBA9}"/>
                </a:ext>
              </a:extLst>
            </xdr:cNvPr>
            <xdr:cNvGraphicFramePr/>
          </xdr:nvGraphicFramePr>
          <xdr:xfrm>
            <a:off x="0" y="0"/>
            <a:ext cx="0" cy="0"/>
          </xdr:xfrm>
          <a:graphic>
            <a:graphicData uri="http://schemas.microsoft.com/office/drawing/2010/slicer">
              <sle:slicer xmlns:sle="http://schemas.microsoft.com/office/drawing/2010/slicer" name="Cabin"/>
            </a:graphicData>
          </a:graphic>
        </xdr:graphicFrame>
      </mc:Choice>
      <mc:Fallback xmlns="">
        <xdr:sp macro="" textlink="">
          <xdr:nvSpPr>
            <xdr:cNvPr id="0" name=""/>
            <xdr:cNvSpPr>
              <a:spLocks noTextEdit="1"/>
            </xdr:cNvSpPr>
          </xdr:nvSpPr>
          <xdr:spPr>
            <a:xfrm>
              <a:off x="5526877" y="13521175"/>
              <a:ext cx="1956382" cy="27843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8</xdr:col>
      <xdr:colOff>435428</xdr:colOff>
      <xdr:row>28</xdr:row>
      <xdr:rowOff>54429</xdr:rowOff>
    </xdr:from>
    <xdr:to>
      <xdr:col>62</xdr:col>
      <xdr:colOff>408213</xdr:colOff>
      <xdr:row>122</xdr:row>
      <xdr:rowOff>0</xdr:rowOff>
    </xdr:to>
    <xdr:sp macro="" textlink="">
      <xdr:nvSpPr>
        <xdr:cNvPr id="3" name="Rectangle 2">
          <a:extLst>
            <a:ext uri="{FF2B5EF4-FFF2-40B4-BE49-F238E27FC236}">
              <a16:creationId xmlns:a16="http://schemas.microsoft.com/office/drawing/2014/main" id="{2202918A-A520-127E-FFF3-F3C38FD95251}"/>
            </a:ext>
          </a:extLst>
        </xdr:cNvPr>
        <xdr:cNvSpPr/>
      </xdr:nvSpPr>
      <xdr:spPr>
        <a:xfrm>
          <a:off x="5225142" y="5388429"/>
          <a:ext cx="32303357" cy="17852571"/>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6804</xdr:colOff>
      <xdr:row>49</xdr:row>
      <xdr:rowOff>20411</xdr:rowOff>
    </xdr:from>
    <xdr:to>
      <xdr:col>41</xdr:col>
      <xdr:colOff>425906</xdr:colOff>
      <xdr:row>76</xdr:row>
      <xdr:rowOff>138909</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43753C3B-5C9B-4910-B016-B063FC6633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6770804" y="9354911"/>
              <a:ext cx="8202388" cy="526199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99368</xdr:colOff>
      <xdr:row>98</xdr:row>
      <xdr:rowOff>68036</xdr:rowOff>
    </xdr:from>
    <xdr:to>
      <xdr:col>34</xdr:col>
      <xdr:colOff>411616</xdr:colOff>
      <xdr:row>118</xdr:row>
      <xdr:rowOff>187098</xdr:rowOff>
    </xdr:to>
    <xdr:graphicFrame macro="">
      <xdr:nvGraphicFramePr>
        <xdr:cNvPr id="5" name="Chart 4">
          <a:extLst>
            <a:ext uri="{FF2B5EF4-FFF2-40B4-BE49-F238E27FC236}">
              <a16:creationId xmlns:a16="http://schemas.microsoft.com/office/drawing/2014/main" id="{326F3D51-3201-487B-A5F3-51818A27F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41</xdr:col>
      <xdr:colOff>483053</xdr:colOff>
      <xdr:row>49</xdr:row>
      <xdr:rowOff>17009</xdr:rowOff>
    </xdr:from>
    <xdr:to>
      <xdr:col>55</xdr:col>
      <xdr:colOff>316366</xdr:colOff>
      <xdr:row>76</xdr:row>
      <xdr:rowOff>123093</xdr:rowOff>
    </xdr:to>
    <xdr:graphicFrame macro="">
      <xdr:nvGraphicFramePr>
        <xdr:cNvPr id="6" name="Chart 5">
          <a:extLst>
            <a:ext uri="{FF2B5EF4-FFF2-40B4-BE49-F238E27FC236}">
              <a16:creationId xmlns:a16="http://schemas.microsoft.com/office/drawing/2014/main" id="{7DBC5FFE-32D1-4446-9ED9-BD3560F1D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90211</xdr:colOff>
      <xdr:row>49</xdr:row>
      <xdr:rowOff>20411</xdr:rowOff>
    </xdr:from>
    <xdr:to>
      <xdr:col>27</xdr:col>
      <xdr:colOff>569529</xdr:colOff>
      <xdr:row>76</xdr:row>
      <xdr:rowOff>143384</xdr:rowOff>
    </xdr:to>
    <xdr:pic>
      <xdr:nvPicPr>
        <xdr:cNvPr id="9" name="Picture 8">
          <a:extLst>
            <a:ext uri="{FF2B5EF4-FFF2-40B4-BE49-F238E27FC236}">
              <a16:creationId xmlns:a16="http://schemas.microsoft.com/office/drawing/2014/main" id="{0BCE20B8-557C-4BE1-B9E3-9C614DFF673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9070925" y="9354911"/>
          <a:ext cx="7663890" cy="5266473"/>
        </a:xfrm>
        <a:prstGeom prst="rect">
          <a:avLst/>
        </a:prstGeom>
        <a:effectLst>
          <a:outerShdw blurRad="635000" dist="76200" dir="18120000" algn="ctr" rotWithShape="0">
            <a:srgbClr val="000000">
              <a:alpha val="0"/>
            </a:srgbClr>
          </a:outerShdw>
        </a:effectLst>
      </xdr:spPr>
    </xdr:pic>
    <xdr:clientData/>
  </xdr:twoCellAnchor>
  <xdr:twoCellAnchor>
    <xdr:from>
      <xdr:col>30</xdr:col>
      <xdr:colOff>160566</xdr:colOff>
      <xdr:row>36</xdr:row>
      <xdr:rowOff>96610</xdr:rowOff>
    </xdr:from>
    <xdr:to>
      <xdr:col>36</xdr:col>
      <xdr:colOff>483055</xdr:colOff>
      <xdr:row>45</xdr:row>
      <xdr:rowOff>145967</xdr:rowOff>
    </xdr:to>
    <xdr:sp macro="" textlink="">
      <xdr:nvSpPr>
        <xdr:cNvPr id="11" name="TextBox 10">
          <a:extLst>
            <a:ext uri="{FF2B5EF4-FFF2-40B4-BE49-F238E27FC236}">
              <a16:creationId xmlns:a16="http://schemas.microsoft.com/office/drawing/2014/main" id="{D9A46C99-BB20-4AAC-ACDA-43A74D1FE816}"/>
            </a:ext>
          </a:extLst>
        </xdr:cNvPr>
        <xdr:cNvSpPr txBox="1"/>
      </xdr:nvSpPr>
      <xdr:spPr>
        <a:xfrm>
          <a:off x="18121995" y="6954610"/>
          <a:ext cx="3914774" cy="1763857"/>
        </a:xfrm>
        <a:prstGeom prst="rect">
          <a:avLst/>
        </a:prstGeom>
        <a:noFill/>
        <a:ln>
          <a:noFill/>
        </a:ln>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ctr"/>
        <a:lstStyle/>
        <a:p>
          <a:pPr algn="ctr"/>
          <a:r>
            <a:rPr lang="en-US" sz="40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outerShdw blurRad="50800" dist="38100" dir="5400000" algn="t" rotWithShape="0">
                  <a:prstClr val="black">
                    <a:alpha val="40000"/>
                  </a:prstClr>
                </a:outerShdw>
              </a:effectLst>
              <a:latin typeface="+mn-lt"/>
              <a:ea typeface="+mn-ea"/>
              <a:cs typeface="+mn-cs"/>
            </a:rPr>
            <a:t>Total Passengers</a:t>
          </a:r>
        </a:p>
        <a:p>
          <a:pPr algn="ctr"/>
          <a:r>
            <a:rPr lang="en-US" sz="4000" b="0" cap="none" spc="0">
              <a:ln w="0"/>
              <a:gradFill>
                <a:gsLst>
                  <a:gs pos="21000">
                    <a:srgbClr val="53575C"/>
                  </a:gs>
                  <a:gs pos="88000">
                    <a:srgbClr val="C5C7CA"/>
                  </a:gs>
                </a:gsLst>
                <a:lin ang="5400000"/>
              </a:gradFill>
              <a:effectLst>
                <a:outerShdw blurRad="50800" dist="38100" dir="5400000" algn="t" rotWithShape="0">
                  <a:prstClr val="black">
                    <a:alpha val="40000"/>
                  </a:prstClr>
                </a:outerShdw>
              </a:effectLst>
            </a:rPr>
            <a:t> </a:t>
          </a:r>
          <a:r>
            <a:rPr lang="en-US" sz="4000" b="1" i="0" u="none" strike="noStrike" cap="none" spc="0">
              <a:ln w="22225">
                <a:solidFill>
                  <a:schemeClr val="accent2"/>
                </a:solidFill>
                <a:prstDash val="solid"/>
              </a:ln>
              <a:solidFill>
                <a:schemeClr val="accent2">
                  <a:lumMod val="40000"/>
                  <a:lumOff val="60000"/>
                </a:schemeClr>
              </a:solidFill>
              <a:effectLst/>
              <a:latin typeface="+mn-lt"/>
              <a:ea typeface="+mn-ea"/>
              <a:cs typeface="+mn-cs"/>
            </a:rPr>
            <a:t>892</a:t>
          </a:r>
          <a:endParaRPr lang="en-US" sz="4000" b="1" i="0" u="none" strike="noStrike" cap="none" spc="0">
            <a:ln w="6600">
              <a:solidFill>
                <a:schemeClr val="accent2"/>
              </a:solidFill>
              <a:prstDash val="solid"/>
            </a:ln>
            <a:solidFill>
              <a:srgbClr val="FFFFFF"/>
            </a:solidFill>
            <a:effectLst>
              <a:outerShdw blurRad="50800" dist="38100" dir="5400000" algn="t" rotWithShape="0">
                <a:prstClr val="black">
                  <a:alpha val="40000"/>
                </a:prstClr>
              </a:outerShdw>
            </a:effectLst>
            <a:latin typeface="+mn-lt"/>
            <a:ea typeface="+mn-ea"/>
            <a:cs typeface="+mn-cs"/>
          </a:endParaRPr>
        </a:p>
      </xdr:txBody>
    </xdr:sp>
    <xdr:clientData/>
  </xdr:twoCellAnchor>
  <xdr:twoCellAnchor>
    <xdr:from>
      <xdr:col>43</xdr:col>
      <xdr:colOff>555791</xdr:colOff>
      <xdr:row>35</xdr:row>
      <xdr:rowOff>128648</xdr:rowOff>
    </xdr:from>
    <xdr:to>
      <xdr:col>51</xdr:col>
      <xdr:colOff>153637</xdr:colOff>
      <xdr:row>46</xdr:row>
      <xdr:rowOff>124319</xdr:rowOff>
    </xdr:to>
    <xdr:sp macro="" textlink="">
      <xdr:nvSpPr>
        <xdr:cNvPr id="12" name="TextBox 11">
          <a:extLst>
            <a:ext uri="{FF2B5EF4-FFF2-40B4-BE49-F238E27FC236}">
              <a16:creationId xmlns:a16="http://schemas.microsoft.com/office/drawing/2014/main" id="{6AC7B7B8-A2C8-4238-8512-209A3850172C}"/>
            </a:ext>
          </a:extLst>
        </xdr:cNvPr>
        <xdr:cNvSpPr txBox="1"/>
      </xdr:nvSpPr>
      <xdr:spPr>
        <a:xfrm>
          <a:off x="26300505" y="6796148"/>
          <a:ext cx="4387561" cy="2091171"/>
        </a:xfrm>
        <a:prstGeom prst="rect">
          <a:avLst/>
        </a:prstGeom>
        <a:noFill/>
        <a:ln>
          <a:noFill/>
        </a:ln>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ctr"/>
        <a:lstStyle/>
        <a:p>
          <a:pPr algn="ctr"/>
          <a:r>
            <a:rPr lang="en-US" sz="40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outerShdw blurRad="50800" dist="38100" dir="5400000" algn="t" rotWithShape="0">
                  <a:prstClr val="black">
                    <a:alpha val="40000"/>
                  </a:prstClr>
                </a:outerShdw>
              </a:effectLst>
              <a:latin typeface="+mn-lt"/>
              <a:ea typeface="+mn-ea"/>
              <a:cs typeface="+mn-cs"/>
            </a:rPr>
            <a:t>Avreg Age</a:t>
          </a:r>
        </a:p>
        <a:p>
          <a:pPr marL="0" marR="0" lvl="0" indent="0" algn="ctr" defTabSz="914400" eaLnBrk="1" fontAlgn="auto" latinLnBrk="0" hangingPunct="1">
            <a:lnSpc>
              <a:spcPct val="100000"/>
            </a:lnSpc>
            <a:spcBef>
              <a:spcPts val="0"/>
            </a:spcBef>
            <a:spcAft>
              <a:spcPts val="0"/>
            </a:spcAft>
            <a:buClrTx/>
            <a:buSzTx/>
            <a:buFontTx/>
            <a:buNone/>
            <a:tabLst/>
            <a:defRPr/>
          </a:pPr>
          <a:r>
            <a:rPr lang="en-US" sz="4000" b="1" i="0" u="none" strike="noStrike" cap="none" spc="0">
              <a:ln w="22225">
                <a:solidFill>
                  <a:schemeClr val="accent2"/>
                </a:solidFill>
                <a:prstDash val="solid"/>
              </a:ln>
              <a:solidFill>
                <a:schemeClr val="accent2">
                  <a:lumMod val="40000"/>
                  <a:lumOff val="60000"/>
                </a:schemeClr>
              </a:solidFill>
              <a:effectLst/>
              <a:latin typeface="+mn-lt"/>
              <a:ea typeface="+mn-ea"/>
              <a:cs typeface="+mn-cs"/>
            </a:rPr>
            <a:t>29.36158 </a:t>
          </a:r>
        </a:p>
      </xdr:txBody>
    </xdr:sp>
    <xdr:clientData/>
  </xdr:twoCellAnchor>
  <xdr:twoCellAnchor>
    <xdr:from>
      <xdr:col>36</xdr:col>
      <xdr:colOff>368755</xdr:colOff>
      <xdr:row>37</xdr:row>
      <xdr:rowOff>163285</xdr:rowOff>
    </xdr:from>
    <xdr:to>
      <xdr:col>45</xdr:col>
      <xdr:colOff>217715</xdr:colOff>
      <xdr:row>45</xdr:row>
      <xdr:rowOff>37728</xdr:rowOff>
    </xdr:to>
    <xdr:sp macro="" textlink="">
      <xdr:nvSpPr>
        <xdr:cNvPr id="13" name="TextBox 12">
          <a:extLst>
            <a:ext uri="{FF2B5EF4-FFF2-40B4-BE49-F238E27FC236}">
              <a16:creationId xmlns:a16="http://schemas.microsoft.com/office/drawing/2014/main" id="{12C8D0D2-5E00-457F-B59E-B9FA931DDB4E}"/>
            </a:ext>
          </a:extLst>
        </xdr:cNvPr>
        <xdr:cNvSpPr txBox="1"/>
      </xdr:nvSpPr>
      <xdr:spPr>
        <a:xfrm>
          <a:off x="21922469" y="7211785"/>
          <a:ext cx="5237389" cy="1398443"/>
        </a:xfrm>
        <a:prstGeom prst="rect">
          <a:avLst/>
        </a:prstGeom>
        <a:noFill/>
        <a:ln>
          <a:noFill/>
        </a:ln>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t"/>
        <a:lstStyle/>
        <a:p>
          <a:pPr algn="ctr"/>
          <a:r>
            <a:rPr lang="en-US" sz="40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outerShdw blurRad="50800" dist="38100" dir="5400000" algn="t" rotWithShape="0">
                  <a:prstClr val="black">
                    <a:alpha val="40000"/>
                  </a:prstClr>
                </a:outerShdw>
              </a:effectLst>
              <a:latin typeface="+mn-lt"/>
              <a:ea typeface="+mn-ea"/>
              <a:cs typeface="+mn-cs"/>
            </a:rPr>
            <a:t>Overall Survival Rate(%)</a:t>
          </a:r>
        </a:p>
        <a:p>
          <a:pPr marL="0" marR="0" lvl="0" indent="0" algn="ctr" defTabSz="914400" eaLnBrk="1" fontAlgn="auto" latinLnBrk="0" hangingPunct="1">
            <a:lnSpc>
              <a:spcPct val="100000"/>
            </a:lnSpc>
            <a:spcBef>
              <a:spcPts val="0"/>
            </a:spcBef>
            <a:spcAft>
              <a:spcPts val="0"/>
            </a:spcAft>
            <a:buClrTx/>
            <a:buSzTx/>
            <a:buFontTx/>
            <a:buNone/>
            <a:tabLst/>
            <a:defRPr/>
          </a:pPr>
          <a:r>
            <a:rPr lang="en-US" sz="4000" b="1" i="0" u="none" strike="noStrike" cap="none" spc="0">
              <a:ln w="22225">
                <a:solidFill>
                  <a:schemeClr val="accent2"/>
                </a:solidFill>
                <a:prstDash val="solid"/>
              </a:ln>
              <a:solidFill>
                <a:schemeClr val="accent2">
                  <a:lumMod val="40000"/>
                  <a:lumOff val="60000"/>
                </a:schemeClr>
              </a:solidFill>
              <a:effectLst/>
              <a:latin typeface="+mn-lt"/>
              <a:ea typeface="+mn-ea"/>
              <a:cs typeface="+mn-cs"/>
            </a:rPr>
            <a:t>38.34081 </a:t>
          </a:r>
          <a:r>
            <a:rPr lang="en-US" sz="40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outerShdw blurRad="50800" dist="38100" dir="5400000" algn="t" rotWithShape="0">
                  <a:prstClr val="black">
                    <a:alpha val="40000"/>
                  </a:prstClr>
                </a:outerShdw>
              </a:effectLst>
              <a:latin typeface="+mn-lt"/>
              <a:ea typeface="+mn-ea"/>
              <a:cs typeface="+mn-cs"/>
            </a:rPr>
            <a:t> </a:t>
          </a:r>
          <a:r>
            <a:rPr lang="en-US" sz="4000" b="0" i="0">
              <a:solidFill>
                <a:schemeClr val="dk1"/>
              </a:solidFill>
              <a:effectLst>
                <a:outerShdw blurRad="50800" dist="38100" dir="5400000" algn="t" rotWithShape="0">
                  <a:prstClr val="black">
                    <a:alpha val="40000"/>
                  </a:prstClr>
                </a:outerShdw>
              </a:effectLst>
              <a:latin typeface="+mn-lt"/>
              <a:ea typeface="+mn-ea"/>
              <a:cs typeface="+mn-cs"/>
            </a:rPr>
            <a:t> </a:t>
          </a:r>
          <a:endParaRPr lang="en-US" sz="4000">
            <a:effectLst>
              <a:outerShdw blurRad="50800" dist="38100" dir="5400000" algn="t" rotWithShape="0">
                <a:prstClr val="black">
                  <a:alpha val="40000"/>
                </a:prstClr>
              </a:outerShdw>
            </a:effectLst>
          </a:endParaRPr>
        </a:p>
        <a:p>
          <a:pPr algn="ctr"/>
          <a:endParaRPr lang="en-US" sz="2800" b="0" cap="none" spc="0">
            <a:ln w="0"/>
            <a:gradFill>
              <a:gsLst>
                <a:gs pos="21000">
                  <a:srgbClr val="53575C"/>
                </a:gs>
                <a:gs pos="88000">
                  <a:srgbClr val="C5C7CA"/>
                </a:gs>
              </a:gsLst>
              <a:lin ang="5400000"/>
            </a:gradFill>
            <a:effectLst/>
          </a:endParaRPr>
        </a:p>
      </xdr:txBody>
    </xdr:sp>
    <xdr:clientData/>
  </xdr:twoCellAnchor>
  <xdr:twoCellAnchor>
    <xdr:from>
      <xdr:col>50</xdr:col>
      <xdr:colOff>46265</xdr:colOff>
      <xdr:row>36</xdr:row>
      <xdr:rowOff>115660</xdr:rowOff>
    </xdr:from>
    <xdr:to>
      <xdr:col>55</xdr:col>
      <xdr:colOff>502104</xdr:colOff>
      <xdr:row>45</xdr:row>
      <xdr:rowOff>102671</xdr:rowOff>
    </xdr:to>
    <xdr:sp macro="" textlink="">
      <xdr:nvSpPr>
        <xdr:cNvPr id="14" name="TextBox 13">
          <a:extLst>
            <a:ext uri="{FF2B5EF4-FFF2-40B4-BE49-F238E27FC236}">
              <a16:creationId xmlns:a16="http://schemas.microsoft.com/office/drawing/2014/main" id="{52205FC0-C9FB-4558-A5EF-4C99CAD842E4}"/>
            </a:ext>
          </a:extLst>
        </xdr:cNvPr>
        <xdr:cNvSpPr txBox="1"/>
      </xdr:nvSpPr>
      <xdr:spPr>
        <a:xfrm>
          <a:off x="29981979" y="6973660"/>
          <a:ext cx="3449411" cy="1701511"/>
        </a:xfrm>
        <a:prstGeom prst="rect">
          <a:avLst/>
        </a:prstGeom>
        <a:noFill/>
        <a:ln>
          <a:noFill/>
        </a:ln>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ctr"/>
        <a:lstStyle/>
        <a:p>
          <a:pPr algn="ctr"/>
          <a:r>
            <a:rPr lang="en-US" sz="40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outerShdw blurRad="50800" dist="38100" dir="5400000" algn="t" rotWithShape="0">
                  <a:prstClr val="black">
                    <a:alpha val="40000"/>
                  </a:prstClr>
                </a:outerShdw>
              </a:effectLst>
              <a:latin typeface="+mn-lt"/>
              <a:ea typeface="+mn-ea"/>
              <a:cs typeface="+mn-cs"/>
            </a:rPr>
            <a:t>Averge Fair</a:t>
          </a:r>
        </a:p>
        <a:p>
          <a:pPr marL="0" marR="0" lvl="0" indent="0" algn="ctr" defTabSz="914400" eaLnBrk="1" fontAlgn="auto" latinLnBrk="0" hangingPunct="1">
            <a:lnSpc>
              <a:spcPct val="100000"/>
            </a:lnSpc>
            <a:spcBef>
              <a:spcPts val="0"/>
            </a:spcBef>
            <a:spcAft>
              <a:spcPts val="0"/>
            </a:spcAft>
            <a:buClrTx/>
            <a:buSzTx/>
            <a:buFontTx/>
            <a:buNone/>
            <a:tabLst/>
            <a:defRPr/>
          </a:pPr>
          <a:r>
            <a:rPr lang="en-US" sz="4000" b="1" i="0" u="none" strike="noStrike" cap="none" spc="0">
              <a:ln w="22225">
                <a:solidFill>
                  <a:schemeClr val="accent2"/>
                </a:solidFill>
                <a:prstDash val="solid"/>
              </a:ln>
              <a:solidFill>
                <a:schemeClr val="accent2">
                  <a:lumMod val="40000"/>
                  <a:lumOff val="60000"/>
                </a:schemeClr>
              </a:solidFill>
              <a:effectLst/>
              <a:latin typeface="+mn-lt"/>
              <a:ea typeface="+mn-ea"/>
              <a:cs typeface="+mn-cs"/>
            </a:rPr>
            <a:t>32.20420797 </a:t>
          </a:r>
        </a:p>
      </xdr:txBody>
    </xdr:sp>
    <xdr:clientData/>
  </xdr:twoCellAnchor>
  <xdr:twoCellAnchor>
    <xdr:from>
      <xdr:col>10</xdr:col>
      <xdr:colOff>421141</xdr:colOff>
      <xdr:row>27</xdr:row>
      <xdr:rowOff>172811</xdr:rowOff>
    </xdr:from>
    <xdr:to>
      <xdr:col>28</xdr:col>
      <xdr:colOff>459241</xdr:colOff>
      <xdr:row>48</xdr:row>
      <xdr:rowOff>90476</xdr:rowOff>
    </xdr:to>
    <xdr:sp macro="" textlink="">
      <xdr:nvSpPr>
        <xdr:cNvPr id="15" name="TextBox 14">
          <a:extLst>
            <a:ext uri="{FF2B5EF4-FFF2-40B4-BE49-F238E27FC236}">
              <a16:creationId xmlns:a16="http://schemas.microsoft.com/office/drawing/2014/main" id="{60B479E9-7398-46D4-92C1-B86951709D37}"/>
            </a:ext>
          </a:extLst>
        </xdr:cNvPr>
        <xdr:cNvSpPr txBox="1"/>
      </xdr:nvSpPr>
      <xdr:spPr>
        <a:xfrm>
          <a:off x="6408284" y="5316311"/>
          <a:ext cx="10814957" cy="3918165"/>
        </a:xfrm>
        <a:prstGeom prst="rect">
          <a:avLst/>
        </a:prstGeom>
        <a:noFill/>
        <a:ln>
          <a:noFill/>
        </a:ln>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ctr"/>
        <a:lstStyle/>
        <a:p>
          <a:pPr algn="ctr"/>
          <a:r>
            <a:rPr lang="en-US" sz="96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outerShdw blurRad="50800" dist="38100" dir="5400000" algn="t" rotWithShape="0">
                  <a:prstClr val="black">
                    <a:alpha val="40000"/>
                  </a:prstClr>
                </a:outerShdw>
              </a:effectLst>
              <a:latin typeface="+mn-lt"/>
              <a:ea typeface="+mn-ea"/>
              <a:cs typeface="+mn-cs"/>
            </a:rPr>
            <a:t>DASHBOARD</a:t>
          </a:r>
          <a:r>
            <a:rPr lang="en-US" sz="9600" b="1" i="0" u="none" strike="noStrike"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outerShdw blurRad="50800" dist="38100" dir="5400000" algn="t" rotWithShape="0">
                  <a:prstClr val="black">
                    <a:alpha val="40000"/>
                  </a:prstClr>
                </a:outerShdw>
              </a:effectLst>
              <a:latin typeface="+mn-lt"/>
              <a:ea typeface="+mn-ea"/>
              <a:cs typeface="+mn-cs"/>
            </a:rPr>
            <a:t> OF </a:t>
          </a:r>
          <a:r>
            <a:rPr lang="en-US" sz="96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outerShdw blurRad="50800" dist="38100" dir="5400000" algn="t" rotWithShape="0">
                  <a:prstClr val="black">
                    <a:alpha val="40000"/>
                  </a:prstClr>
                </a:outerShdw>
              </a:effectLst>
              <a:latin typeface="+mn-lt"/>
              <a:ea typeface="+mn-ea"/>
              <a:cs typeface="+mn-cs"/>
            </a:rPr>
            <a:t>THE TITANIC</a:t>
          </a:r>
        </a:p>
      </xdr:txBody>
    </xdr:sp>
    <xdr:clientData/>
  </xdr:twoCellAnchor>
  <xdr:twoCellAnchor editAs="oneCell">
    <xdr:from>
      <xdr:col>10</xdr:col>
      <xdr:colOff>292554</xdr:colOff>
      <xdr:row>49</xdr:row>
      <xdr:rowOff>20412</xdr:rowOff>
    </xdr:from>
    <xdr:to>
      <xdr:col>14</xdr:col>
      <xdr:colOff>583155</xdr:colOff>
      <xdr:row>55</xdr:row>
      <xdr:rowOff>39461</xdr:rowOff>
    </xdr:to>
    <mc:AlternateContent xmlns:mc="http://schemas.openxmlformats.org/markup-compatibility/2006">
      <mc:Choice xmlns:a14="http://schemas.microsoft.com/office/drawing/2010/main" Requires="a14">
        <xdr:graphicFrame macro="">
          <xdr:nvGraphicFramePr>
            <xdr:cNvPr id="17" name="Sex 2">
              <a:extLst>
                <a:ext uri="{FF2B5EF4-FFF2-40B4-BE49-F238E27FC236}">
                  <a16:creationId xmlns:a16="http://schemas.microsoft.com/office/drawing/2014/main" id="{B8BBDDBB-E6A8-49FE-9F5D-DF296C953FC7}"/>
                </a:ext>
              </a:extLst>
            </xdr:cNvPr>
            <xdr:cNvGraphicFramePr/>
          </xdr:nvGraphicFramePr>
          <xdr:xfrm>
            <a:off x="0" y="0"/>
            <a:ext cx="0" cy="0"/>
          </xdr:xfrm>
          <a:graphic>
            <a:graphicData uri="http://schemas.microsoft.com/office/drawing/2010/slicer">
              <sle:slicer xmlns:sle="http://schemas.microsoft.com/office/drawing/2010/slicer" name="Sex 2"/>
            </a:graphicData>
          </a:graphic>
        </xdr:graphicFrame>
      </mc:Choice>
      <mc:Fallback>
        <xdr:sp macro="" textlink="">
          <xdr:nvSpPr>
            <xdr:cNvPr id="0" name=""/>
            <xdr:cNvSpPr>
              <a:spLocks noTextEdit="1"/>
            </xdr:cNvSpPr>
          </xdr:nvSpPr>
          <xdr:spPr>
            <a:xfrm>
              <a:off x="6279697" y="9354912"/>
              <a:ext cx="2685458" cy="1162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349704</xdr:colOff>
      <xdr:row>65</xdr:row>
      <xdr:rowOff>77562</xdr:rowOff>
    </xdr:from>
    <xdr:to>
      <xdr:col>14</xdr:col>
      <xdr:colOff>574009</xdr:colOff>
      <xdr:row>81</xdr:row>
      <xdr:rowOff>153761</xdr:rowOff>
    </xdr:to>
    <mc:AlternateContent xmlns:mc="http://schemas.openxmlformats.org/markup-compatibility/2006">
      <mc:Choice xmlns:a14="http://schemas.microsoft.com/office/drawing/2010/main" Requires="a14">
        <xdr:graphicFrame macro="">
          <xdr:nvGraphicFramePr>
            <xdr:cNvPr id="18" name="Age Group 2">
              <a:extLst>
                <a:ext uri="{FF2B5EF4-FFF2-40B4-BE49-F238E27FC236}">
                  <a16:creationId xmlns:a16="http://schemas.microsoft.com/office/drawing/2014/main" id="{09B88FC6-3485-4D8C-ADF0-136A3EF63B10}"/>
                </a:ext>
              </a:extLst>
            </xdr:cNvPr>
            <xdr:cNvGraphicFramePr/>
          </xdr:nvGraphicFramePr>
          <xdr:xfrm>
            <a:off x="0" y="0"/>
            <a:ext cx="0" cy="0"/>
          </xdr:xfrm>
          <a:graphic>
            <a:graphicData uri="http://schemas.microsoft.com/office/drawing/2010/slicer">
              <sle:slicer xmlns:sle="http://schemas.microsoft.com/office/drawing/2010/slicer" name="Age Group 2"/>
            </a:graphicData>
          </a:graphic>
        </xdr:graphicFrame>
      </mc:Choice>
      <mc:Fallback>
        <xdr:sp macro="" textlink="">
          <xdr:nvSpPr>
            <xdr:cNvPr id="0" name=""/>
            <xdr:cNvSpPr>
              <a:spLocks noTextEdit="1"/>
            </xdr:cNvSpPr>
          </xdr:nvSpPr>
          <xdr:spPr>
            <a:xfrm>
              <a:off x="6336847" y="12460062"/>
              <a:ext cx="2619162" cy="3124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330654</xdr:colOff>
      <xdr:row>55</xdr:row>
      <xdr:rowOff>153761</xdr:rowOff>
    </xdr:from>
    <xdr:to>
      <xdr:col>14</xdr:col>
      <xdr:colOff>570857</xdr:colOff>
      <xdr:row>64</xdr:row>
      <xdr:rowOff>153761</xdr:rowOff>
    </xdr:to>
    <mc:AlternateContent xmlns:mc="http://schemas.openxmlformats.org/markup-compatibility/2006">
      <mc:Choice xmlns:a14="http://schemas.microsoft.com/office/drawing/2010/main" Requires="a14">
        <xdr:graphicFrame macro="">
          <xdr:nvGraphicFramePr>
            <xdr:cNvPr id="19" name="fair group 2">
              <a:extLst>
                <a:ext uri="{FF2B5EF4-FFF2-40B4-BE49-F238E27FC236}">
                  <a16:creationId xmlns:a16="http://schemas.microsoft.com/office/drawing/2014/main" id="{36416B23-6ED6-4463-86E0-30D937FAC358}"/>
                </a:ext>
              </a:extLst>
            </xdr:cNvPr>
            <xdr:cNvGraphicFramePr/>
          </xdr:nvGraphicFramePr>
          <xdr:xfrm>
            <a:off x="0" y="0"/>
            <a:ext cx="0" cy="0"/>
          </xdr:xfrm>
          <a:graphic>
            <a:graphicData uri="http://schemas.microsoft.com/office/drawing/2010/slicer">
              <sle:slicer xmlns:sle="http://schemas.microsoft.com/office/drawing/2010/slicer" name="fair group 2"/>
            </a:graphicData>
          </a:graphic>
        </xdr:graphicFrame>
      </mc:Choice>
      <mc:Fallback>
        <xdr:sp macro="" textlink="">
          <xdr:nvSpPr>
            <xdr:cNvPr id="0" name=""/>
            <xdr:cNvSpPr>
              <a:spLocks noTextEdit="1"/>
            </xdr:cNvSpPr>
          </xdr:nvSpPr>
          <xdr:spPr>
            <a:xfrm>
              <a:off x="6317797" y="10631261"/>
              <a:ext cx="263506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356714</xdr:colOff>
      <xdr:row>104</xdr:row>
      <xdr:rowOff>61017</xdr:rowOff>
    </xdr:from>
    <xdr:to>
      <xdr:col>14</xdr:col>
      <xdr:colOff>595521</xdr:colOff>
      <xdr:row>118</xdr:row>
      <xdr:rowOff>172811</xdr:rowOff>
    </xdr:to>
    <mc:AlternateContent xmlns:mc="http://schemas.openxmlformats.org/markup-compatibility/2006">
      <mc:Choice xmlns:a14="http://schemas.microsoft.com/office/drawing/2010/main" Requires="a14">
        <xdr:graphicFrame macro="">
          <xdr:nvGraphicFramePr>
            <xdr:cNvPr id="20" name="Family Size 1">
              <a:extLst>
                <a:ext uri="{FF2B5EF4-FFF2-40B4-BE49-F238E27FC236}">
                  <a16:creationId xmlns:a16="http://schemas.microsoft.com/office/drawing/2014/main" id="{A1D5031E-093A-48F1-B5AB-0ABB48822B6E}"/>
                </a:ext>
              </a:extLst>
            </xdr:cNvPr>
            <xdr:cNvGraphicFramePr/>
          </xdr:nvGraphicFramePr>
          <xdr:xfrm>
            <a:off x="0" y="0"/>
            <a:ext cx="0" cy="0"/>
          </xdr:xfrm>
          <a:graphic>
            <a:graphicData uri="http://schemas.microsoft.com/office/drawing/2010/slicer">
              <sle:slicer xmlns:sle="http://schemas.microsoft.com/office/drawing/2010/slicer" name="Family Size 1"/>
            </a:graphicData>
          </a:graphic>
        </xdr:graphicFrame>
      </mc:Choice>
      <mc:Fallback>
        <xdr:sp macro="" textlink="">
          <xdr:nvSpPr>
            <xdr:cNvPr id="0" name=""/>
            <xdr:cNvSpPr>
              <a:spLocks noTextEdit="1"/>
            </xdr:cNvSpPr>
          </xdr:nvSpPr>
          <xdr:spPr>
            <a:xfrm>
              <a:off x="6343857" y="19873017"/>
              <a:ext cx="2633664" cy="27787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343464</xdr:colOff>
      <xdr:row>82</xdr:row>
      <xdr:rowOff>58512</xdr:rowOff>
    </xdr:from>
    <xdr:to>
      <xdr:col>14</xdr:col>
      <xdr:colOff>574175</xdr:colOff>
      <xdr:row>103</xdr:row>
      <xdr:rowOff>158700</xdr:rowOff>
    </xdr:to>
    <mc:AlternateContent xmlns:mc="http://schemas.openxmlformats.org/markup-compatibility/2006">
      <mc:Choice xmlns:a14="http://schemas.microsoft.com/office/drawing/2010/main" Requires="a14">
        <xdr:graphicFrame macro="">
          <xdr:nvGraphicFramePr>
            <xdr:cNvPr id="21" name="Cabin 1">
              <a:extLst>
                <a:ext uri="{FF2B5EF4-FFF2-40B4-BE49-F238E27FC236}">
                  <a16:creationId xmlns:a16="http://schemas.microsoft.com/office/drawing/2014/main" id="{73408D9D-7F3B-43A7-99D6-BF159FB1FDF6}"/>
                </a:ext>
              </a:extLst>
            </xdr:cNvPr>
            <xdr:cNvGraphicFramePr/>
          </xdr:nvGraphicFramePr>
          <xdr:xfrm>
            <a:off x="0" y="0"/>
            <a:ext cx="0" cy="0"/>
          </xdr:xfrm>
          <a:graphic>
            <a:graphicData uri="http://schemas.microsoft.com/office/drawing/2010/slicer">
              <sle:slicer xmlns:sle="http://schemas.microsoft.com/office/drawing/2010/slicer" name="Cabin 1"/>
            </a:graphicData>
          </a:graphic>
        </xdr:graphicFrame>
      </mc:Choice>
      <mc:Fallback>
        <xdr:sp macro="" textlink="">
          <xdr:nvSpPr>
            <xdr:cNvPr id="0" name=""/>
            <xdr:cNvSpPr>
              <a:spLocks noTextEdit="1"/>
            </xdr:cNvSpPr>
          </xdr:nvSpPr>
          <xdr:spPr>
            <a:xfrm>
              <a:off x="6330607" y="15679512"/>
              <a:ext cx="2625568" cy="41006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45</xdr:col>
      <xdr:colOff>319769</xdr:colOff>
      <xdr:row>77</xdr:row>
      <xdr:rowOff>17594</xdr:rowOff>
    </xdr:from>
    <xdr:to>
      <xdr:col>55</xdr:col>
      <xdr:colOff>304460</xdr:colOff>
      <xdr:row>97</xdr:row>
      <xdr:rowOff>156884</xdr:rowOff>
    </xdr:to>
    <xdr:graphicFrame macro="">
      <xdr:nvGraphicFramePr>
        <xdr:cNvPr id="24" name="Chart 23">
          <a:extLst>
            <a:ext uri="{FF2B5EF4-FFF2-40B4-BE49-F238E27FC236}">
              <a16:creationId xmlns:a16="http://schemas.microsoft.com/office/drawing/2014/main" id="{154979AB-D71D-47C2-8D25-431AE9CD2E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469446</xdr:colOff>
      <xdr:row>98</xdr:row>
      <xdr:rowOff>54807</xdr:rowOff>
    </xdr:from>
    <xdr:to>
      <xdr:col>55</xdr:col>
      <xdr:colOff>313720</xdr:colOff>
      <xdr:row>119</xdr:row>
      <xdr:rowOff>1890</xdr:rowOff>
    </xdr:to>
    <xdr:graphicFrame macro="">
      <xdr:nvGraphicFramePr>
        <xdr:cNvPr id="25" name="Chart 24">
          <a:extLst>
            <a:ext uri="{FF2B5EF4-FFF2-40B4-BE49-F238E27FC236}">
              <a16:creationId xmlns:a16="http://schemas.microsoft.com/office/drawing/2014/main" id="{5F03FF9E-1F02-4F13-978D-A403EE94F8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103311</xdr:colOff>
      <xdr:row>77</xdr:row>
      <xdr:rowOff>13138</xdr:rowOff>
    </xdr:from>
    <xdr:to>
      <xdr:col>45</xdr:col>
      <xdr:colOff>245440</xdr:colOff>
      <xdr:row>97</xdr:row>
      <xdr:rowOff>156884</xdr:rowOff>
    </xdr:to>
    <xdr:graphicFrame macro="">
      <xdr:nvGraphicFramePr>
        <xdr:cNvPr id="26" name="Chart 25">
          <a:extLst>
            <a:ext uri="{FF2B5EF4-FFF2-40B4-BE49-F238E27FC236}">
              <a16:creationId xmlns:a16="http://schemas.microsoft.com/office/drawing/2014/main" id="{92F70448-04B7-4167-A9F7-A5DF41390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70.610479745374" createdVersion="8" refreshedVersion="8" minRefreshableVersion="3" recordCount="891" xr:uid="{5D08EE1E-3CEE-498A-93B8-8ED4BEEF6583}">
  <cacheSource type="worksheet">
    <worksheetSource name="Titanic_Dataset"/>
  </cacheSource>
  <cacheFields count="22">
    <cacheField name="PassengerId" numFmtId="0">
      <sharedItems containsSemiMixedTypes="0" containsString="0" containsNumber="1" containsInteger="1" minValue="1" maxValue="891"/>
    </cacheField>
    <cacheField name="Survived" numFmtId="0">
      <sharedItems containsSemiMixedTypes="0" containsString="0" containsNumber="1" containsInteger="1" minValue="0" maxValue="1"/>
    </cacheField>
    <cacheField name="survived label" numFmtId="0">
      <sharedItems count="2">
        <s v="Died"/>
        <s v="Survived"/>
      </sharedItems>
    </cacheField>
    <cacheField name="Pclass" numFmtId="0">
      <sharedItems containsSemiMixedTypes="0" containsString="0" containsNumber="1" containsInteger="1" minValue="1" maxValue="3"/>
    </cacheField>
    <cacheField name="class label" numFmtId="0">
      <sharedItems count="3">
        <s v="3rd"/>
        <s v="1st"/>
        <s v="2nd"/>
      </sharedItems>
    </cacheField>
    <cacheField name="Name" numFmtId="0">
      <sharedItems/>
    </cacheField>
    <cacheField name="Title" numFmtId="0">
      <sharedItems/>
    </cacheField>
    <cacheField name="Sex" numFmtId="0">
      <sharedItems count="2">
        <s v="male"/>
        <s v="female"/>
      </sharedItems>
    </cacheField>
    <cacheField name="Age" numFmtId="0">
      <sharedItems containsSemiMixedTypes="0" containsString="0" containsNumber="1" minValue="0.42" maxValue="80"/>
    </cacheField>
    <cacheField name="Age Group" numFmtId="0">
      <sharedItems containsMixedTypes="1" containsNumber="1" containsInteger="1" minValue="0" maxValue="0" count="9">
        <s v="20-29"/>
        <s v="30-39"/>
        <s v="50-59"/>
        <s v="0-11"/>
        <s v="12-19"/>
        <s v="40-49"/>
        <s v="60-69"/>
        <n v="0"/>
        <b v="0" u="1"/>
      </sharedItems>
    </cacheField>
    <cacheField name="SibSp" numFmtId="0">
      <sharedItems containsSemiMixedTypes="0" containsString="0" containsNumber="1" containsInteger="1" minValue="0" maxValue="8"/>
    </cacheField>
    <cacheField name="Parch" numFmtId="0">
      <sharedItems containsSemiMixedTypes="0" containsString="0" containsNumber="1" containsInteger="1" minValue="0" maxValue="6"/>
    </cacheField>
    <cacheField name="Family Size" numFmtId="0">
      <sharedItems containsSemiMixedTypes="0" containsString="0" containsNumber="1" containsInteger="1" minValue="0" maxValue="10" count="9">
        <n v="1"/>
        <n v="0"/>
        <n v="4"/>
        <n v="2"/>
        <n v="6"/>
        <n v="5"/>
        <n v="3"/>
        <n v="7"/>
        <n v="10"/>
      </sharedItems>
    </cacheField>
    <cacheField name="Ticket" numFmtId="0">
      <sharedItems/>
    </cacheField>
    <cacheField name="Fare" numFmtId="0">
      <sharedItems containsSemiMixedTypes="0" containsString="0" containsNumber="1" minValue="0" maxValue="512.32920000000001"/>
    </cacheField>
    <cacheField name="fair survived" numFmtId="0">
      <sharedItems containsMixedTypes="1" containsNumber="1" minValue="0" maxValue="512.32920000000001"/>
    </cacheField>
    <cacheField name="fair died" numFmtId="0">
      <sharedItems containsMixedTypes="1" containsNumber="1" minValue="0" maxValue="263"/>
    </cacheField>
    <cacheField name="fair group" numFmtId="0">
      <sharedItems count="4">
        <s v="low"/>
        <s v="very hiegh"/>
        <s v="medium"/>
        <s v="high"/>
      </sharedItems>
    </cacheField>
    <cacheField name="Cabin" numFmtId="0">
      <sharedItems count="148">
        <s v=""/>
        <s v="C85"/>
        <s v="C123"/>
        <s v="E46"/>
        <s v="G6"/>
        <s v="C103"/>
        <s v="D56"/>
        <s v="A6"/>
        <s v="C23 C25 C27"/>
        <s v="B78"/>
        <s v="D33"/>
        <s v="B30"/>
        <s v="C52"/>
        <s v="B28"/>
        <s v="C83"/>
        <s v="F33"/>
        <s v="F G73"/>
        <s v="E31"/>
        <s v="A5"/>
        <s v="D10 D12"/>
        <s v="D26"/>
        <s v="C110"/>
        <s v="B58 B60"/>
        <s v="E101"/>
        <s v="F E69"/>
        <s v="D47"/>
        <s v="B86"/>
        <s v="F2"/>
        <s v="C2"/>
        <s v="E33"/>
        <s v="B19"/>
        <s v="A7"/>
        <s v="C49"/>
        <s v="F4"/>
        <s v="A32"/>
        <s v="B4"/>
        <s v="B80"/>
        <s v="A31"/>
        <s v="D36"/>
        <s v="D15"/>
        <s v="C93"/>
        <s v="C78"/>
        <s v="D35"/>
        <s v="C87"/>
        <s v="B77"/>
        <s v="E67"/>
        <s v="B94"/>
        <s v="C125"/>
        <s v="C99"/>
        <s v="C118"/>
        <s v="D7"/>
        <s v="A19"/>
        <s v="B49"/>
        <s v="D"/>
        <s v="C22 C26"/>
        <s v="C106"/>
        <s v="C65"/>
        <s v="E36"/>
        <s v="C54"/>
        <s v="B57 B59 B63 B66"/>
        <s v="C7"/>
        <s v="E34"/>
        <s v="C32"/>
        <s v="B18"/>
        <s v="C124"/>
        <s v="C91"/>
        <s v="E40"/>
        <s v="T"/>
        <s v="C128"/>
        <s v="D37"/>
        <s v="B35"/>
        <s v="E50"/>
        <s v="C82"/>
        <s v="B96 B98"/>
        <s v="E10"/>
        <s v="E44"/>
        <s v="A34"/>
        <s v="C104"/>
        <s v="C111"/>
        <s v="C92"/>
        <s v="E38"/>
        <s v="D21"/>
        <s v="E12"/>
        <s v="E63"/>
        <s v="A14"/>
        <s v="B37"/>
        <s v="C30"/>
        <s v="D20"/>
        <s v="B79"/>
        <s v="E25"/>
        <s v="D46"/>
        <s v="B73"/>
        <s v="C95"/>
        <s v="B38"/>
        <s v="B39"/>
        <s v="B22"/>
        <s v="C86"/>
        <s v="C70"/>
        <s v="A16"/>
        <s v="C101"/>
        <s v="C68"/>
        <s v="A10"/>
        <s v="E68"/>
        <s v="B41"/>
        <s v="A20"/>
        <s v="D19"/>
        <s v="D50"/>
        <s v="D9"/>
        <s v="A23"/>
        <s v="B50"/>
        <s v="A26"/>
        <s v="D48"/>
        <s v="E58"/>
        <s v="C126"/>
        <s v="B71"/>
        <s v="B51 B53 B55"/>
        <s v="D49"/>
        <s v="B5"/>
        <s v="B20"/>
        <s v="F G63"/>
        <s v="C62 C64"/>
        <s v="E24"/>
        <s v="C90"/>
        <s v="C45"/>
        <s v="E8"/>
        <s v="B101"/>
        <s v="D45"/>
        <s v="C46"/>
        <s v="D30"/>
        <s v="E121"/>
        <s v="D11"/>
        <s v="E77"/>
        <s v="F38"/>
        <s v="B3"/>
        <s v="D6"/>
        <s v="B82 B84"/>
        <s v="D17"/>
        <s v="A36"/>
        <s v="B102"/>
        <s v="B69"/>
        <s v="E49"/>
        <s v="C47"/>
        <s v="D28"/>
        <s v="E17"/>
        <s v="A24"/>
        <s v="C50"/>
        <s v="B42"/>
        <s v="C148"/>
      </sharedItems>
    </cacheField>
    <cacheField name="Embarked" numFmtId="0">
      <sharedItems count="5">
        <s v="S"/>
        <s v="C"/>
        <s v="Q"/>
        <s v="Unknown"/>
        <s v="" u="1"/>
      </sharedItems>
    </cacheField>
    <cacheField name="servival rate per group" numFmtId="0" formula="'survived label'" databaseField="0"/>
    <cacheField name="Field1" numFmtId="0" formula="'servival rate per group'" databaseField="0"/>
  </cacheFields>
  <extLst>
    <ext xmlns:x14="http://schemas.microsoft.com/office/spreadsheetml/2009/9/main" uri="{725AE2AE-9491-48be-B2B4-4EB974FC3084}">
      <x14:pivotCacheDefinition pivotCacheId="13870254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1">
  <r>
    <n v="1"/>
    <n v="0"/>
    <x v="0"/>
    <n v="3"/>
    <x v="0"/>
    <s v="Braund, Mr. Owen Harris"/>
    <s v="Mr."/>
    <x v="0"/>
    <n v="22"/>
    <x v="0"/>
    <n v="1"/>
    <n v="0"/>
    <x v="0"/>
    <s v="A/5 21171"/>
    <n v="7.25"/>
    <e v="#N/A"/>
    <n v="7.25"/>
    <x v="0"/>
    <x v="0"/>
    <x v="0"/>
  </r>
  <r>
    <n v="2"/>
    <n v="1"/>
    <x v="1"/>
    <n v="1"/>
    <x v="1"/>
    <s v="Cumings, Mrs. John Bradley (Florence Briggs Thayer)"/>
    <s v="Mrs."/>
    <x v="1"/>
    <n v="38"/>
    <x v="1"/>
    <n v="1"/>
    <n v="0"/>
    <x v="0"/>
    <s v="PC 17599"/>
    <n v="71.283299999999997"/>
    <n v="71.283299999999997"/>
    <e v="#N/A"/>
    <x v="1"/>
    <x v="1"/>
    <x v="1"/>
  </r>
  <r>
    <n v="3"/>
    <n v="1"/>
    <x v="1"/>
    <n v="3"/>
    <x v="0"/>
    <s v="Heikkinen, Miss. Laina"/>
    <s v="Miss."/>
    <x v="1"/>
    <n v="26"/>
    <x v="0"/>
    <n v="0"/>
    <n v="0"/>
    <x v="1"/>
    <s v="STON/O2. 3101282"/>
    <n v="7.9249999999999998"/>
    <n v="7.9249999999999998"/>
    <e v="#N/A"/>
    <x v="0"/>
    <x v="0"/>
    <x v="0"/>
  </r>
  <r>
    <n v="4"/>
    <n v="1"/>
    <x v="1"/>
    <n v="1"/>
    <x v="1"/>
    <s v="Futrelle, Mrs. Jacques Heath (Lily May Peel)"/>
    <s v="Mrs."/>
    <x v="1"/>
    <n v="35"/>
    <x v="1"/>
    <n v="1"/>
    <n v="0"/>
    <x v="0"/>
    <s v="113803"/>
    <n v="53.1"/>
    <n v="53.1"/>
    <e v="#N/A"/>
    <x v="1"/>
    <x v="2"/>
    <x v="0"/>
  </r>
  <r>
    <n v="5"/>
    <n v="0"/>
    <x v="0"/>
    <n v="3"/>
    <x v="0"/>
    <s v="Allen, Mr. William Henry"/>
    <s v="Mr."/>
    <x v="0"/>
    <n v="35"/>
    <x v="1"/>
    <n v="0"/>
    <n v="0"/>
    <x v="1"/>
    <s v="373450"/>
    <n v="8.0500000000000007"/>
    <e v="#N/A"/>
    <n v="8.0500000000000007"/>
    <x v="2"/>
    <x v="0"/>
    <x v="0"/>
  </r>
  <r>
    <n v="6"/>
    <n v="0"/>
    <x v="0"/>
    <n v="3"/>
    <x v="0"/>
    <s v="Moran, Mr. James"/>
    <s v="Mr."/>
    <x v="0"/>
    <n v="28"/>
    <x v="0"/>
    <n v="0"/>
    <n v="0"/>
    <x v="1"/>
    <s v="330877"/>
    <n v="8.4582999999999995"/>
    <e v="#N/A"/>
    <n v="8.4582999999999995"/>
    <x v="2"/>
    <x v="0"/>
    <x v="2"/>
  </r>
  <r>
    <n v="7"/>
    <n v="0"/>
    <x v="0"/>
    <n v="1"/>
    <x v="1"/>
    <s v="McCarthy, Mr. Timothy J"/>
    <s v="Mr."/>
    <x v="0"/>
    <n v="54"/>
    <x v="2"/>
    <n v="0"/>
    <n v="0"/>
    <x v="1"/>
    <s v="17463"/>
    <n v="51.862499999999997"/>
    <e v="#N/A"/>
    <n v="51.862499999999997"/>
    <x v="1"/>
    <x v="3"/>
    <x v="0"/>
  </r>
  <r>
    <n v="8"/>
    <n v="0"/>
    <x v="0"/>
    <n v="3"/>
    <x v="0"/>
    <s v="Palsson, Master. Gosta Leonard"/>
    <s v="Master."/>
    <x v="0"/>
    <n v="2"/>
    <x v="3"/>
    <n v="3"/>
    <n v="1"/>
    <x v="2"/>
    <s v="349909"/>
    <n v="21.074999999999999"/>
    <e v="#N/A"/>
    <n v="21.074999999999999"/>
    <x v="3"/>
    <x v="0"/>
    <x v="0"/>
  </r>
  <r>
    <n v="9"/>
    <n v="1"/>
    <x v="1"/>
    <n v="3"/>
    <x v="0"/>
    <s v="Johnson, Mrs. Oscar W (Elisabeth Vilhelmina Berg)"/>
    <s v="Mrs."/>
    <x v="1"/>
    <n v="27"/>
    <x v="0"/>
    <n v="0"/>
    <n v="2"/>
    <x v="3"/>
    <s v="347742"/>
    <n v="11.1333"/>
    <n v="11.1333"/>
    <e v="#N/A"/>
    <x v="2"/>
    <x v="0"/>
    <x v="0"/>
  </r>
  <r>
    <n v="10"/>
    <n v="1"/>
    <x v="1"/>
    <n v="2"/>
    <x v="2"/>
    <s v="Nasser, Mrs. Nicholas (Adele Achem)"/>
    <s v="Mrs."/>
    <x v="1"/>
    <n v="14"/>
    <x v="4"/>
    <n v="1"/>
    <n v="0"/>
    <x v="0"/>
    <s v="237736"/>
    <n v="30.070799999999998"/>
    <n v="30.070799999999998"/>
    <e v="#N/A"/>
    <x v="1"/>
    <x v="0"/>
    <x v="1"/>
  </r>
  <r>
    <n v="11"/>
    <n v="1"/>
    <x v="1"/>
    <n v="3"/>
    <x v="0"/>
    <s v="Sandstrom, Miss. Marguerite Rut"/>
    <s v="Miss."/>
    <x v="1"/>
    <n v="4"/>
    <x v="3"/>
    <n v="1"/>
    <n v="1"/>
    <x v="3"/>
    <s v="PP 9549"/>
    <n v="16.7"/>
    <n v="16.7"/>
    <e v="#N/A"/>
    <x v="3"/>
    <x v="4"/>
    <x v="0"/>
  </r>
  <r>
    <n v="12"/>
    <n v="1"/>
    <x v="1"/>
    <n v="1"/>
    <x v="1"/>
    <s v="Bonnell, Miss. Elizabeth"/>
    <s v="Miss."/>
    <x v="1"/>
    <n v="58"/>
    <x v="2"/>
    <n v="0"/>
    <n v="0"/>
    <x v="1"/>
    <s v="113783"/>
    <n v="26.55"/>
    <n v="26.55"/>
    <e v="#N/A"/>
    <x v="3"/>
    <x v="5"/>
    <x v="0"/>
  </r>
  <r>
    <n v="13"/>
    <n v="0"/>
    <x v="0"/>
    <n v="3"/>
    <x v="0"/>
    <s v="Saundercock, Mr. William Henry"/>
    <s v="Mr."/>
    <x v="0"/>
    <n v="20"/>
    <x v="0"/>
    <n v="0"/>
    <n v="0"/>
    <x v="1"/>
    <s v="A/5. 2151"/>
    <n v="8.0500000000000007"/>
    <e v="#N/A"/>
    <n v="8.0500000000000007"/>
    <x v="2"/>
    <x v="0"/>
    <x v="0"/>
  </r>
  <r>
    <n v="14"/>
    <n v="0"/>
    <x v="0"/>
    <n v="3"/>
    <x v="0"/>
    <s v="Andersson, Mr. Anders Johan"/>
    <s v="Mr."/>
    <x v="0"/>
    <n v="39"/>
    <x v="1"/>
    <n v="1"/>
    <n v="5"/>
    <x v="4"/>
    <s v="347082"/>
    <n v="31.274999999999999"/>
    <e v="#N/A"/>
    <n v="31.274999999999999"/>
    <x v="1"/>
    <x v="0"/>
    <x v="0"/>
  </r>
  <r>
    <n v="15"/>
    <n v="0"/>
    <x v="0"/>
    <n v="3"/>
    <x v="0"/>
    <s v="Vestrom, Miss. Hulda Amanda Adolfina"/>
    <s v="Miss."/>
    <x v="1"/>
    <n v="14"/>
    <x v="4"/>
    <n v="0"/>
    <n v="0"/>
    <x v="1"/>
    <s v="350406"/>
    <n v="7.8541999999999996"/>
    <e v="#N/A"/>
    <n v="7.8541999999999996"/>
    <x v="0"/>
    <x v="0"/>
    <x v="0"/>
  </r>
  <r>
    <n v="16"/>
    <n v="1"/>
    <x v="1"/>
    <n v="2"/>
    <x v="2"/>
    <s v="Hewlett, Mrs. (Mary D Kingcome) "/>
    <s v="Mrs."/>
    <x v="1"/>
    <n v="55"/>
    <x v="2"/>
    <n v="0"/>
    <n v="0"/>
    <x v="1"/>
    <s v="248706"/>
    <n v="16"/>
    <n v="16"/>
    <e v="#N/A"/>
    <x v="3"/>
    <x v="0"/>
    <x v="0"/>
  </r>
  <r>
    <n v="17"/>
    <n v="0"/>
    <x v="0"/>
    <n v="3"/>
    <x v="0"/>
    <s v="Rice, Master. Eugene"/>
    <s v="Master."/>
    <x v="0"/>
    <n v="2"/>
    <x v="3"/>
    <n v="4"/>
    <n v="1"/>
    <x v="5"/>
    <s v="382652"/>
    <n v="29.125"/>
    <e v="#N/A"/>
    <n v="29.125"/>
    <x v="3"/>
    <x v="0"/>
    <x v="2"/>
  </r>
  <r>
    <n v="18"/>
    <n v="1"/>
    <x v="1"/>
    <n v="2"/>
    <x v="2"/>
    <s v="Williams, Mr. Charles Eugene"/>
    <s v="Mr."/>
    <x v="0"/>
    <n v="28"/>
    <x v="0"/>
    <n v="0"/>
    <n v="0"/>
    <x v="1"/>
    <s v="244373"/>
    <n v="13"/>
    <n v="13"/>
    <e v="#N/A"/>
    <x v="2"/>
    <x v="0"/>
    <x v="0"/>
  </r>
  <r>
    <n v="19"/>
    <n v="0"/>
    <x v="0"/>
    <n v="3"/>
    <x v="0"/>
    <s v="Vander Planke, Mrs. Julius (Emelia Maria Vandemoortele)"/>
    <s v="Mrs."/>
    <x v="1"/>
    <n v="31"/>
    <x v="1"/>
    <n v="1"/>
    <n v="0"/>
    <x v="0"/>
    <s v="345763"/>
    <n v="18"/>
    <e v="#N/A"/>
    <n v="18"/>
    <x v="3"/>
    <x v="0"/>
    <x v="0"/>
  </r>
  <r>
    <n v="20"/>
    <n v="1"/>
    <x v="1"/>
    <n v="3"/>
    <x v="0"/>
    <s v="Masselmani, Mrs. Fatima"/>
    <s v="Mrs."/>
    <x v="1"/>
    <n v="28"/>
    <x v="0"/>
    <n v="0"/>
    <n v="0"/>
    <x v="1"/>
    <s v="2649"/>
    <n v="7.2249999999999996"/>
    <n v="7.2249999999999996"/>
    <e v="#N/A"/>
    <x v="0"/>
    <x v="0"/>
    <x v="1"/>
  </r>
  <r>
    <n v="21"/>
    <n v="0"/>
    <x v="0"/>
    <n v="2"/>
    <x v="2"/>
    <s v="Fynney, Mr. Joseph J"/>
    <s v="Mr."/>
    <x v="0"/>
    <n v="35"/>
    <x v="1"/>
    <n v="0"/>
    <n v="0"/>
    <x v="1"/>
    <s v="239865"/>
    <n v="26"/>
    <e v="#N/A"/>
    <n v="26"/>
    <x v="3"/>
    <x v="0"/>
    <x v="0"/>
  </r>
  <r>
    <n v="22"/>
    <n v="1"/>
    <x v="1"/>
    <n v="2"/>
    <x v="2"/>
    <s v="Beesley, Mr. Lawrence"/>
    <s v="Mr."/>
    <x v="0"/>
    <n v="34"/>
    <x v="1"/>
    <n v="0"/>
    <n v="0"/>
    <x v="1"/>
    <s v="248698"/>
    <n v="13"/>
    <n v="13"/>
    <e v="#N/A"/>
    <x v="2"/>
    <x v="6"/>
    <x v="0"/>
  </r>
  <r>
    <n v="23"/>
    <n v="1"/>
    <x v="1"/>
    <n v="3"/>
    <x v="0"/>
    <s v="McGowan, Miss. Anna &quot;Annie&quot;"/>
    <s v="Miss."/>
    <x v="1"/>
    <n v="15"/>
    <x v="4"/>
    <n v="0"/>
    <n v="0"/>
    <x v="1"/>
    <s v="330923"/>
    <n v="8.0291999999999994"/>
    <n v="8.0291999999999994"/>
    <e v="#N/A"/>
    <x v="2"/>
    <x v="0"/>
    <x v="2"/>
  </r>
  <r>
    <n v="24"/>
    <n v="1"/>
    <x v="1"/>
    <n v="1"/>
    <x v="1"/>
    <s v="Sloper, Mr. William Thompson"/>
    <s v="Mr."/>
    <x v="0"/>
    <n v="28"/>
    <x v="0"/>
    <n v="0"/>
    <n v="0"/>
    <x v="1"/>
    <s v="113788"/>
    <n v="35.5"/>
    <n v="35.5"/>
    <e v="#N/A"/>
    <x v="1"/>
    <x v="7"/>
    <x v="0"/>
  </r>
  <r>
    <n v="25"/>
    <n v="0"/>
    <x v="0"/>
    <n v="3"/>
    <x v="0"/>
    <s v="Palsson, Miss. Torborg Danira"/>
    <s v="Miss."/>
    <x v="1"/>
    <n v="8"/>
    <x v="3"/>
    <n v="3"/>
    <n v="1"/>
    <x v="2"/>
    <s v="349909"/>
    <n v="21.074999999999999"/>
    <e v="#N/A"/>
    <n v="21.074999999999999"/>
    <x v="3"/>
    <x v="0"/>
    <x v="0"/>
  </r>
  <r>
    <n v="26"/>
    <n v="1"/>
    <x v="1"/>
    <n v="3"/>
    <x v="0"/>
    <s v="Asplund, Mrs. Carl Oscar (Selma Augusta Emilia Johansson)"/>
    <s v="Mrs."/>
    <x v="1"/>
    <n v="38"/>
    <x v="1"/>
    <n v="1"/>
    <n v="5"/>
    <x v="4"/>
    <s v="347077"/>
    <n v="31.387499999999999"/>
    <n v="31.387499999999999"/>
    <e v="#N/A"/>
    <x v="1"/>
    <x v="0"/>
    <x v="0"/>
  </r>
  <r>
    <n v="27"/>
    <n v="0"/>
    <x v="0"/>
    <n v="3"/>
    <x v="0"/>
    <s v="Emir, Mr. Farred Chehab"/>
    <s v="Mr."/>
    <x v="0"/>
    <n v="28"/>
    <x v="0"/>
    <n v="0"/>
    <n v="0"/>
    <x v="1"/>
    <s v="2631"/>
    <n v="7.2249999999999996"/>
    <e v="#N/A"/>
    <n v="7.2249999999999996"/>
    <x v="0"/>
    <x v="0"/>
    <x v="1"/>
  </r>
  <r>
    <n v="28"/>
    <n v="0"/>
    <x v="0"/>
    <n v="1"/>
    <x v="1"/>
    <s v="Fortune, Mr. Charles Alexander"/>
    <s v="Mr."/>
    <x v="0"/>
    <n v="19"/>
    <x v="4"/>
    <n v="3"/>
    <n v="2"/>
    <x v="5"/>
    <s v="19950"/>
    <n v="263"/>
    <e v="#N/A"/>
    <n v="263"/>
    <x v="1"/>
    <x v="8"/>
    <x v="0"/>
  </r>
  <r>
    <n v="29"/>
    <n v="1"/>
    <x v="1"/>
    <n v="3"/>
    <x v="0"/>
    <s v="O'Dwyer, Miss. Ellen &quot;Nellie&quot;"/>
    <s v="Miss."/>
    <x v="1"/>
    <n v="28"/>
    <x v="0"/>
    <n v="0"/>
    <n v="0"/>
    <x v="1"/>
    <s v="330959"/>
    <n v="7.8792"/>
    <n v="7.8792"/>
    <e v="#N/A"/>
    <x v="0"/>
    <x v="0"/>
    <x v="2"/>
  </r>
  <r>
    <n v="30"/>
    <n v="0"/>
    <x v="0"/>
    <n v="3"/>
    <x v="0"/>
    <s v="Todoroff, Mr. Lalio"/>
    <s v="Mr."/>
    <x v="0"/>
    <n v="28"/>
    <x v="0"/>
    <n v="0"/>
    <n v="0"/>
    <x v="1"/>
    <s v="349216"/>
    <n v="7.8958000000000004"/>
    <e v="#N/A"/>
    <n v="7.8958000000000004"/>
    <x v="0"/>
    <x v="0"/>
    <x v="0"/>
  </r>
  <r>
    <n v="31"/>
    <n v="0"/>
    <x v="0"/>
    <n v="1"/>
    <x v="1"/>
    <s v="Uruchurtu, Don. Manuel E"/>
    <s v="Don."/>
    <x v="0"/>
    <n v="40"/>
    <x v="5"/>
    <n v="0"/>
    <n v="0"/>
    <x v="1"/>
    <s v="PC 17601"/>
    <n v="27.720800000000001"/>
    <e v="#N/A"/>
    <n v="27.720800000000001"/>
    <x v="3"/>
    <x v="0"/>
    <x v="1"/>
  </r>
  <r>
    <n v="32"/>
    <n v="1"/>
    <x v="1"/>
    <n v="1"/>
    <x v="1"/>
    <s v="Spencer, Mrs. William Augustus (Marie Eugenie)"/>
    <s v="Mrs."/>
    <x v="1"/>
    <n v="28"/>
    <x v="0"/>
    <n v="1"/>
    <n v="0"/>
    <x v="0"/>
    <s v="PC 17569"/>
    <n v="146.52080000000001"/>
    <n v="146.52080000000001"/>
    <e v="#N/A"/>
    <x v="1"/>
    <x v="9"/>
    <x v="1"/>
  </r>
  <r>
    <n v="33"/>
    <n v="1"/>
    <x v="1"/>
    <n v="3"/>
    <x v="0"/>
    <s v="Glynn, Miss. Mary Agatha"/>
    <s v="Miss."/>
    <x v="1"/>
    <n v="28"/>
    <x v="0"/>
    <n v="0"/>
    <n v="0"/>
    <x v="1"/>
    <s v="335677"/>
    <n v="7.75"/>
    <n v="7.75"/>
    <e v="#N/A"/>
    <x v="0"/>
    <x v="0"/>
    <x v="2"/>
  </r>
  <r>
    <n v="34"/>
    <n v="0"/>
    <x v="0"/>
    <n v="2"/>
    <x v="2"/>
    <s v="Wheadon, Mr. Edward H"/>
    <s v="Mr."/>
    <x v="0"/>
    <n v="66"/>
    <x v="6"/>
    <n v="0"/>
    <n v="0"/>
    <x v="1"/>
    <s v="C.A. 24579"/>
    <n v="10.5"/>
    <e v="#N/A"/>
    <n v="10.5"/>
    <x v="2"/>
    <x v="0"/>
    <x v="0"/>
  </r>
  <r>
    <n v="35"/>
    <n v="0"/>
    <x v="0"/>
    <n v="1"/>
    <x v="1"/>
    <s v="Meyer, Mr. Edgar Joseph"/>
    <s v="Mr."/>
    <x v="0"/>
    <n v="28"/>
    <x v="0"/>
    <n v="1"/>
    <n v="0"/>
    <x v="0"/>
    <s v="PC 17604"/>
    <n v="82.1708"/>
    <e v="#N/A"/>
    <n v="82.1708"/>
    <x v="1"/>
    <x v="0"/>
    <x v="1"/>
  </r>
  <r>
    <n v="36"/>
    <n v="0"/>
    <x v="0"/>
    <n v="1"/>
    <x v="1"/>
    <s v="Holverson, Mr. Alexander Oskar"/>
    <s v="Mr."/>
    <x v="0"/>
    <n v="42"/>
    <x v="5"/>
    <n v="1"/>
    <n v="0"/>
    <x v="0"/>
    <s v="113789"/>
    <n v="52"/>
    <e v="#N/A"/>
    <n v="52"/>
    <x v="1"/>
    <x v="0"/>
    <x v="0"/>
  </r>
  <r>
    <n v="37"/>
    <n v="1"/>
    <x v="1"/>
    <n v="3"/>
    <x v="0"/>
    <s v="Mamee, Mr. Hanna"/>
    <s v="Mr."/>
    <x v="0"/>
    <n v="28"/>
    <x v="0"/>
    <n v="0"/>
    <n v="0"/>
    <x v="1"/>
    <s v="2677"/>
    <n v="7.2291999999999996"/>
    <n v="7.2291999999999996"/>
    <e v="#N/A"/>
    <x v="0"/>
    <x v="0"/>
    <x v="1"/>
  </r>
  <r>
    <n v="38"/>
    <n v="0"/>
    <x v="0"/>
    <n v="3"/>
    <x v="0"/>
    <s v="Cann, Mr. Ernest Charles"/>
    <s v="Mr."/>
    <x v="0"/>
    <n v="21"/>
    <x v="0"/>
    <n v="0"/>
    <n v="0"/>
    <x v="1"/>
    <s v="A./5. 2152"/>
    <n v="8.0500000000000007"/>
    <e v="#N/A"/>
    <n v="8.0500000000000007"/>
    <x v="2"/>
    <x v="0"/>
    <x v="0"/>
  </r>
  <r>
    <n v="39"/>
    <n v="0"/>
    <x v="0"/>
    <n v="3"/>
    <x v="0"/>
    <s v="Vander Planke, Miss. Augusta Maria"/>
    <s v="Miss."/>
    <x v="1"/>
    <n v="18"/>
    <x v="4"/>
    <n v="2"/>
    <n v="0"/>
    <x v="3"/>
    <s v="345764"/>
    <n v="18"/>
    <e v="#N/A"/>
    <n v="18"/>
    <x v="3"/>
    <x v="0"/>
    <x v="0"/>
  </r>
  <r>
    <n v="40"/>
    <n v="1"/>
    <x v="1"/>
    <n v="3"/>
    <x v="0"/>
    <s v="Nicola-Yarred, Miss. Jamila"/>
    <s v="Miss."/>
    <x v="1"/>
    <n v="14"/>
    <x v="4"/>
    <n v="1"/>
    <n v="0"/>
    <x v="0"/>
    <s v="2651"/>
    <n v="11.2417"/>
    <n v="11.2417"/>
    <e v="#N/A"/>
    <x v="2"/>
    <x v="0"/>
    <x v="1"/>
  </r>
  <r>
    <n v="41"/>
    <n v="0"/>
    <x v="0"/>
    <n v="3"/>
    <x v="0"/>
    <s v="Ahlin, Mrs. Johan (Johanna Persdotter Larsson)"/>
    <s v="Mrs."/>
    <x v="1"/>
    <n v="40"/>
    <x v="5"/>
    <n v="1"/>
    <n v="0"/>
    <x v="0"/>
    <s v="7546"/>
    <n v="9.4749999999999996"/>
    <e v="#N/A"/>
    <n v="9.4749999999999996"/>
    <x v="2"/>
    <x v="0"/>
    <x v="0"/>
  </r>
  <r>
    <n v="42"/>
    <n v="0"/>
    <x v="0"/>
    <n v="2"/>
    <x v="2"/>
    <s v="Turpin, Mrs. William John Robert (Dorothy Ann Wonnacott)"/>
    <s v="Mrs."/>
    <x v="1"/>
    <n v="27"/>
    <x v="0"/>
    <n v="1"/>
    <n v="0"/>
    <x v="0"/>
    <s v="11668"/>
    <n v="21"/>
    <e v="#N/A"/>
    <n v="21"/>
    <x v="3"/>
    <x v="0"/>
    <x v="0"/>
  </r>
  <r>
    <n v="43"/>
    <n v="0"/>
    <x v="0"/>
    <n v="3"/>
    <x v="0"/>
    <s v="Kraeff, Mr. Theodor"/>
    <s v="Mr."/>
    <x v="0"/>
    <n v="28"/>
    <x v="0"/>
    <n v="0"/>
    <n v="0"/>
    <x v="1"/>
    <s v="349253"/>
    <n v="7.8958000000000004"/>
    <e v="#N/A"/>
    <n v="7.8958000000000004"/>
    <x v="0"/>
    <x v="0"/>
    <x v="1"/>
  </r>
  <r>
    <n v="44"/>
    <n v="1"/>
    <x v="1"/>
    <n v="2"/>
    <x v="2"/>
    <s v="Laroche, Miss. Simonne Marie Anne Andree"/>
    <s v="Miss."/>
    <x v="1"/>
    <n v="3"/>
    <x v="3"/>
    <n v="1"/>
    <n v="2"/>
    <x v="6"/>
    <s v="SC/Paris 2123"/>
    <n v="41.5792"/>
    <n v="41.5792"/>
    <e v="#N/A"/>
    <x v="1"/>
    <x v="0"/>
    <x v="1"/>
  </r>
  <r>
    <n v="45"/>
    <n v="1"/>
    <x v="1"/>
    <n v="3"/>
    <x v="0"/>
    <s v="Devaney, Miss. Margaret Delia"/>
    <s v="Miss."/>
    <x v="1"/>
    <n v="19"/>
    <x v="4"/>
    <n v="0"/>
    <n v="0"/>
    <x v="1"/>
    <s v="330958"/>
    <n v="7.8792"/>
    <n v="7.8792"/>
    <e v="#N/A"/>
    <x v="0"/>
    <x v="0"/>
    <x v="2"/>
  </r>
  <r>
    <n v="46"/>
    <n v="0"/>
    <x v="0"/>
    <n v="3"/>
    <x v="0"/>
    <s v="Rogers, Mr. William John"/>
    <s v="Mr."/>
    <x v="0"/>
    <n v="28"/>
    <x v="0"/>
    <n v="0"/>
    <n v="0"/>
    <x v="1"/>
    <s v="S.C./A.4. 23567"/>
    <n v="8.0500000000000007"/>
    <e v="#N/A"/>
    <n v="8.0500000000000007"/>
    <x v="2"/>
    <x v="0"/>
    <x v="0"/>
  </r>
  <r>
    <n v="47"/>
    <n v="0"/>
    <x v="0"/>
    <n v="3"/>
    <x v="0"/>
    <s v="Lennon, Mr. Denis"/>
    <s v="Mr."/>
    <x v="0"/>
    <n v="28"/>
    <x v="0"/>
    <n v="1"/>
    <n v="0"/>
    <x v="0"/>
    <s v="370371"/>
    <n v="15.5"/>
    <e v="#N/A"/>
    <n v="15.5"/>
    <x v="3"/>
    <x v="0"/>
    <x v="2"/>
  </r>
  <r>
    <n v="48"/>
    <n v="1"/>
    <x v="1"/>
    <n v="3"/>
    <x v="0"/>
    <s v="O'Driscoll, Miss. Bridget"/>
    <s v="Miss."/>
    <x v="1"/>
    <n v="28"/>
    <x v="0"/>
    <n v="0"/>
    <n v="0"/>
    <x v="1"/>
    <s v="14311"/>
    <n v="7.75"/>
    <n v="7.75"/>
    <e v="#N/A"/>
    <x v="0"/>
    <x v="0"/>
    <x v="2"/>
  </r>
  <r>
    <n v="49"/>
    <n v="0"/>
    <x v="0"/>
    <n v="3"/>
    <x v="0"/>
    <s v="Samaan, Mr. Youssef"/>
    <s v="Mr."/>
    <x v="0"/>
    <n v="28"/>
    <x v="0"/>
    <n v="2"/>
    <n v="0"/>
    <x v="3"/>
    <s v="2662"/>
    <n v="21.679200000000002"/>
    <e v="#N/A"/>
    <n v="21.679200000000002"/>
    <x v="3"/>
    <x v="0"/>
    <x v="1"/>
  </r>
  <r>
    <n v="50"/>
    <n v="0"/>
    <x v="0"/>
    <n v="3"/>
    <x v="0"/>
    <s v="Arnold-Franchi, Mrs. Josef (Josefine Franchi)"/>
    <s v="Mrs."/>
    <x v="1"/>
    <n v="18"/>
    <x v="4"/>
    <n v="1"/>
    <n v="0"/>
    <x v="0"/>
    <s v="349237"/>
    <n v="17.8"/>
    <e v="#N/A"/>
    <n v="17.8"/>
    <x v="3"/>
    <x v="0"/>
    <x v="0"/>
  </r>
  <r>
    <n v="51"/>
    <n v="0"/>
    <x v="0"/>
    <n v="3"/>
    <x v="0"/>
    <s v="Panula, Master. Juha Niilo"/>
    <s v="Master."/>
    <x v="0"/>
    <n v="7"/>
    <x v="3"/>
    <n v="4"/>
    <n v="1"/>
    <x v="5"/>
    <s v="3101295"/>
    <n v="39.6875"/>
    <e v="#N/A"/>
    <n v="39.6875"/>
    <x v="1"/>
    <x v="0"/>
    <x v="0"/>
  </r>
  <r>
    <n v="52"/>
    <n v="0"/>
    <x v="0"/>
    <n v="3"/>
    <x v="0"/>
    <s v="Nosworthy, Mr. Richard Cater"/>
    <s v="Mr."/>
    <x v="0"/>
    <n v="21"/>
    <x v="0"/>
    <n v="0"/>
    <n v="0"/>
    <x v="1"/>
    <s v="A/4. 39886"/>
    <n v="7.8"/>
    <e v="#N/A"/>
    <n v="7.8"/>
    <x v="0"/>
    <x v="0"/>
    <x v="0"/>
  </r>
  <r>
    <n v="53"/>
    <n v="1"/>
    <x v="1"/>
    <n v="1"/>
    <x v="1"/>
    <s v="Harper, Mrs. Henry Sleeper (Myna Haxtun)"/>
    <s v="Mrs."/>
    <x v="1"/>
    <n v="49"/>
    <x v="5"/>
    <n v="1"/>
    <n v="0"/>
    <x v="0"/>
    <s v="PC 17572"/>
    <n v="76.729200000000006"/>
    <n v="76.729200000000006"/>
    <e v="#N/A"/>
    <x v="1"/>
    <x v="10"/>
    <x v="1"/>
  </r>
  <r>
    <n v="54"/>
    <n v="1"/>
    <x v="1"/>
    <n v="2"/>
    <x v="2"/>
    <s v="Faunthorpe, Mrs. Lizzie (Elizabeth Anne Wilkinson)"/>
    <s v="Mrs."/>
    <x v="1"/>
    <n v="29"/>
    <x v="0"/>
    <n v="1"/>
    <n v="0"/>
    <x v="0"/>
    <s v="2926"/>
    <n v="26"/>
    <n v="26"/>
    <e v="#N/A"/>
    <x v="3"/>
    <x v="0"/>
    <x v="0"/>
  </r>
  <r>
    <n v="55"/>
    <n v="0"/>
    <x v="0"/>
    <n v="1"/>
    <x v="1"/>
    <s v="Ostby, Mr. Engelhart Cornelius"/>
    <s v="Mr."/>
    <x v="0"/>
    <n v="65"/>
    <x v="6"/>
    <n v="0"/>
    <n v="1"/>
    <x v="0"/>
    <s v="113509"/>
    <n v="61.979199999999999"/>
    <e v="#N/A"/>
    <n v="61.979199999999999"/>
    <x v="1"/>
    <x v="11"/>
    <x v="1"/>
  </r>
  <r>
    <n v="56"/>
    <n v="1"/>
    <x v="1"/>
    <n v="1"/>
    <x v="1"/>
    <s v="Woolner, Mr. Hugh"/>
    <s v="Mr."/>
    <x v="0"/>
    <n v="28"/>
    <x v="0"/>
    <n v="0"/>
    <n v="0"/>
    <x v="1"/>
    <s v="19947"/>
    <n v="35.5"/>
    <n v="35.5"/>
    <e v="#N/A"/>
    <x v="1"/>
    <x v="12"/>
    <x v="0"/>
  </r>
  <r>
    <n v="57"/>
    <n v="1"/>
    <x v="1"/>
    <n v="2"/>
    <x v="2"/>
    <s v="Rugg, Miss. Emily"/>
    <s v="Miss."/>
    <x v="1"/>
    <n v="21"/>
    <x v="0"/>
    <n v="0"/>
    <n v="0"/>
    <x v="1"/>
    <s v="C.A. 31026"/>
    <n v="10.5"/>
    <n v="10.5"/>
    <e v="#N/A"/>
    <x v="2"/>
    <x v="0"/>
    <x v="0"/>
  </r>
  <r>
    <n v="58"/>
    <n v="0"/>
    <x v="0"/>
    <n v="3"/>
    <x v="0"/>
    <s v="Novel, Mr. Mansouer"/>
    <s v="Mr."/>
    <x v="0"/>
    <n v="28.5"/>
    <x v="0"/>
    <n v="0"/>
    <n v="0"/>
    <x v="1"/>
    <s v="2697"/>
    <n v="7.2291999999999996"/>
    <e v="#N/A"/>
    <n v="7.2291999999999996"/>
    <x v="0"/>
    <x v="0"/>
    <x v="1"/>
  </r>
  <r>
    <n v="59"/>
    <n v="1"/>
    <x v="1"/>
    <n v="2"/>
    <x v="2"/>
    <s v="West, Miss. Constance Mirium"/>
    <s v="Miss."/>
    <x v="1"/>
    <n v="5"/>
    <x v="3"/>
    <n v="1"/>
    <n v="2"/>
    <x v="6"/>
    <s v="C.A. 34651"/>
    <n v="27.75"/>
    <n v="27.75"/>
    <e v="#N/A"/>
    <x v="3"/>
    <x v="0"/>
    <x v="0"/>
  </r>
  <r>
    <n v="60"/>
    <n v="0"/>
    <x v="0"/>
    <n v="3"/>
    <x v="0"/>
    <s v="Goodwin, Master. William Frederick"/>
    <s v="Master."/>
    <x v="0"/>
    <n v="11"/>
    <x v="3"/>
    <n v="5"/>
    <n v="2"/>
    <x v="7"/>
    <s v="CA 2144"/>
    <n v="46.9"/>
    <e v="#N/A"/>
    <n v="46.9"/>
    <x v="1"/>
    <x v="0"/>
    <x v="0"/>
  </r>
  <r>
    <n v="61"/>
    <n v="0"/>
    <x v="0"/>
    <n v="3"/>
    <x v="0"/>
    <s v="Sirayanian, Mr. Orsen"/>
    <s v="Mr."/>
    <x v="0"/>
    <n v="22"/>
    <x v="0"/>
    <n v="0"/>
    <n v="0"/>
    <x v="1"/>
    <s v="2669"/>
    <n v="7.2291999999999996"/>
    <e v="#N/A"/>
    <n v="7.2291999999999996"/>
    <x v="0"/>
    <x v="0"/>
    <x v="1"/>
  </r>
  <r>
    <n v="62"/>
    <n v="1"/>
    <x v="1"/>
    <n v="1"/>
    <x v="1"/>
    <s v="Icard, Miss. Amelie"/>
    <s v="Miss."/>
    <x v="1"/>
    <n v="38"/>
    <x v="1"/>
    <n v="0"/>
    <n v="0"/>
    <x v="1"/>
    <s v="113572"/>
    <n v="80"/>
    <n v="80"/>
    <e v="#N/A"/>
    <x v="1"/>
    <x v="13"/>
    <x v="3"/>
  </r>
  <r>
    <n v="63"/>
    <n v="0"/>
    <x v="0"/>
    <n v="1"/>
    <x v="1"/>
    <s v="Harris, Mr. Henry Birkhardt"/>
    <s v="Mr."/>
    <x v="0"/>
    <n v="45"/>
    <x v="5"/>
    <n v="1"/>
    <n v="0"/>
    <x v="0"/>
    <s v="36973"/>
    <n v="83.474999999999994"/>
    <e v="#N/A"/>
    <n v="83.474999999999994"/>
    <x v="1"/>
    <x v="14"/>
    <x v="0"/>
  </r>
  <r>
    <n v="64"/>
    <n v="0"/>
    <x v="0"/>
    <n v="3"/>
    <x v="0"/>
    <s v="Skoog, Master. Harald"/>
    <s v="Master."/>
    <x v="0"/>
    <n v="4"/>
    <x v="3"/>
    <n v="3"/>
    <n v="2"/>
    <x v="5"/>
    <s v="347088"/>
    <n v="27.9"/>
    <e v="#N/A"/>
    <n v="27.9"/>
    <x v="3"/>
    <x v="0"/>
    <x v="0"/>
  </r>
  <r>
    <n v="65"/>
    <n v="0"/>
    <x v="0"/>
    <n v="1"/>
    <x v="1"/>
    <s v="Stewart, Mr. Albert A"/>
    <s v="Mr."/>
    <x v="0"/>
    <n v="28"/>
    <x v="0"/>
    <n v="0"/>
    <n v="0"/>
    <x v="1"/>
    <s v="PC 17605"/>
    <n v="27.720800000000001"/>
    <e v="#N/A"/>
    <n v="27.720800000000001"/>
    <x v="3"/>
    <x v="0"/>
    <x v="1"/>
  </r>
  <r>
    <n v="66"/>
    <n v="1"/>
    <x v="1"/>
    <n v="3"/>
    <x v="0"/>
    <s v="Moubarek, Master. Gerios"/>
    <s v="Master."/>
    <x v="0"/>
    <n v="28"/>
    <x v="0"/>
    <n v="1"/>
    <n v="1"/>
    <x v="3"/>
    <s v="2661"/>
    <n v="15.245799999999999"/>
    <n v="15.245799999999999"/>
    <e v="#N/A"/>
    <x v="3"/>
    <x v="0"/>
    <x v="1"/>
  </r>
  <r>
    <n v="67"/>
    <n v="1"/>
    <x v="1"/>
    <n v="2"/>
    <x v="2"/>
    <s v="Nye, Mrs. (Elizabeth Ramell)"/>
    <s v="Mrs."/>
    <x v="1"/>
    <n v="29"/>
    <x v="0"/>
    <n v="0"/>
    <n v="0"/>
    <x v="1"/>
    <s v="C.A. 29395"/>
    <n v="10.5"/>
    <n v="10.5"/>
    <e v="#N/A"/>
    <x v="2"/>
    <x v="15"/>
    <x v="0"/>
  </r>
  <r>
    <n v="68"/>
    <n v="0"/>
    <x v="0"/>
    <n v="3"/>
    <x v="0"/>
    <s v="Crease, Mr. Ernest James"/>
    <s v="Mr."/>
    <x v="0"/>
    <n v="19"/>
    <x v="4"/>
    <n v="0"/>
    <n v="0"/>
    <x v="1"/>
    <s v="S.P. 3464"/>
    <n v="8.1583000000000006"/>
    <e v="#N/A"/>
    <n v="8.1583000000000006"/>
    <x v="2"/>
    <x v="0"/>
    <x v="0"/>
  </r>
  <r>
    <n v="69"/>
    <n v="1"/>
    <x v="1"/>
    <n v="3"/>
    <x v="0"/>
    <s v="Andersson, Miss. Erna Alexandra"/>
    <s v="Miss."/>
    <x v="1"/>
    <n v="17"/>
    <x v="4"/>
    <n v="4"/>
    <n v="2"/>
    <x v="4"/>
    <s v="3101281"/>
    <n v="7.9249999999999998"/>
    <n v="7.9249999999999998"/>
    <e v="#N/A"/>
    <x v="0"/>
    <x v="0"/>
    <x v="0"/>
  </r>
  <r>
    <n v="70"/>
    <n v="0"/>
    <x v="0"/>
    <n v="3"/>
    <x v="0"/>
    <s v="Kink, Mr. Vincenz"/>
    <s v="Mr."/>
    <x v="0"/>
    <n v="26"/>
    <x v="0"/>
    <n v="2"/>
    <n v="0"/>
    <x v="3"/>
    <s v="315151"/>
    <n v="8.6624999999999996"/>
    <e v="#N/A"/>
    <n v="8.6624999999999996"/>
    <x v="2"/>
    <x v="0"/>
    <x v="0"/>
  </r>
  <r>
    <n v="71"/>
    <n v="0"/>
    <x v="0"/>
    <n v="2"/>
    <x v="2"/>
    <s v="Jenkin, Mr. Stephen Curnow"/>
    <s v="Mr."/>
    <x v="0"/>
    <n v="32"/>
    <x v="1"/>
    <n v="0"/>
    <n v="0"/>
    <x v="1"/>
    <s v="C.A. 33111"/>
    <n v="10.5"/>
    <e v="#N/A"/>
    <n v="10.5"/>
    <x v="2"/>
    <x v="0"/>
    <x v="0"/>
  </r>
  <r>
    <n v="72"/>
    <n v="0"/>
    <x v="0"/>
    <n v="3"/>
    <x v="0"/>
    <s v="Goodwin, Miss. Lillian Amy"/>
    <s v="Miss."/>
    <x v="1"/>
    <n v="16"/>
    <x v="4"/>
    <n v="5"/>
    <n v="2"/>
    <x v="7"/>
    <s v="CA 2144"/>
    <n v="46.9"/>
    <e v="#N/A"/>
    <n v="46.9"/>
    <x v="1"/>
    <x v="0"/>
    <x v="0"/>
  </r>
  <r>
    <n v="73"/>
    <n v="0"/>
    <x v="0"/>
    <n v="2"/>
    <x v="2"/>
    <s v="Hood, Mr. Ambrose Jr"/>
    <s v="Mr."/>
    <x v="0"/>
    <n v="21"/>
    <x v="0"/>
    <n v="0"/>
    <n v="0"/>
    <x v="1"/>
    <s v="S.O.C. 14879"/>
    <n v="73.5"/>
    <e v="#N/A"/>
    <n v="73.5"/>
    <x v="1"/>
    <x v="0"/>
    <x v="0"/>
  </r>
  <r>
    <n v="74"/>
    <n v="0"/>
    <x v="0"/>
    <n v="3"/>
    <x v="0"/>
    <s v="Chronopoulos, Mr. Apostolos"/>
    <s v="Mr."/>
    <x v="0"/>
    <n v="26"/>
    <x v="0"/>
    <n v="1"/>
    <n v="0"/>
    <x v="0"/>
    <s v="2680"/>
    <n v="14.4542"/>
    <e v="#N/A"/>
    <n v="14.4542"/>
    <x v="2"/>
    <x v="0"/>
    <x v="1"/>
  </r>
  <r>
    <n v="75"/>
    <n v="1"/>
    <x v="1"/>
    <n v="3"/>
    <x v="0"/>
    <s v="Bing, Mr. Lee"/>
    <s v="Mr."/>
    <x v="0"/>
    <n v="32"/>
    <x v="1"/>
    <n v="0"/>
    <n v="0"/>
    <x v="1"/>
    <s v="1601"/>
    <n v="56.495800000000003"/>
    <n v="56.495800000000003"/>
    <e v="#N/A"/>
    <x v="1"/>
    <x v="0"/>
    <x v="0"/>
  </r>
  <r>
    <n v="76"/>
    <n v="0"/>
    <x v="0"/>
    <n v="3"/>
    <x v="0"/>
    <s v="Moen, Mr. Sigurd Hansen"/>
    <s v="Mr."/>
    <x v="0"/>
    <n v="25"/>
    <x v="0"/>
    <n v="0"/>
    <n v="0"/>
    <x v="1"/>
    <s v="348123"/>
    <n v="7.65"/>
    <e v="#N/A"/>
    <n v="7.65"/>
    <x v="0"/>
    <x v="16"/>
    <x v="0"/>
  </r>
  <r>
    <n v="77"/>
    <n v="0"/>
    <x v="0"/>
    <n v="3"/>
    <x v="0"/>
    <s v="Staneff, Mr. Ivan"/>
    <s v="Mr."/>
    <x v="0"/>
    <n v="28"/>
    <x v="0"/>
    <n v="0"/>
    <n v="0"/>
    <x v="1"/>
    <s v="349208"/>
    <n v="7.8958000000000004"/>
    <e v="#N/A"/>
    <n v="7.8958000000000004"/>
    <x v="0"/>
    <x v="0"/>
    <x v="0"/>
  </r>
  <r>
    <n v="78"/>
    <n v="0"/>
    <x v="0"/>
    <n v="3"/>
    <x v="0"/>
    <s v="Moutal, Mr. Rahamin Haim"/>
    <s v="Mr."/>
    <x v="0"/>
    <n v="28"/>
    <x v="0"/>
    <n v="0"/>
    <n v="0"/>
    <x v="1"/>
    <s v="374746"/>
    <n v="8.0500000000000007"/>
    <e v="#N/A"/>
    <n v="8.0500000000000007"/>
    <x v="2"/>
    <x v="0"/>
    <x v="0"/>
  </r>
  <r>
    <n v="79"/>
    <n v="1"/>
    <x v="1"/>
    <n v="2"/>
    <x v="2"/>
    <s v="Caldwell, Master. Alden Gates"/>
    <s v="Master."/>
    <x v="0"/>
    <n v="0.83"/>
    <x v="3"/>
    <n v="0"/>
    <n v="2"/>
    <x v="3"/>
    <s v="248738"/>
    <n v="29"/>
    <n v="29"/>
    <e v="#N/A"/>
    <x v="3"/>
    <x v="0"/>
    <x v="0"/>
  </r>
  <r>
    <n v="80"/>
    <n v="1"/>
    <x v="1"/>
    <n v="3"/>
    <x v="0"/>
    <s v="Dowdell, Miss. Elizabeth"/>
    <s v="Miss."/>
    <x v="1"/>
    <n v="30"/>
    <x v="1"/>
    <n v="0"/>
    <n v="0"/>
    <x v="1"/>
    <s v="364516"/>
    <n v="12.475"/>
    <n v="12.475"/>
    <e v="#N/A"/>
    <x v="2"/>
    <x v="0"/>
    <x v="0"/>
  </r>
  <r>
    <n v="81"/>
    <n v="0"/>
    <x v="0"/>
    <n v="3"/>
    <x v="0"/>
    <s v="Waelens, Mr. Achille"/>
    <s v="Mr."/>
    <x v="0"/>
    <n v="22"/>
    <x v="0"/>
    <n v="0"/>
    <n v="0"/>
    <x v="1"/>
    <s v="345767"/>
    <n v="9"/>
    <e v="#N/A"/>
    <n v="9"/>
    <x v="2"/>
    <x v="0"/>
    <x v="0"/>
  </r>
  <r>
    <n v="82"/>
    <n v="1"/>
    <x v="1"/>
    <n v="3"/>
    <x v="0"/>
    <s v="Sheerlinck, Mr. Jan Baptist"/>
    <s v="Mr."/>
    <x v="0"/>
    <n v="29"/>
    <x v="0"/>
    <n v="0"/>
    <n v="0"/>
    <x v="1"/>
    <s v="345779"/>
    <n v="9.5"/>
    <n v="9.5"/>
    <e v="#N/A"/>
    <x v="2"/>
    <x v="0"/>
    <x v="0"/>
  </r>
  <r>
    <n v="83"/>
    <n v="1"/>
    <x v="1"/>
    <n v="3"/>
    <x v="0"/>
    <s v="McDermott, Miss. Brigdet Delia"/>
    <s v="Miss."/>
    <x v="1"/>
    <n v="28"/>
    <x v="0"/>
    <n v="0"/>
    <n v="0"/>
    <x v="1"/>
    <s v="330932"/>
    <n v="7.7874999999999996"/>
    <n v="7.7874999999999996"/>
    <e v="#N/A"/>
    <x v="0"/>
    <x v="0"/>
    <x v="2"/>
  </r>
  <r>
    <n v="84"/>
    <n v="0"/>
    <x v="0"/>
    <n v="1"/>
    <x v="1"/>
    <s v="Carrau, Mr. Francisco M"/>
    <s v="Mr."/>
    <x v="0"/>
    <n v="28"/>
    <x v="0"/>
    <n v="0"/>
    <n v="0"/>
    <x v="1"/>
    <s v="113059"/>
    <n v="47.1"/>
    <e v="#N/A"/>
    <n v="47.1"/>
    <x v="1"/>
    <x v="0"/>
    <x v="0"/>
  </r>
  <r>
    <n v="85"/>
    <n v="1"/>
    <x v="1"/>
    <n v="2"/>
    <x v="2"/>
    <s v="Ilett, Miss. Bertha"/>
    <s v="Miss."/>
    <x v="1"/>
    <n v="17"/>
    <x v="4"/>
    <n v="0"/>
    <n v="0"/>
    <x v="1"/>
    <s v="SO/C 14885"/>
    <n v="10.5"/>
    <n v="10.5"/>
    <e v="#N/A"/>
    <x v="2"/>
    <x v="0"/>
    <x v="0"/>
  </r>
  <r>
    <n v="86"/>
    <n v="1"/>
    <x v="1"/>
    <n v="3"/>
    <x v="0"/>
    <s v="Backstrom, Mrs. Karl Alfred (Maria Mathilda Gustafsson)"/>
    <s v="Mrs."/>
    <x v="1"/>
    <n v="33"/>
    <x v="1"/>
    <n v="3"/>
    <n v="0"/>
    <x v="6"/>
    <s v="3101278"/>
    <n v="15.85"/>
    <n v="15.85"/>
    <e v="#N/A"/>
    <x v="3"/>
    <x v="0"/>
    <x v="0"/>
  </r>
  <r>
    <n v="87"/>
    <n v="0"/>
    <x v="0"/>
    <n v="3"/>
    <x v="0"/>
    <s v="Ford, Mr. William Neal"/>
    <s v="Mr."/>
    <x v="0"/>
    <n v="16"/>
    <x v="4"/>
    <n v="1"/>
    <n v="3"/>
    <x v="2"/>
    <s v="W./C. 6608"/>
    <n v="34.375"/>
    <e v="#N/A"/>
    <n v="34.375"/>
    <x v="1"/>
    <x v="0"/>
    <x v="0"/>
  </r>
  <r>
    <n v="88"/>
    <n v="0"/>
    <x v="0"/>
    <n v="3"/>
    <x v="0"/>
    <s v="Slocovski, Mr. Selman Francis"/>
    <s v="Mr."/>
    <x v="0"/>
    <n v="28"/>
    <x v="0"/>
    <n v="0"/>
    <n v="0"/>
    <x v="1"/>
    <s v="SOTON/OQ 392086"/>
    <n v="8.0500000000000007"/>
    <e v="#N/A"/>
    <n v="8.0500000000000007"/>
    <x v="2"/>
    <x v="0"/>
    <x v="0"/>
  </r>
  <r>
    <n v="89"/>
    <n v="1"/>
    <x v="1"/>
    <n v="1"/>
    <x v="1"/>
    <s v="Fortune, Miss. Mabel Helen"/>
    <s v="Miss."/>
    <x v="1"/>
    <n v="23"/>
    <x v="0"/>
    <n v="3"/>
    <n v="2"/>
    <x v="5"/>
    <s v="19950"/>
    <n v="263"/>
    <n v="263"/>
    <e v="#N/A"/>
    <x v="1"/>
    <x v="8"/>
    <x v="0"/>
  </r>
  <r>
    <n v="90"/>
    <n v="0"/>
    <x v="0"/>
    <n v="3"/>
    <x v="0"/>
    <s v="Celotti, Mr. Francesco"/>
    <s v="Mr."/>
    <x v="0"/>
    <n v="24"/>
    <x v="0"/>
    <n v="0"/>
    <n v="0"/>
    <x v="1"/>
    <s v="343275"/>
    <n v="8.0500000000000007"/>
    <e v="#N/A"/>
    <n v="8.0500000000000007"/>
    <x v="2"/>
    <x v="0"/>
    <x v="0"/>
  </r>
  <r>
    <n v="91"/>
    <n v="0"/>
    <x v="0"/>
    <n v="3"/>
    <x v="0"/>
    <s v="Christmann, Mr. Emil"/>
    <s v="Mr."/>
    <x v="0"/>
    <n v="29"/>
    <x v="0"/>
    <n v="0"/>
    <n v="0"/>
    <x v="1"/>
    <s v="343276"/>
    <n v="8.0500000000000007"/>
    <e v="#N/A"/>
    <n v="8.0500000000000007"/>
    <x v="2"/>
    <x v="0"/>
    <x v="0"/>
  </r>
  <r>
    <n v="92"/>
    <n v="0"/>
    <x v="0"/>
    <n v="3"/>
    <x v="0"/>
    <s v="Andreasson, Mr. Paul Edvin"/>
    <s v="Mr."/>
    <x v="0"/>
    <n v="20"/>
    <x v="0"/>
    <n v="0"/>
    <n v="0"/>
    <x v="1"/>
    <s v="347466"/>
    <n v="7.8541999999999996"/>
    <e v="#N/A"/>
    <n v="7.8541999999999996"/>
    <x v="0"/>
    <x v="0"/>
    <x v="0"/>
  </r>
  <r>
    <n v="93"/>
    <n v="0"/>
    <x v="0"/>
    <n v="1"/>
    <x v="1"/>
    <s v="Chaffee, Mr. Herbert Fuller"/>
    <s v="Mr."/>
    <x v="0"/>
    <n v="46"/>
    <x v="5"/>
    <n v="1"/>
    <n v="0"/>
    <x v="0"/>
    <s v="W.E.P. 5734"/>
    <n v="61.174999999999997"/>
    <e v="#N/A"/>
    <n v="61.174999999999997"/>
    <x v="1"/>
    <x v="17"/>
    <x v="0"/>
  </r>
  <r>
    <n v="94"/>
    <n v="0"/>
    <x v="0"/>
    <n v="3"/>
    <x v="0"/>
    <s v="Dean, Mr. Bertram Frank"/>
    <s v="Mr."/>
    <x v="0"/>
    <n v="26"/>
    <x v="0"/>
    <n v="1"/>
    <n v="2"/>
    <x v="6"/>
    <s v="C.A. 2315"/>
    <n v="20.574999999999999"/>
    <e v="#N/A"/>
    <n v="20.574999999999999"/>
    <x v="3"/>
    <x v="0"/>
    <x v="0"/>
  </r>
  <r>
    <n v="95"/>
    <n v="0"/>
    <x v="0"/>
    <n v="3"/>
    <x v="0"/>
    <s v="Coxon, Mr. Daniel"/>
    <s v="Mr."/>
    <x v="0"/>
    <n v="59"/>
    <x v="2"/>
    <n v="0"/>
    <n v="0"/>
    <x v="1"/>
    <s v="364500"/>
    <n v="7.25"/>
    <e v="#N/A"/>
    <n v="7.25"/>
    <x v="0"/>
    <x v="0"/>
    <x v="0"/>
  </r>
  <r>
    <n v="96"/>
    <n v="0"/>
    <x v="0"/>
    <n v="3"/>
    <x v="0"/>
    <s v="Shorney, Mr. Charles Joseph"/>
    <s v="Mr."/>
    <x v="0"/>
    <n v="28"/>
    <x v="0"/>
    <n v="0"/>
    <n v="0"/>
    <x v="1"/>
    <s v="374910"/>
    <n v="8.0500000000000007"/>
    <e v="#N/A"/>
    <n v="8.0500000000000007"/>
    <x v="2"/>
    <x v="0"/>
    <x v="0"/>
  </r>
  <r>
    <n v="97"/>
    <n v="0"/>
    <x v="0"/>
    <n v="1"/>
    <x v="1"/>
    <s v="Goldschmidt, Mr. George B"/>
    <s v="Mr."/>
    <x v="0"/>
    <n v="71"/>
    <x v="7"/>
    <n v="0"/>
    <n v="0"/>
    <x v="1"/>
    <s v="PC 17754"/>
    <n v="34.654200000000003"/>
    <e v="#N/A"/>
    <n v="34.654200000000003"/>
    <x v="1"/>
    <x v="18"/>
    <x v="1"/>
  </r>
  <r>
    <n v="98"/>
    <n v="1"/>
    <x v="1"/>
    <n v="1"/>
    <x v="1"/>
    <s v="Greenfield, Mr. William Bertram"/>
    <s v="Mr."/>
    <x v="0"/>
    <n v="23"/>
    <x v="0"/>
    <n v="0"/>
    <n v="1"/>
    <x v="0"/>
    <s v="PC 17759"/>
    <n v="63.3583"/>
    <n v="63.3583"/>
    <e v="#N/A"/>
    <x v="1"/>
    <x v="19"/>
    <x v="1"/>
  </r>
  <r>
    <n v="99"/>
    <n v="1"/>
    <x v="1"/>
    <n v="2"/>
    <x v="2"/>
    <s v="Doling, Mrs. John T (Ada Julia Bone)"/>
    <s v="Mrs."/>
    <x v="1"/>
    <n v="34"/>
    <x v="1"/>
    <n v="0"/>
    <n v="1"/>
    <x v="0"/>
    <s v="231919"/>
    <n v="23"/>
    <n v="23"/>
    <e v="#N/A"/>
    <x v="3"/>
    <x v="0"/>
    <x v="0"/>
  </r>
  <r>
    <n v="100"/>
    <n v="0"/>
    <x v="0"/>
    <n v="2"/>
    <x v="2"/>
    <s v="Kantor, Mr. Sinai"/>
    <s v="Mr."/>
    <x v="0"/>
    <n v="34"/>
    <x v="1"/>
    <n v="1"/>
    <n v="0"/>
    <x v="0"/>
    <s v="244367"/>
    <n v="26"/>
    <e v="#N/A"/>
    <n v="26"/>
    <x v="3"/>
    <x v="0"/>
    <x v="0"/>
  </r>
  <r>
    <n v="101"/>
    <n v="0"/>
    <x v="0"/>
    <n v="3"/>
    <x v="0"/>
    <s v="Petranec, Miss. Matilda"/>
    <s v="Miss."/>
    <x v="1"/>
    <n v="28"/>
    <x v="0"/>
    <n v="0"/>
    <n v="0"/>
    <x v="1"/>
    <s v="349245"/>
    <n v="7.8958000000000004"/>
    <e v="#N/A"/>
    <n v="7.8958000000000004"/>
    <x v="0"/>
    <x v="0"/>
    <x v="0"/>
  </r>
  <r>
    <n v="102"/>
    <n v="0"/>
    <x v="0"/>
    <n v="3"/>
    <x v="0"/>
    <s v="Petroff, Mr. Pastcho (&quot;Pentcho&quot;)"/>
    <s v="Mr."/>
    <x v="0"/>
    <n v="28"/>
    <x v="0"/>
    <n v="0"/>
    <n v="0"/>
    <x v="1"/>
    <s v="349215"/>
    <n v="7.8958000000000004"/>
    <e v="#N/A"/>
    <n v="7.8958000000000004"/>
    <x v="0"/>
    <x v="0"/>
    <x v="0"/>
  </r>
  <r>
    <n v="103"/>
    <n v="0"/>
    <x v="0"/>
    <n v="1"/>
    <x v="1"/>
    <s v="White, Mr. Richard Frasar"/>
    <s v="Mr."/>
    <x v="0"/>
    <n v="21"/>
    <x v="0"/>
    <n v="0"/>
    <n v="1"/>
    <x v="0"/>
    <s v="35281"/>
    <n v="77.287499999999994"/>
    <e v="#N/A"/>
    <n v="77.287499999999994"/>
    <x v="1"/>
    <x v="20"/>
    <x v="0"/>
  </r>
  <r>
    <n v="104"/>
    <n v="0"/>
    <x v="0"/>
    <n v="3"/>
    <x v="0"/>
    <s v="Johansson, Mr. Gustaf Joel"/>
    <s v="Mr."/>
    <x v="0"/>
    <n v="33"/>
    <x v="1"/>
    <n v="0"/>
    <n v="0"/>
    <x v="1"/>
    <s v="7540"/>
    <n v="8.6541999999999994"/>
    <e v="#N/A"/>
    <n v="8.6541999999999994"/>
    <x v="2"/>
    <x v="0"/>
    <x v="0"/>
  </r>
  <r>
    <n v="105"/>
    <n v="0"/>
    <x v="0"/>
    <n v="3"/>
    <x v="0"/>
    <s v="Gustafsson, Mr. Anders Vilhelm"/>
    <s v="Mr."/>
    <x v="0"/>
    <n v="37"/>
    <x v="1"/>
    <n v="2"/>
    <n v="0"/>
    <x v="3"/>
    <s v="3101276"/>
    <n v="7.9249999999999998"/>
    <e v="#N/A"/>
    <n v="7.9249999999999998"/>
    <x v="0"/>
    <x v="0"/>
    <x v="0"/>
  </r>
  <r>
    <n v="106"/>
    <n v="0"/>
    <x v="0"/>
    <n v="3"/>
    <x v="0"/>
    <s v="Mionoff, Mr. Stoytcho"/>
    <s v="Mr."/>
    <x v="0"/>
    <n v="28"/>
    <x v="0"/>
    <n v="0"/>
    <n v="0"/>
    <x v="1"/>
    <s v="349207"/>
    <n v="7.8958000000000004"/>
    <e v="#N/A"/>
    <n v="7.8958000000000004"/>
    <x v="0"/>
    <x v="0"/>
    <x v="0"/>
  </r>
  <r>
    <n v="107"/>
    <n v="1"/>
    <x v="1"/>
    <n v="3"/>
    <x v="0"/>
    <s v="Salkjelsvik, Miss. Anna Kristine"/>
    <s v="Miss."/>
    <x v="1"/>
    <n v="21"/>
    <x v="0"/>
    <n v="0"/>
    <n v="0"/>
    <x v="1"/>
    <s v="343120"/>
    <n v="7.65"/>
    <n v="7.65"/>
    <e v="#N/A"/>
    <x v="0"/>
    <x v="0"/>
    <x v="0"/>
  </r>
  <r>
    <n v="108"/>
    <n v="1"/>
    <x v="1"/>
    <n v="3"/>
    <x v="0"/>
    <s v="Moss, Mr. Albert Johan"/>
    <s v="Mr."/>
    <x v="0"/>
    <n v="28"/>
    <x v="0"/>
    <n v="0"/>
    <n v="0"/>
    <x v="1"/>
    <s v="312991"/>
    <n v="7.7750000000000004"/>
    <n v="7.7750000000000004"/>
    <e v="#N/A"/>
    <x v="0"/>
    <x v="0"/>
    <x v="0"/>
  </r>
  <r>
    <n v="109"/>
    <n v="0"/>
    <x v="0"/>
    <n v="3"/>
    <x v="0"/>
    <s v="Rekic, Mr. Tido"/>
    <s v="Mr."/>
    <x v="0"/>
    <n v="38"/>
    <x v="1"/>
    <n v="0"/>
    <n v="0"/>
    <x v="1"/>
    <s v="349249"/>
    <n v="7.8958000000000004"/>
    <e v="#N/A"/>
    <n v="7.8958000000000004"/>
    <x v="0"/>
    <x v="0"/>
    <x v="0"/>
  </r>
  <r>
    <n v="110"/>
    <n v="1"/>
    <x v="1"/>
    <n v="3"/>
    <x v="0"/>
    <s v="Moran, Miss. Bertha"/>
    <s v="Miss."/>
    <x v="1"/>
    <n v="28"/>
    <x v="0"/>
    <n v="1"/>
    <n v="0"/>
    <x v="0"/>
    <s v="371110"/>
    <n v="24.15"/>
    <n v="24.15"/>
    <e v="#N/A"/>
    <x v="3"/>
    <x v="0"/>
    <x v="2"/>
  </r>
  <r>
    <n v="111"/>
    <n v="0"/>
    <x v="0"/>
    <n v="1"/>
    <x v="1"/>
    <s v="Porter, Mr. Walter Chamberlain"/>
    <s v="Mr."/>
    <x v="0"/>
    <n v="47"/>
    <x v="5"/>
    <n v="0"/>
    <n v="0"/>
    <x v="1"/>
    <s v="110465"/>
    <n v="52"/>
    <e v="#N/A"/>
    <n v="52"/>
    <x v="1"/>
    <x v="21"/>
    <x v="0"/>
  </r>
  <r>
    <n v="112"/>
    <n v="0"/>
    <x v="0"/>
    <n v="3"/>
    <x v="0"/>
    <s v="Zabour, Miss. Hileni"/>
    <s v="Miss."/>
    <x v="1"/>
    <n v="14.5"/>
    <x v="4"/>
    <n v="1"/>
    <n v="0"/>
    <x v="0"/>
    <s v="2665"/>
    <n v="14.4542"/>
    <e v="#N/A"/>
    <n v="14.4542"/>
    <x v="2"/>
    <x v="0"/>
    <x v="1"/>
  </r>
  <r>
    <n v="113"/>
    <n v="0"/>
    <x v="0"/>
    <n v="3"/>
    <x v="0"/>
    <s v="Barton, Mr. David John"/>
    <s v="Mr."/>
    <x v="0"/>
    <n v="22"/>
    <x v="0"/>
    <n v="0"/>
    <n v="0"/>
    <x v="1"/>
    <s v="324669"/>
    <n v="8.0500000000000007"/>
    <e v="#N/A"/>
    <n v="8.0500000000000007"/>
    <x v="2"/>
    <x v="0"/>
    <x v="0"/>
  </r>
  <r>
    <n v="114"/>
    <n v="0"/>
    <x v="0"/>
    <n v="3"/>
    <x v="0"/>
    <s v="Jussila, Miss. Katriina"/>
    <s v="Miss."/>
    <x v="1"/>
    <n v="20"/>
    <x v="0"/>
    <n v="1"/>
    <n v="0"/>
    <x v="0"/>
    <s v="4136"/>
    <n v="9.8249999999999993"/>
    <e v="#N/A"/>
    <n v="9.8249999999999993"/>
    <x v="2"/>
    <x v="0"/>
    <x v="0"/>
  </r>
  <r>
    <n v="115"/>
    <n v="0"/>
    <x v="0"/>
    <n v="3"/>
    <x v="0"/>
    <s v="Attalah, Miss. Malake"/>
    <s v="Miss."/>
    <x v="1"/>
    <n v="17"/>
    <x v="4"/>
    <n v="0"/>
    <n v="0"/>
    <x v="1"/>
    <s v="2627"/>
    <n v="14.458299999999999"/>
    <e v="#N/A"/>
    <n v="14.458299999999999"/>
    <x v="2"/>
    <x v="0"/>
    <x v="1"/>
  </r>
  <r>
    <n v="116"/>
    <n v="0"/>
    <x v="0"/>
    <n v="3"/>
    <x v="0"/>
    <s v="Pekoniemi, Mr. Edvard"/>
    <s v="Mr."/>
    <x v="0"/>
    <n v="21"/>
    <x v="0"/>
    <n v="0"/>
    <n v="0"/>
    <x v="1"/>
    <s v="STON/O 2. 3101294"/>
    <n v="7.9249999999999998"/>
    <e v="#N/A"/>
    <n v="7.9249999999999998"/>
    <x v="0"/>
    <x v="0"/>
    <x v="0"/>
  </r>
  <r>
    <n v="117"/>
    <n v="0"/>
    <x v="0"/>
    <n v="3"/>
    <x v="0"/>
    <s v="Connors, Mr. Patrick"/>
    <s v="Mr."/>
    <x v="0"/>
    <n v="70.5"/>
    <x v="7"/>
    <n v="0"/>
    <n v="0"/>
    <x v="1"/>
    <s v="370369"/>
    <n v="7.75"/>
    <e v="#N/A"/>
    <n v="7.75"/>
    <x v="0"/>
    <x v="0"/>
    <x v="2"/>
  </r>
  <r>
    <n v="118"/>
    <n v="0"/>
    <x v="0"/>
    <n v="2"/>
    <x v="2"/>
    <s v="Turpin, Mr. William John Robert"/>
    <s v="Mr."/>
    <x v="0"/>
    <n v="29"/>
    <x v="0"/>
    <n v="1"/>
    <n v="0"/>
    <x v="0"/>
    <s v="11668"/>
    <n v="21"/>
    <e v="#N/A"/>
    <n v="21"/>
    <x v="3"/>
    <x v="0"/>
    <x v="0"/>
  </r>
  <r>
    <n v="119"/>
    <n v="0"/>
    <x v="0"/>
    <n v="1"/>
    <x v="1"/>
    <s v="Baxter, Mr. Quigg Edmond"/>
    <s v="Mr."/>
    <x v="0"/>
    <n v="24"/>
    <x v="0"/>
    <n v="0"/>
    <n v="1"/>
    <x v="0"/>
    <s v="PC 17558"/>
    <n v="247.52080000000001"/>
    <e v="#N/A"/>
    <n v="247.52080000000001"/>
    <x v="1"/>
    <x v="22"/>
    <x v="1"/>
  </r>
  <r>
    <n v="120"/>
    <n v="0"/>
    <x v="0"/>
    <n v="3"/>
    <x v="0"/>
    <s v="Andersson, Miss. Ellis Anna Maria"/>
    <s v="Miss."/>
    <x v="1"/>
    <n v="2"/>
    <x v="3"/>
    <n v="4"/>
    <n v="2"/>
    <x v="4"/>
    <s v="347082"/>
    <n v="31.274999999999999"/>
    <e v="#N/A"/>
    <n v="31.274999999999999"/>
    <x v="1"/>
    <x v="0"/>
    <x v="0"/>
  </r>
  <r>
    <n v="121"/>
    <n v="0"/>
    <x v="0"/>
    <n v="2"/>
    <x v="2"/>
    <s v="Hickman, Mr. Stanley George"/>
    <s v="Mr."/>
    <x v="0"/>
    <n v="21"/>
    <x v="0"/>
    <n v="2"/>
    <n v="0"/>
    <x v="3"/>
    <s v="S.O.C. 14879"/>
    <n v="73.5"/>
    <e v="#N/A"/>
    <n v="73.5"/>
    <x v="1"/>
    <x v="0"/>
    <x v="0"/>
  </r>
  <r>
    <n v="122"/>
    <n v="0"/>
    <x v="0"/>
    <n v="3"/>
    <x v="0"/>
    <s v="Moore, Mr. Leonard Charles"/>
    <s v="Mr."/>
    <x v="0"/>
    <n v="28"/>
    <x v="0"/>
    <n v="0"/>
    <n v="0"/>
    <x v="1"/>
    <s v="A4. 54510"/>
    <n v="8.0500000000000007"/>
    <e v="#N/A"/>
    <n v="8.0500000000000007"/>
    <x v="2"/>
    <x v="0"/>
    <x v="0"/>
  </r>
  <r>
    <n v="123"/>
    <n v="0"/>
    <x v="0"/>
    <n v="2"/>
    <x v="2"/>
    <s v="Nasser, Mr. Nicholas"/>
    <s v="Mr."/>
    <x v="0"/>
    <n v="32.5"/>
    <x v="1"/>
    <n v="1"/>
    <n v="0"/>
    <x v="0"/>
    <s v="237736"/>
    <n v="30.070799999999998"/>
    <e v="#N/A"/>
    <n v="30.070799999999998"/>
    <x v="1"/>
    <x v="0"/>
    <x v="1"/>
  </r>
  <r>
    <n v="124"/>
    <n v="1"/>
    <x v="1"/>
    <n v="2"/>
    <x v="2"/>
    <s v="Webber, Miss. Susan"/>
    <s v="Miss."/>
    <x v="1"/>
    <n v="32.5"/>
    <x v="1"/>
    <n v="0"/>
    <n v="0"/>
    <x v="1"/>
    <s v="27267"/>
    <n v="13"/>
    <n v="13"/>
    <e v="#N/A"/>
    <x v="2"/>
    <x v="23"/>
    <x v="0"/>
  </r>
  <r>
    <n v="125"/>
    <n v="0"/>
    <x v="0"/>
    <n v="1"/>
    <x v="1"/>
    <s v="White, Mr. Percival Wayland"/>
    <s v="Mr."/>
    <x v="0"/>
    <n v="54"/>
    <x v="2"/>
    <n v="0"/>
    <n v="1"/>
    <x v="0"/>
    <s v="35281"/>
    <n v="77.287499999999994"/>
    <e v="#N/A"/>
    <n v="77.287499999999994"/>
    <x v="1"/>
    <x v="20"/>
    <x v="0"/>
  </r>
  <r>
    <n v="126"/>
    <n v="1"/>
    <x v="1"/>
    <n v="3"/>
    <x v="0"/>
    <s v="Nicola-Yarred, Master. Elias"/>
    <s v="Master."/>
    <x v="0"/>
    <n v="12"/>
    <x v="4"/>
    <n v="1"/>
    <n v="0"/>
    <x v="0"/>
    <s v="2651"/>
    <n v="11.2417"/>
    <n v="11.2417"/>
    <e v="#N/A"/>
    <x v="2"/>
    <x v="0"/>
    <x v="1"/>
  </r>
  <r>
    <n v="127"/>
    <n v="0"/>
    <x v="0"/>
    <n v="3"/>
    <x v="0"/>
    <s v="McMahon, Mr. Martin"/>
    <s v="Mr."/>
    <x v="0"/>
    <n v="28"/>
    <x v="0"/>
    <n v="0"/>
    <n v="0"/>
    <x v="1"/>
    <s v="370372"/>
    <n v="7.75"/>
    <e v="#N/A"/>
    <n v="7.75"/>
    <x v="0"/>
    <x v="0"/>
    <x v="2"/>
  </r>
  <r>
    <n v="128"/>
    <n v="1"/>
    <x v="1"/>
    <n v="3"/>
    <x v="0"/>
    <s v="Madsen, Mr. Fridtjof Arne"/>
    <s v="Mr."/>
    <x v="0"/>
    <n v="24"/>
    <x v="0"/>
    <n v="0"/>
    <n v="0"/>
    <x v="1"/>
    <s v="C 17369"/>
    <n v="7.1417000000000002"/>
    <n v="7.1417000000000002"/>
    <e v="#N/A"/>
    <x v="0"/>
    <x v="0"/>
    <x v="0"/>
  </r>
  <r>
    <n v="129"/>
    <n v="1"/>
    <x v="1"/>
    <n v="3"/>
    <x v="0"/>
    <s v="Peter, Miss. Anna"/>
    <s v="Miss."/>
    <x v="1"/>
    <n v="28"/>
    <x v="0"/>
    <n v="1"/>
    <n v="1"/>
    <x v="3"/>
    <s v="2668"/>
    <n v="22.3583"/>
    <n v="22.3583"/>
    <e v="#N/A"/>
    <x v="3"/>
    <x v="24"/>
    <x v="1"/>
  </r>
  <r>
    <n v="130"/>
    <n v="0"/>
    <x v="0"/>
    <n v="3"/>
    <x v="0"/>
    <s v="Ekstrom, Mr. Johan"/>
    <s v="Mr."/>
    <x v="0"/>
    <n v="45"/>
    <x v="5"/>
    <n v="0"/>
    <n v="0"/>
    <x v="1"/>
    <s v="347061"/>
    <n v="6.9749999999999996"/>
    <e v="#N/A"/>
    <n v="6.9749999999999996"/>
    <x v="0"/>
    <x v="0"/>
    <x v="0"/>
  </r>
  <r>
    <n v="131"/>
    <n v="0"/>
    <x v="0"/>
    <n v="3"/>
    <x v="0"/>
    <s v="Drazenoic, Mr. Jozef"/>
    <s v="Mr."/>
    <x v="0"/>
    <n v="33"/>
    <x v="1"/>
    <n v="0"/>
    <n v="0"/>
    <x v="1"/>
    <s v="349241"/>
    <n v="7.8958000000000004"/>
    <e v="#N/A"/>
    <n v="7.8958000000000004"/>
    <x v="0"/>
    <x v="0"/>
    <x v="1"/>
  </r>
  <r>
    <n v="132"/>
    <n v="0"/>
    <x v="0"/>
    <n v="3"/>
    <x v="0"/>
    <s v="Coelho, Mr. Domingos Fernandeo"/>
    <s v="Mr."/>
    <x v="0"/>
    <n v="20"/>
    <x v="0"/>
    <n v="0"/>
    <n v="0"/>
    <x v="1"/>
    <s v="SOTON/O.Q. 3101307"/>
    <n v="7.05"/>
    <e v="#N/A"/>
    <n v="7.05"/>
    <x v="0"/>
    <x v="0"/>
    <x v="0"/>
  </r>
  <r>
    <n v="133"/>
    <n v="0"/>
    <x v="0"/>
    <n v="3"/>
    <x v="0"/>
    <s v="Robins, Mrs. Alexander A (Grace Charity Laury)"/>
    <s v="Mrs."/>
    <x v="1"/>
    <n v="47"/>
    <x v="5"/>
    <n v="1"/>
    <n v="0"/>
    <x v="0"/>
    <s v="A/5. 3337"/>
    <n v="14.5"/>
    <e v="#N/A"/>
    <n v="14.5"/>
    <x v="2"/>
    <x v="0"/>
    <x v="0"/>
  </r>
  <r>
    <n v="134"/>
    <n v="1"/>
    <x v="1"/>
    <n v="2"/>
    <x v="2"/>
    <s v="Weisz, Mrs. Leopold (Mathilde Francoise Pede)"/>
    <s v="Mrs."/>
    <x v="1"/>
    <n v="29"/>
    <x v="0"/>
    <n v="1"/>
    <n v="0"/>
    <x v="0"/>
    <s v="228414"/>
    <n v="26"/>
    <n v="26"/>
    <e v="#N/A"/>
    <x v="3"/>
    <x v="0"/>
    <x v="0"/>
  </r>
  <r>
    <n v="135"/>
    <n v="0"/>
    <x v="0"/>
    <n v="2"/>
    <x v="2"/>
    <s v="Sobey, Mr. Samuel James Hayden"/>
    <s v="Mr."/>
    <x v="0"/>
    <n v="25"/>
    <x v="0"/>
    <n v="0"/>
    <n v="0"/>
    <x v="1"/>
    <s v="C.A. 29178"/>
    <n v="13"/>
    <e v="#N/A"/>
    <n v="13"/>
    <x v="2"/>
    <x v="0"/>
    <x v="0"/>
  </r>
  <r>
    <n v="136"/>
    <n v="0"/>
    <x v="0"/>
    <n v="2"/>
    <x v="2"/>
    <s v="Richard, Mr. Emile"/>
    <s v="Mr."/>
    <x v="0"/>
    <n v="23"/>
    <x v="0"/>
    <n v="0"/>
    <n v="0"/>
    <x v="1"/>
    <s v="SC/PARIS 2133"/>
    <n v="15.0458"/>
    <e v="#N/A"/>
    <n v="15.0458"/>
    <x v="3"/>
    <x v="0"/>
    <x v="1"/>
  </r>
  <r>
    <n v="137"/>
    <n v="1"/>
    <x v="1"/>
    <n v="1"/>
    <x v="1"/>
    <s v="Newsom, Miss. Helen Monypeny"/>
    <s v="Miss."/>
    <x v="1"/>
    <n v="19"/>
    <x v="4"/>
    <n v="0"/>
    <n v="2"/>
    <x v="3"/>
    <s v="11752"/>
    <n v="26.283300000000001"/>
    <n v="26.283300000000001"/>
    <e v="#N/A"/>
    <x v="3"/>
    <x v="25"/>
    <x v="0"/>
  </r>
  <r>
    <n v="138"/>
    <n v="0"/>
    <x v="0"/>
    <n v="1"/>
    <x v="1"/>
    <s v="Futrelle, Mr. Jacques Heath"/>
    <s v="Mr."/>
    <x v="0"/>
    <n v="37"/>
    <x v="1"/>
    <n v="1"/>
    <n v="0"/>
    <x v="0"/>
    <s v="113803"/>
    <n v="53.1"/>
    <e v="#N/A"/>
    <n v="53.1"/>
    <x v="1"/>
    <x v="2"/>
    <x v="0"/>
  </r>
  <r>
    <n v="139"/>
    <n v="0"/>
    <x v="0"/>
    <n v="3"/>
    <x v="0"/>
    <s v="Osen, Mr. Olaf Elon"/>
    <s v="Mr."/>
    <x v="0"/>
    <n v="16"/>
    <x v="4"/>
    <n v="0"/>
    <n v="0"/>
    <x v="1"/>
    <s v="7534"/>
    <n v="9.2166999999999994"/>
    <e v="#N/A"/>
    <n v="9.2166999999999994"/>
    <x v="2"/>
    <x v="0"/>
    <x v="0"/>
  </r>
  <r>
    <n v="140"/>
    <n v="0"/>
    <x v="0"/>
    <n v="1"/>
    <x v="1"/>
    <s v="Giglio, Mr. Victor"/>
    <s v="Mr."/>
    <x v="0"/>
    <n v="24"/>
    <x v="0"/>
    <n v="0"/>
    <n v="0"/>
    <x v="1"/>
    <s v="PC 17593"/>
    <n v="79.2"/>
    <e v="#N/A"/>
    <n v="79.2"/>
    <x v="1"/>
    <x v="26"/>
    <x v="1"/>
  </r>
  <r>
    <n v="141"/>
    <n v="0"/>
    <x v="0"/>
    <n v="3"/>
    <x v="0"/>
    <s v="Boulos, Mrs. Joseph (Sultana)"/>
    <s v="Mrs."/>
    <x v="1"/>
    <n v="28"/>
    <x v="0"/>
    <n v="0"/>
    <n v="2"/>
    <x v="3"/>
    <s v="2678"/>
    <n v="15.245799999999999"/>
    <e v="#N/A"/>
    <n v="15.245799999999999"/>
    <x v="3"/>
    <x v="0"/>
    <x v="1"/>
  </r>
  <r>
    <n v="142"/>
    <n v="1"/>
    <x v="1"/>
    <n v="3"/>
    <x v="0"/>
    <s v="Nysten, Miss. Anna Sofia"/>
    <s v="Miss."/>
    <x v="1"/>
    <n v="22"/>
    <x v="0"/>
    <n v="0"/>
    <n v="0"/>
    <x v="1"/>
    <s v="347081"/>
    <n v="7.75"/>
    <n v="7.75"/>
    <e v="#N/A"/>
    <x v="0"/>
    <x v="0"/>
    <x v="0"/>
  </r>
  <r>
    <n v="143"/>
    <n v="1"/>
    <x v="1"/>
    <n v="3"/>
    <x v="0"/>
    <s v="Hakkarainen, Mrs. Pekka Pietari (Elin Matilda Dolck)"/>
    <s v="Mrs."/>
    <x v="1"/>
    <n v="24"/>
    <x v="0"/>
    <n v="1"/>
    <n v="0"/>
    <x v="0"/>
    <s v="STON/O2. 3101279"/>
    <n v="15.85"/>
    <n v="15.85"/>
    <e v="#N/A"/>
    <x v="3"/>
    <x v="0"/>
    <x v="0"/>
  </r>
  <r>
    <n v="144"/>
    <n v="0"/>
    <x v="0"/>
    <n v="3"/>
    <x v="0"/>
    <s v="Burke, Mr. Jeremiah"/>
    <s v="Mr."/>
    <x v="0"/>
    <n v="19"/>
    <x v="4"/>
    <n v="0"/>
    <n v="0"/>
    <x v="1"/>
    <s v="365222"/>
    <n v="6.75"/>
    <e v="#N/A"/>
    <n v="6.75"/>
    <x v="0"/>
    <x v="0"/>
    <x v="2"/>
  </r>
  <r>
    <n v="145"/>
    <n v="0"/>
    <x v="0"/>
    <n v="2"/>
    <x v="2"/>
    <s v="Andrew, Mr. Edgardo Samuel"/>
    <s v="Mr."/>
    <x v="0"/>
    <n v="18"/>
    <x v="4"/>
    <n v="0"/>
    <n v="0"/>
    <x v="1"/>
    <s v="231945"/>
    <n v="11.5"/>
    <e v="#N/A"/>
    <n v="11.5"/>
    <x v="2"/>
    <x v="0"/>
    <x v="0"/>
  </r>
  <r>
    <n v="146"/>
    <n v="0"/>
    <x v="0"/>
    <n v="2"/>
    <x v="2"/>
    <s v="Nicholls, Mr. Joseph Charles"/>
    <s v="Mr."/>
    <x v="0"/>
    <n v="19"/>
    <x v="4"/>
    <n v="1"/>
    <n v="1"/>
    <x v="3"/>
    <s v="C.A. 33112"/>
    <n v="36.75"/>
    <e v="#N/A"/>
    <n v="36.75"/>
    <x v="1"/>
    <x v="0"/>
    <x v="0"/>
  </r>
  <r>
    <n v="147"/>
    <n v="1"/>
    <x v="1"/>
    <n v="3"/>
    <x v="0"/>
    <s v="Andersson, Mr. August Edvard (&quot;Wennerstrom&quot;)"/>
    <s v="Mr."/>
    <x v="0"/>
    <n v="27"/>
    <x v="0"/>
    <n v="0"/>
    <n v="0"/>
    <x v="1"/>
    <s v="350043"/>
    <n v="7.7957999999999998"/>
    <n v="7.7957999999999998"/>
    <e v="#N/A"/>
    <x v="0"/>
    <x v="0"/>
    <x v="0"/>
  </r>
  <r>
    <n v="148"/>
    <n v="0"/>
    <x v="0"/>
    <n v="3"/>
    <x v="0"/>
    <s v="Ford, Miss. Robina Maggie &quot;Ruby&quot;"/>
    <s v="Miss."/>
    <x v="1"/>
    <n v="9"/>
    <x v="3"/>
    <n v="2"/>
    <n v="2"/>
    <x v="2"/>
    <s v="W./C. 6608"/>
    <n v="34.375"/>
    <e v="#N/A"/>
    <n v="34.375"/>
    <x v="1"/>
    <x v="0"/>
    <x v="0"/>
  </r>
  <r>
    <n v="149"/>
    <n v="0"/>
    <x v="0"/>
    <n v="2"/>
    <x v="2"/>
    <s v="Navratil, Mr. Michel (&quot;Louis M Hoffman&quot;)"/>
    <s v="Mr."/>
    <x v="0"/>
    <n v="36.5"/>
    <x v="1"/>
    <n v="0"/>
    <n v="2"/>
    <x v="3"/>
    <s v="230080"/>
    <n v="26"/>
    <e v="#N/A"/>
    <n v="26"/>
    <x v="3"/>
    <x v="27"/>
    <x v="0"/>
  </r>
  <r>
    <n v="150"/>
    <n v="0"/>
    <x v="0"/>
    <n v="2"/>
    <x v="2"/>
    <s v="Byles, Rev. Thomas Roussel Davids"/>
    <s v="Rev."/>
    <x v="0"/>
    <n v="42"/>
    <x v="5"/>
    <n v="0"/>
    <n v="0"/>
    <x v="1"/>
    <s v="244310"/>
    <n v="13"/>
    <e v="#N/A"/>
    <n v="13"/>
    <x v="2"/>
    <x v="0"/>
    <x v="0"/>
  </r>
  <r>
    <n v="151"/>
    <n v="0"/>
    <x v="0"/>
    <n v="2"/>
    <x v="2"/>
    <s v="Bateman, Rev. Robert James"/>
    <s v="Rev."/>
    <x v="0"/>
    <n v="51"/>
    <x v="2"/>
    <n v="0"/>
    <n v="0"/>
    <x v="1"/>
    <s v="S.O.P. 1166"/>
    <n v="12.525"/>
    <e v="#N/A"/>
    <n v="12.525"/>
    <x v="2"/>
    <x v="0"/>
    <x v="0"/>
  </r>
  <r>
    <n v="152"/>
    <n v="1"/>
    <x v="1"/>
    <n v="1"/>
    <x v="1"/>
    <s v="Pears, Mrs. Thomas (Edith Wearne)"/>
    <s v="Mrs."/>
    <x v="1"/>
    <n v="22"/>
    <x v="0"/>
    <n v="1"/>
    <n v="0"/>
    <x v="0"/>
    <s v="113776"/>
    <n v="66.599999999999994"/>
    <n v="66.599999999999994"/>
    <e v="#N/A"/>
    <x v="1"/>
    <x v="28"/>
    <x v="0"/>
  </r>
  <r>
    <n v="153"/>
    <n v="0"/>
    <x v="0"/>
    <n v="3"/>
    <x v="0"/>
    <s v="Meo, Mr. Alfonzo"/>
    <s v="Mr."/>
    <x v="0"/>
    <n v="55.5"/>
    <x v="2"/>
    <n v="0"/>
    <n v="0"/>
    <x v="1"/>
    <s v="A.5. 11206"/>
    <n v="8.0500000000000007"/>
    <e v="#N/A"/>
    <n v="8.0500000000000007"/>
    <x v="2"/>
    <x v="0"/>
    <x v="0"/>
  </r>
  <r>
    <n v="154"/>
    <n v="0"/>
    <x v="0"/>
    <n v="3"/>
    <x v="0"/>
    <s v="van Billiard, Mr. Austin Blyler"/>
    <s v="Mr."/>
    <x v="0"/>
    <n v="40.5"/>
    <x v="5"/>
    <n v="0"/>
    <n v="2"/>
    <x v="3"/>
    <s v="A/5. 851"/>
    <n v="14.5"/>
    <e v="#N/A"/>
    <n v="14.5"/>
    <x v="2"/>
    <x v="0"/>
    <x v="0"/>
  </r>
  <r>
    <n v="155"/>
    <n v="0"/>
    <x v="0"/>
    <n v="3"/>
    <x v="0"/>
    <s v="Olsen, Mr. Ole Martin"/>
    <s v="Mr."/>
    <x v="0"/>
    <n v="28"/>
    <x v="0"/>
    <n v="0"/>
    <n v="0"/>
    <x v="1"/>
    <s v="Fa 265302"/>
    <n v="7.3125"/>
    <e v="#N/A"/>
    <n v="7.3125"/>
    <x v="0"/>
    <x v="0"/>
    <x v="0"/>
  </r>
  <r>
    <n v="156"/>
    <n v="0"/>
    <x v="0"/>
    <n v="1"/>
    <x v="1"/>
    <s v="Williams, Mr. Charles Duane"/>
    <s v="Mr."/>
    <x v="0"/>
    <n v="51"/>
    <x v="2"/>
    <n v="0"/>
    <n v="1"/>
    <x v="0"/>
    <s v="PC 17597"/>
    <n v="61.379199999999997"/>
    <e v="#N/A"/>
    <n v="61.379199999999997"/>
    <x v="1"/>
    <x v="0"/>
    <x v="1"/>
  </r>
  <r>
    <n v="157"/>
    <n v="1"/>
    <x v="1"/>
    <n v="3"/>
    <x v="0"/>
    <s v="Gilnagh, Miss. Katherine &quot;Katie&quot;"/>
    <s v="Miss."/>
    <x v="1"/>
    <n v="16"/>
    <x v="4"/>
    <n v="0"/>
    <n v="0"/>
    <x v="1"/>
    <s v="35851"/>
    <n v="7.7332999999999998"/>
    <n v="7.7332999999999998"/>
    <e v="#N/A"/>
    <x v="0"/>
    <x v="0"/>
    <x v="2"/>
  </r>
  <r>
    <n v="158"/>
    <n v="0"/>
    <x v="0"/>
    <n v="3"/>
    <x v="0"/>
    <s v="Corn, Mr. Harry"/>
    <s v="Mr."/>
    <x v="0"/>
    <n v="30"/>
    <x v="1"/>
    <n v="0"/>
    <n v="0"/>
    <x v="1"/>
    <s v="SOTON/OQ 392090"/>
    <n v="8.0500000000000007"/>
    <e v="#N/A"/>
    <n v="8.0500000000000007"/>
    <x v="2"/>
    <x v="0"/>
    <x v="0"/>
  </r>
  <r>
    <n v="159"/>
    <n v="0"/>
    <x v="0"/>
    <n v="3"/>
    <x v="0"/>
    <s v="Smiljanic, Mr. Mile"/>
    <s v="Mr."/>
    <x v="0"/>
    <n v="28"/>
    <x v="0"/>
    <n v="0"/>
    <n v="0"/>
    <x v="1"/>
    <s v="315037"/>
    <n v="8.6624999999999996"/>
    <e v="#N/A"/>
    <n v="8.6624999999999996"/>
    <x v="2"/>
    <x v="0"/>
    <x v="0"/>
  </r>
  <r>
    <n v="160"/>
    <n v="0"/>
    <x v="0"/>
    <n v="3"/>
    <x v="0"/>
    <s v="Sage, Master. Thomas Henry"/>
    <s v="Master."/>
    <x v="0"/>
    <n v="28"/>
    <x v="0"/>
    <n v="8"/>
    <n v="2"/>
    <x v="8"/>
    <s v="CA. 2343"/>
    <n v="69.55"/>
    <e v="#N/A"/>
    <n v="69.55"/>
    <x v="1"/>
    <x v="0"/>
    <x v="0"/>
  </r>
  <r>
    <n v="161"/>
    <n v="0"/>
    <x v="0"/>
    <n v="3"/>
    <x v="0"/>
    <s v="Cribb, Mr. John Hatfield"/>
    <s v="Mr."/>
    <x v="0"/>
    <n v="44"/>
    <x v="5"/>
    <n v="0"/>
    <n v="1"/>
    <x v="0"/>
    <s v="371362"/>
    <n v="16.100000000000001"/>
    <e v="#N/A"/>
    <n v="16.100000000000001"/>
    <x v="3"/>
    <x v="0"/>
    <x v="0"/>
  </r>
  <r>
    <n v="162"/>
    <n v="1"/>
    <x v="1"/>
    <n v="2"/>
    <x v="2"/>
    <s v="Watt, Mrs. James (Elizabeth &quot;Bessie&quot; Inglis Milne)"/>
    <s v="Mrs."/>
    <x v="1"/>
    <n v="40"/>
    <x v="5"/>
    <n v="0"/>
    <n v="0"/>
    <x v="1"/>
    <s v="C.A. 33595"/>
    <n v="15.75"/>
    <n v="15.75"/>
    <e v="#N/A"/>
    <x v="3"/>
    <x v="0"/>
    <x v="0"/>
  </r>
  <r>
    <n v="163"/>
    <n v="0"/>
    <x v="0"/>
    <n v="3"/>
    <x v="0"/>
    <s v="Bengtsson, Mr. John Viktor"/>
    <s v="Mr."/>
    <x v="0"/>
    <n v="26"/>
    <x v="0"/>
    <n v="0"/>
    <n v="0"/>
    <x v="1"/>
    <s v="347068"/>
    <n v="7.7750000000000004"/>
    <e v="#N/A"/>
    <n v="7.7750000000000004"/>
    <x v="0"/>
    <x v="0"/>
    <x v="0"/>
  </r>
  <r>
    <n v="164"/>
    <n v="0"/>
    <x v="0"/>
    <n v="3"/>
    <x v="0"/>
    <s v="Calic, Mr. Jovo"/>
    <s v="Mr."/>
    <x v="0"/>
    <n v="17"/>
    <x v="4"/>
    <n v="0"/>
    <n v="0"/>
    <x v="1"/>
    <s v="315093"/>
    <n v="8.6624999999999996"/>
    <e v="#N/A"/>
    <n v="8.6624999999999996"/>
    <x v="2"/>
    <x v="0"/>
    <x v="0"/>
  </r>
  <r>
    <n v="165"/>
    <n v="0"/>
    <x v="0"/>
    <n v="3"/>
    <x v="0"/>
    <s v="Panula, Master. Eino Viljami"/>
    <s v="Master."/>
    <x v="0"/>
    <n v="1"/>
    <x v="3"/>
    <n v="4"/>
    <n v="1"/>
    <x v="5"/>
    <s v="3101295"/>
    <n v="39.6875"/>
    <e v="#N/A"/>
    <n v="39.6875"/>
    <x v="1"/>
    <x v="0"/>
    <x v="0"/>
  </r>
  <r>
    <n v="166"/>
    <n v="1"/>
    <x v="1"/>
    <n v="3"/>
    <x v="0"/>
    <s v="Goldsmith, Master. Frank John William &quot;Frankie&quot;"/>
    <s v="Master."/>
    <x v="0"/>
    <n v="9"/>
    <x v="3"/>
    <n v="0"/>
    <n v="2"/>
    <x v="3"/>
    <s v="363291"/>
    <n v="20.524999999999999"/>
    <n v="20.524999999999999"/>
    <e v="#N/A"/>
    <x v="3"/>
    <x v="0"/>
    <x v="0"/>
  </r>
  <r>
    <n v="167"/>
    <n v="1"/>
    <x v="1"/>
    <n v="1"/>
    <x v="1"/>
    <s v="Chibnall, Mrs. (Edith Martha Bowerman)"/>
    <s v="Mrs."/>
    <x v="1"/>
    <n v="28"/>
    <x v="0"/>
    <n v="0"/>
    <n v="1"/>
    <x v="0"/>
    <s v="113505"/>
    <n v="55"/>
    <n v="55"/>
    <e v="#N/A"/>
    <x v="1"/>
    <x v="29"/>
    <x v="0"/>
  </r>
  <r>
    <n v="168"/>
    <n v="0"/>
    <x v="0"/>
    <n v="3"/>
    <x v="0"/>
    <s v="Skoog, Mrs. William (Anna Bernhardina Karlsson)"/>
    <s v="Mrs."/>
    <x v="1"/>
    <n v="45"/>
    <x v="5"/>
    <n v="1"/>
    <n v="4"/>
    <x v="5"/>
    <s v="347088"/>
    <n v="27.9"/>
    <e v="#N/A"/>
    <n v="27.9"/>
    <x v="3"/>
    <x v="0"/>
    <x v="0"/>
  </r>
  <r>
    <n v="169"/>
    <n v="0"/>
    <x v="0"/>
    <n v="1"/>
    <x v="1"/>
    <s v="Baumann, Mr. John D"/>
    <s v="Mr."/>
    <x v="0"/>
    <n v="28"/>
    <x v="0"/>
    <n v="0"/>
    <n v="0"/>
    <x v="1"/>
    <s v="PC 17318"/>
    <n v="25.925000000000001"/>
    <e v="#N/A"/>
    <n v="25.925000000000001"/>
    <x v="3"/>
    <x v="0"/>
    <x v="0"/>
  </r>
  <r>
    <n v="170"/>
    <n v="0"/>
    <x v="0"/>
    <n v="3"/>
    <x v="0"/>
    <s v="Ling, Mr. Lee"/>
    <s v="Mr."/>
    <x v="0"/>
    <n v="28"/>
    <x v="0"/>
    <n v="0"/>
    <n v="0"/>
    <x v="1"/>
    <s v="1601"/>
    <n v="56.495800000000003"/>
    <e v="#N/A"/>
    <n v="56.495800000000003"/>
    <x v="1"/>
    <x v="0"/>
    <x v="0"/>
  </r>
  <r>
    <n v="171"/>
    <n v="0"/>
    <x v="0"/>
    <n v="1"/>
    <x v="1"/>
    <s v="Van der hoef, Mr. Wyckoff"/>
    <s v="Mr."/>
    <x v="0"/>
    <n v="61"/>
    <x v="6"/>
    <n v="0"/>
    <n v="0"/>
    <x v="1"/>
    <s v="111240"/>
    <n v="33.5"/>
    <e v="#N/A"/>
    <n v="33.5"/>
    <x v="1"/>
    <x v="30"/>
    <x v="0"/>
  </r>
  <r>
    <n v="172"/>
    <n v="0"/>
    <x v="0"/>
    <n v="3"/>
    <x v="0"/>
    <s v="Rice, Master. Arthur"/>
    <s v="Master."/>
    <x v="0"/>
    <n v="4"/>
    <x v="3"/>
    <n v="4"/>
    <n v="1"/>
    <x v="5"/>
    <s v="382652"/>
    <n v="29.125"/>
    <e v="#N/A"/>
    <n v="29.125"/>
    <x v="3"/>
    <x v="0"/>
    <x v="2"/>
  </r>
  <r>
    <n v="173"/>
    <n v="1"/>
    <x v="1"/>
    <n v="3"/>
    <x v="0"/>
    <s v="Johnson, Miss. Eleanor Ileen"/>
    <s v="Miss."/>
    <x v="1"/>
    <n v="1"/>
    <x v="3"/>
    <n v="1"/>
    <n v="1"/>
    <x v="3"/>
    <s v="347742"/>
    <n v="11.1333"/>
    <n v="11.1333"/>
    <e v="#N/A"/>
    <x v="2"/>
    <x v="0"/>
    <x v="0"/>
  </r>
  <r>
    <n v="174"/>
    <n v="0"/>
    <x v="0"/>
    <n v="3"/>
    <x v="0"/>
    <s v="Sivola, Mr. Antti Wilhelm"/>
    <s v="Mr."/>
    <x v="0"/>
    <n v="21"/>
    <x v="0"/>
    <n v="0"/>
    <n v="0"/>
    <x v="1"/>
    <s v="STON/O 2. 3101280"/>
    <n v="7.9249999999999998"/>
    <e v="#N/A"/>
    <n v="7.9249999999999998"/>
    <x v="0"/>
    <x v="0"/>
    <x v="0"/>
  </r>
  <r>
    <n v="175"/>
    <n v="0"/>
    <x v="0"/>
    <n v="1"/>
    <x v="1"/>
    <s v="Smith, Mr. James Clinch"/>
    <s v="Mr."/>
    <x v="0"/>
    <n v="56"/>
    <x v="2"/>
    <n v="0"/>
    <n v="0"/>
    <x v="1"/>
    <s v="17764"/>
    <n v="30.695799999999998"/>
    <e v="#N/A"/>
    <n v="30.695799999999998"/>
    <x v="1"/>
    <x v="31"/>
    <x v="1"/>
  </r>
  <r>
    <n v="176"/>
    <n v="0"/>
    <x v="0"/>
    <n v="3"/>
    <x v="0"/>
    <s v="Klasen, Mr. Klas Albin"/>
    <s v="Mr."/>
    <x v="0"/>
    <n v="18"/>
    <x v="4"/>
    <n v="1"/>
    <n v="1"/>
    <x v="3"/>
    <s v="350404"/>
    <n v="7.8541999999999996"/>
    <e v="#N/A"/>
    <n v="7.8541999999999996"/>
    <x v="0"/>
    <x v="0"/>
    <x v="0"/>
  </r>
  <r>
    <n v="177"/>
    <n v="0"/>
    <x v="0"/>
    <n v="3"/>
    <x v="0"/>
    <s v="Lefebre, Master. Henry Forbes"/>
    <s v="Master."/>
    <x v="0"/>
    <n v="28"/>
    <x v="0"/>
    <n v="3"/>
    <n v="1"/>
    <x v="2"/>
    <s v="4133"/>
    <n v="25.466699999999999"/>
    <e v="#N/A"/>
    <n v="25.466699999999999"/>
    <x v="3"/>
    <x v="0"/>
    <x v="0"/>
  </r>
  <r>
    <n v="178"/>
    <n v="0"/>
    <x v="0"/>
    <n v="1"/>
    <x v="1"/>
    <s v="Isham, Miss. Ann Elizabeth"/>
    <s v="Miss."/>
    <x v="1"/>
    <n v="50"/>
    <x v="2"/>
    <n v="0"/>
    <n v="0"/>
    <x v="1"/>
    <s v="PC 17595"/>
    <n v="28.712499999999999"/>
    <e v="#N/A"/>
    <n v="28.712499999999999"/>
    <x v="3"/>
    <x v="32"/>
    <x v="1"/>
  </r>
  <r>
    <n v="179"/>
    <n v="0"/>
    <x v="0"/>
    <n v="2"/>
    <x v="2"/>
    <s v="Hale, Mr. Reginald"/>
    <s v="Mr."/>
    <x v="0"/>
    <n v="30"/>
    <x v="1"/>
    <n v="0"/>
    <n v="0"/>
    <x v="1"/>
    <s v="250653"/>
    <n v="13"/>
    <e v="#N/A"/>
    <n v="13"/>
    <x v="2"/>
    <x v="0"/>
    <x v="0"/>
  </r>
  <r>
    <n v="180"/>
    <n v="0"/>
    <x v="0"/>
    <n v="3"/>
    <x v="0"/>
    <s v="Leonard, Mr. Lionel"/>
    <s v="Mr."/>
    <x v="0"/>
    <n v="36"/>
    <x v="1"/>
    <n v="0"/>
    <n v="0"/>
    <x v="1"/>
    <s v="LINE"/>
    <n v="0"/>
    <e v="#N/A"/>
    <n v="0"/>
    <x v="0"/>
    <x v="0"/>
    <x v="0"/>
  </r>
  <r>
    <n v="181"/>
    <n v="0"/>
    <x v="0"/>
    <n v="3"/>
    <x v="0"/>
    <s v="Sage, Miss. Constance Gladys"/>
    <s v="Miss."/>
    <x v="1"/>
    <n v="28"/>
    <x v="0"/>
    <n v="8"/>
    <n v="2"/>
    <x v="8"/>
    <s v="CA. 2343"/>
    <n v="69.55"/>
    <e v="#N/A"/>
    <n v="69.55"/>
    <x v="1"/>
    <x v="0"/>
    <x v="0"/>
  </r>
  <r>
    <n v="182"/>
    <n v="0"/>
    <x v="0"/>
    <n v="2"/>
    <x v="2"/>
    <s v="Pernot, Mr. Rene"/>
    <s v="Mr."/>
    <x v="0"/>
    <n v="28"/>
    <x v="0"/>
    <n v="0"/>
    <n v="0"/>
    <x v="1"/>
    <s v="SC/PARIS 2131"/>
    <n v="15.05"/>
    <e v="#N/A"/>
    <n v="15.05"/>
    <x v="3"/>
    <x v="0"/>
    <x v="1"/>
  </r>
  <r>
    <n v="183"/>
    <n v="0"/>
    <x v="0"/>
    <n v="3"/>
    <x v="0"/>
    <s v="Asplund, Master. Clarence Gustaf Hugo"/>
    <s v="Master."/>
    <x v="0"/>
    <n v="9"/>
    <x v="3"/>
    <n v="4"/>
    <n v="2"/>
    <x v="4"/>
    <s v="347077"/>
    <n v="31.387499999999999"/>
    <e v="#N/A"/>
    <n v="31.387499999999999"/>
    <x v="1"/>
    <x v="0"/>
    <x v="0"/>
  </r>
  <r>
    <n v="184"/>
    <n v="1"/>
    <x v="1"/>
    <n v="2"/>
    <x v="2"/>
    <s v="Becker, Master. Richard F"/>
    <s v="Master."/>
    <x v="0"/>
    <n v="1"/>
    <x v="3"/>
    <n v="2"/>
    <n v="1"/>
    <x v="6"/>
    <s v="230136"/>
    <n v="39"/>
    <n v="39"/>
    <e v="#N/A"/>
    <x v="1"/>
    <x v="33"/>
    <x v="0"/>
  </r>
  <r>
    <n v="185"/>
    <n v="1"/>
    <x v="1"/>
    <n v="3"/>
    <x v="0"/>
    <s v="Kink-Heilmann, Miss. Luise Gretchen"/>
    <s v="Miss."/>
    <x v="1"/>
    <n v="4"/>
    <x v="3"/>
    <n v="0"/>
    <n v="2"/>
    <x v="3"/>
    <s v="315153"/>
    <n v="22.024999999999999"/>
    <n v="22.024999999999999"/>
    <e v="#N/A"/>
    <x v="3"/>
    <x v="0"/>
    <x v="0"/>
  </r>
  <r>
    <n v="186"/>
    <n v="0"/>
    <x v="0"/>
    <n v="1"/>
    <x v="1"/>
    <s v="Rood, Mr. Hugh Roscoe"/>
    <s v="Mr."/>
    <x v="0"/>
    <n v="28"/>
    <x v="0"/>
    <n v="0"/>
    <n v="0"/>
    <x v="1"/>
    <s v="113767"/>
    <n v="50"/>
    <e v="#N/A"/>
    <n v="50"/>
    <x v="1"/>
    <x v="34"/>
    <x v="0"/>
  </r>
  <r>
    <n v="187"/>
    <n v="1"/>
    <x v="1"/>
    <n v="3"/>
    <x v="0"/>
    <s v="O'Brien, Mrs. Thomas (Johanna &quot;Hannah&quot; Godfrey)"/>
    <s v="Mrs."/>
    <x v="1"/>
    <n v="28"/>
    <x v="0"/>
    <n v="1"/>
    <n v="0"/>
    <x v="0"/>
    <s v="370365"/>
    <n v="15.5"/>
    <n v="15.5"/>
    <e v="#N/A"/>
    <x v="3"/>
    <x v="0"/>
    <x v="2"/>
  </r>
  <r>
    <n v="188"/>
    <n v="1"/>
    <x v="1"/>
    <n v="1"/>
    <x v="1"/>
    <s v="Romaine, Mr. Charles Hallace (&quot;Mr C Rolmane&quot;)"/>
    <s v="Mr."/>
    <x v="0"/>
    <n v="45"/>
    <x v="5"/>
    <n v="0"/>
    <n v="0"/>
    <x v="1"/>
    <s v="111428"/>
    <n v="26.55"/>
    <n v="26.55"/>
    <e v="#N/A"/>
    <x v="3"/>
    <x v="0"/>
    <x v="0"/>
  </r>
  <r>
    <n v="189"/>
    <n v="0"/>
    <x v="0"/>
    <n v="3"/>
    <x v="0"/>
    <s v="Bourke, Mr. John"/>
    <s v="Mr."/>
    <x v="0"/>
    <n v="40"/>
    <x v="5"/>
    <n v="1"/>
    <n v="1"/>
    <x v="3"/>
    <s v="364849"/>
    <n v="15.5"/>
    <e v="#N/A"/>
    <n v="15.5"/>
    <x v="3"/>
    <x v="0"/>
    <x v="2"/>
  </r>
  <r>
    <n v="190"/>
    <n v="0"/>
    <x v="0"/>
    <n v="3"/>
    <x v="0"/>
    <s v="Turcin, Mr. Stjepan"/>
    <s v="Mr."/>
    <x v="0"/>
    <n v="36"/>
    <x v="1"/>
    <n v="0"/>
    <n v="0"/>
    <x v="1"/>
    <s v="349247"/>
    <n v="7.8958000000000004"/>
    <e v="#N/A"/>
    <n v="7.8958000000000004"/>
    <x v="0"/>
    <x v="0"/>
    <x v="0"/>
  </r>
  <r>
    <n v="191"/>
    <n v="1"/>
    <x v="1"/>
    <n v="2"/>
    <x v="2"/>
    <s v="Pinsky, Mrs. (Rosa)"/>
    <s v="Mrs."/>
    <x v="1"/>
    <n v="32"/>
    <x v="1"/>
    <n v="0"/>
    <n v="0"/>
    <x v="1"/>
    <s v="234604"/>
    <n v="13"/>
    <n v="13"/>
    <e v="#N/A"/>
    <x v="2"/>
    <x v="0"/>
    <x v="0"/>
  </r>
  <r>
    <n v="192"/>
    <n v="0"/>
    <x v="0"/>
    <n v="2"/>
    <x v="2"/>
    <s v="Carbines, Mr. William"/>
    <s v="Mr."/>
    <x v="0"/>
    <n v="19"/>
    <x v="4"/>
    <n v="0"/>
    <n v="0"/>
    <x v="1"/>
    <s v="28424"/>
    <n v="13"/>
    <e v="#N/A"/>
    <n v="13"/>
    <x v="2"/>
    <x v="0"/>
    <x v="0"/>
  </r>
  <r>
    <n v="193"/>
    <n v="1"/>
    <x v="1"/>
    <n v="3"/>
    <x v="0"/>
    <s v="Andersen-Jensen, Miss. Carla Christine Nielsine"/>
    <s v="Miss."/>
    <x v="1"/>
    <n v="19"/>
    <x v="4"/>
    <n v="1"/>
    <n v="0"/>
    <x v="0"/>
    <s v="350046"/>
    <n v="7.8541999999999996"/>
    <n v="7.8541999999999996"/>
    <e v="#N/A"/>
    <x v="0"/>
    <x v="0"/>
    <x v="0"/>
  </r>
  <r>
    <n v="194"/>
    <n v="1"/>
    <x v="1"/>
    <n v="2"/>
    <x v="2"/>
    <s v="Navratil, Master. Michel M"/>
    <s v="Master."/>
    <x v="0"/>
    <n v="3"/>
    <x v="3"/>
    <n v="1"/>
    <n v="1"/>
    <x v="3"/>
    <s v="230080"/>
    <n v="26"/>
    <n v="26"/>
    <e v="#N/A"/>
    <x v="3"/>
    <x v="27"/>
    <x v="0"/>
  </r>
  <r>
    <n v="195"/>
    <n v="1"/>
    <x v="1"/>
    <n v="1"/>
    <x v="1"/>
    <s v="Brown, Mrs. James Joseph (Margaret Tobin)"/>
    <s v="Mrs."/>
    <x v="1"/>
    <n v="44"/>
    <x v="5"/>
    <n v="0"/>
    <n v="0"/>
    <x v="1"/>
    <s v="PC 17610"/>
    <n v="27.720800000000001"/>
    <n v="27.720800000000001"/>
    <e v="#N/A"/>
    <x v="3"/>
    <x v="35"/>
    <x v="1"/>
  </r>
  <r>
    <n v="196"/>
    <n v="1"/>
    <x v="1"/>
    <n v="1"/>
    <x v="1"/>
    <s v="Lurette, Miss. Elise"/>
    <s v="Miss."/>
    <x v="1"/>
    <n v="58"/>
    <x v="2"/>
    <n v="0"/>
    <n v="0"/>
    <x v="1"/>
    <s v="PC 17569"/>
    <n v="146.52080000000001"/>
    <n v="146.52080000000001"/>
    <e v="#N/A"/>
    <x v="1"/>
    <x v="36"/>
    <x v="1"/>
  </r>
  <r>
    <n v="197"/>
    <n v="0"/>
    <x v="0"/>
    <n v="3"/>
    <x v="0"/>
    <s v="Mernagh, Mr. Robert"/>
    <s v="Mr."/>
    <x v="0"/>
    <n v="28"/>
    <x v="0"/>
    <n v="0"/>
    <n v="0"/>
    <x v="1"/>
    <s v="368703"/>
    <n v="7.75"/>
    <e v="#N/A"/>
    <n v="7.75"/>
    <x v="0"/>
    <x v="0"/>
    <x v="2"/>
  </r>
  <r>
    <n v="198"/>
    <n v="0"/>
    <x v="0"/>
    <n v="3"/>
    <x v="0"/>
    <s v="Olsen, Mr. Karl Siegwart Andreas"/>
    <s v="Mr."/>
    <x v="0"/>
    <n v="42"/>
    <x v="5"/>
    <n v="0"/>
    <n v="1"/>
    <x v="0"/>
    <s v="4579"/>
    <n v="8.4041999999999994"/>
    <e v="#N/A"/>
    <n v="8.4041999999999994"/>
    <x v="2"/>
    <x v="0"/>
    <x v="0"/>
  </r>
  <r>
    <n v="199"/>
    <n v="1"/>
    <x v="1"/>
    <n v="3"/>
    <x v="0"/>
    <s v="Madigan, Miss. Margaret &quot;Maggie&quot;"/>
    <s v="Miss."/>
    <x v="1"/>
    <n v="28"/>
    <x v="0"/>
    <n v="0"/>
    <n v="0"/>
    <x v="1"/>
    <s v="370370"/>
    <n v="7.75"/>
    <n v="7.75"/>
    <e v="#N/A"/>
    <x v="0"/>
    <x v="0"/>
    <x v="2"/>
  </r>
  <r>
    <n v="200"/>
    <n v="0"/>
    <x v="0"/>
    <n v="2"/>
    <x v="2"/>
    <s v="Yrois, Miss. Henriette (&quot;Mrs Harbeck&quot;)"/>
    <s v="Miss."/>
    <x v="1"/>
    <n v="24"/>
    <x v="0"/>
    <n v="0"/>
    <n v="0"/>
    <x v="1"/>
    <s v="248747"/>
    <n v="13"/>
    <e v="#N/A"/>
    <n v="13"/>
    <x v="2"/>
    <x v="0"/>
    <x v="0"/>
  </r>
  <r>
    <n v="201"/>
    <n v="0"/>
    <x v="0"/>
    <n v="3"/>
    <x v="0"/>
    <s v="Vande Walle, Mr. Nestor Cyriel"/>
    <s v="Mr."/>
    <x v="0"/>
    <n v="28"/>
    <x v="0"/>
    <n v="0"/>
    <n v="0"/>
    <x v="1"/>
    <s v="345770"/>
    <n v="9.5"/>
    <e v="#N/A"/>
    <n v="9.5"/>
    <x v="2"/>
    <x v="0"/>
    <x v="0"/>
  </r>
  <r>
    <n v="202"/>
    <n v="0"/>
    <x v="0"/>
    <n v="3"/>
    <x v="0"/>
    <s v="Sage, Mr. Frederick"/>
    <s v="Mr."/>
    <x v="0"/>
    <n v="28"/>
    <x v="0"/>
    <n v="8"/>
    <n v="2"/>
    <x v="8"/>
    <s v="CA. 2343"/>
    <n v="69.55"/>
    <e v="#N/A"/>
    <n v="69.55"/>
    <x v="1"/>
    <x v="0"/>
    <x v="0"/>
  </r>
  <r>
    <n v="203"/>
    <n v="0"/>
    <x v="0"/>
    <n v="3"/>
    <x v="0"/>
    <s v="Johanson, Mr. Jakob Alfred"/>
    <s v="Mr."/>
    <x v="0"/>
    <n v="34"/>
    <x v="1"/>
    <n v="0"/>
    <n v="0"/>
    <x v="1"/>
    <s v="3101264"/>
    <n v="6.4958"/>
    <e v="#N/A"/>
    <n v="6.4958"/>
    <x v="0"/>
    <x v="0"/>
    <x v="0"/>
  </r>
  <r>
    <n v="204"/>
    <n v="0"/>
    <x v="0"/>
    <n v="3"/>
    <x v="0"/>
    <s v="Youseff, Mr. Gerious"/>
    <s v="Mr."/>
    <x v="0"/>
    <n v="45.5"/>
    <x v="5"/>
    <n v="0"/>
    <n v="0"/>
    <x v="1"/>
    <s v="2628"/>
    <n v="7.2249999999999996"/>
    <e v="#N/A"/>
    <n v="7.2249999999999996"/>
    <x v="0"/>
    <x v="0"/>
    <x v="1"/>
  </r>
  <r>
    <n v="205"/>
    <n v="1"/>
    <x v="1"/>
    <n v="3"/>
    <x v="0"/>
    <s v="Cohen, Mr. Gurshon &quot;Gus&quot;"/>
    <s v="Mr."/>
    <x v="0"/>
    <n v="18"/>
    <x v="4"/>
    <n v="0"/>
    <n v="0"/>
    <x v="1"/>
    <s v="A/5 3540"/>
    <n v="8.0500000000000007"/>
    <n v="8.0500000000000007"/>
    <e v="#N/A"/>
    <x v="2"/>
    <x v="0"/>
    <x v="0"/>
  </r>
  <r>
    <n v="206"/>
    <n v="0"/>
    <x v="0"/>
    <n v="3"/>
    <x v="0"/>
    <s v="Strom, Miss. Telma Matilda"/>
    <s v="Miss."/>
    <x v="1"/>
    <n v="2"/>
    <x v="3"/>
    <n v="0"/>
    <n v="1"/>
    <x v="0"/>
    <s v="347054"/>
    <n v="10.4625"/>
    <e v="#N/A"/>
    <n v="10.4625"/>
    <x v="2"/>
    <x v="4"/>
    <x v="0"/>
  </r>
  <r>
    <n v="207"/>
    <n v="0"/>
    <x v="0"/>
    <n v="3"/>
    <x v="0"/>
    <s v="Backstrom, Mr. Karl Alfred"/>
    <s v="Mr."/>
    <x v="0"/>
    <n v="32"/>
    <x v="1"/>
    <n v="1"/>
    <n v="0"/>
    <x v="0"/>
    <s v="3101278"/>
    <n v="15.85"/>
    <e v="#N/A"/>
    <n v="15.85"/>
    <x v="3"/>
    <x v="0"/>
    <x v="0"/>
  </r>
  <r>
    <n v="208"/>
    <n v="1"/>
    <x v="1"/>
    <n v="3"/>
    <x v="0"/>
    <s v="Albimona, Mr. Nassef Cassem"/>
    <s v="Mr."/>
    <x v="0"/>
    <n v="26"/>
    <x v="0"/>
    <n v="0"/>
    <n v="0"/>
    <x v="1"/>
    <s v="2699"/>
    <n v="18.787500000000001"/>
    <n v="18.787500000000001"/>
    <e v="#N/A"/>
    <x v="3"/>
    <x v="0"/>
    <x v="1"/>
  </r>
  <r>
    <n v="209"/>
    <n v="1"/>
    <x v="1"/>
    <n v="3"/>
    <x v="0"/>
    <s v="Carr, Miss. Helen &quot;Ellen&quot;"/>
    <s v="Miss."/>
    <x v="1"/>
    <n v="16"/>
    <x v="4"/>
    <n v="0"/>
    <n v="0"/>
    <x v="1"/>
    <s v="367231"/>
    <n v="7.75"/>
    <n v="7.75"/>
    <e v="#N/A"/>
    <x v="0"/>
    <x v="0"/>
    <x v="2"/>
  </r>
  <r>
    <n v="210"/>
    <n v="1"/>
    <x v="1"/>
    <n v="1"/>
    <x v="1"/>
    <s v="Blank, Mr. Henry"/>
    <s v="Mr."/>
    <x v="0"/>
    <n v="40"/>
    <x v="5"/>
    <n v="0"/>
    <n v="0"/>
    <x v="1"/>
    <s v="112277"/>
    <n v="31"/>
    <n v="31"/>
    <e v="#N/A"/>
    <x v="1"/>
    <x v="37"/>
    <x v="1"/>
  </r>
  <r>
    <n v="211"/>
    <n v="0"/>
    <x v="0"/>
    <n v="3"/>
    <x v="0"/>
    <s v="Ali, Mr. Ahmed"/>
    <s v="Mr."/>
    <x v="0"/>
    <n v="24"/>
    <x v="0"/>
    <n v="0"/>
    <n v="0"/>
    <x v="1"/>
    <s v="SOTON/O.Q. 3101311"/>
    <n v="7.05"/>
    <e v="#N/A"/>
    <n v="7.05"/>
    <x v="0"/>
    <x v="0"/>
    <x v="0"/>
  </r>
  <r>
    <n v="212"/>
    <n v="1"/>
    <x v="1"/>
    <n v="2"/>
    <x v="2"/>
    <s v="Cameron, Miss. Clear Annie"/>
    <s v="Miss."/>
    <x v="1"/>
    <n v="35"/>
    <x v="1"/>
    <n v="0"/>
    <n v="0"/>
    <x v="1"/>
    <s v="F.C.C. 13528"/>
    <n v="21"/>
    <n v="21"/>
    <e v="#N/A"/>
    <x v="3"/>
    <x v="0"/>
    <x v="0"/>
  </r>
  <r>
    <n v="213"/>
    <n v="0"/>
    <x v="0"/>
    <n v="3"/>
    <x v="0"/>
    <s v="Perkin, Mr. John Henry"/>
    <s v="Mr."/>
    <x v="0"/>
    <n v="22"/>
    <x v="0"/>
    <n v="0"/>
    <n v="0"/>
    <x v="1"/>
    <s v="A/5 21174"/>
    <n v="7.25"/>
    <e v="#N/A"/>
    <n v="7.25"/>
    <x v="0"/>
    <x v="0"/>
    <x v="0"/>
  </r>
  <r>
    <n v="214"/>
    <n v="0"/>
    <x v="0"/>
    <n v="2"/>
    <x v="2"/>
    <s v="Givard, Mr. Hans Kristensen"/>
    <s v="Mr."/>
    <x v="0"/>
    <n v="30"/>
    <x v="1"/>
    <n v="0"/>
    <n v="0"/>
    <x v="1"/>
    <s v="250646"/>
    <n v="13"/>
    <e v="#N/A"/>
    <n v="13"/>
    <x v="2"/>
    <x v="0"/>
    <x v="0"/>
  </r>
  <r>
    <n v="215"/>
    <n v="0"/>
    <x v="0"/>
    <n v="3"/>
    <x v="0"/>
    <s v="Kiernan, Mr. Philip"/>
    <s v="Mr."/>
    <x v="0"/>
    <n v="28"/>
    <x v="0"/>
    <n v="1"/>
    <n v="0"/>
    <x v="0"/>
    <s v="367229"/>
    <n v="7.75"/>
    <e v="#N/A"/>
    <n v="7.75"/>
    <x v="0"/>
    <x v="0"/>
    <x v="2"/>
  </r>
  <r>
    <n v="216"/>
    <n v="1"/>
    <x v="1"/>
    <n v="1"/>
    <x v="1"/>
    <s v="Newell, Miss. Madeleine"/>
    <s v="Miss."/>
    <x v="1"/>
    <n v="31"/>
    <x v="1"/>
    <n v="1"/>
    <n v="0"/>
    <x v="0"/>
    <s v="35273"/>
    <n v="113.27500000000001"/>
    <n v="113.27500000000001"/>
    <e v="#N/A"/>
    <x v="1"/>
    <x v="38"/>
    <x v="1"/>
  </r>
  <r>
    <n v="217"/>
    <n v="1"/>
    <x v="1"/>
    <n v="3"/>
    <x v="0"/>
    <s v="Honkanen, Miss. Eliina"/>
    <s v="Miss."/>
    <x v="1"/>
    <n v="27"/>
    <x v="0"/>
    <n v="0"/>
    <n v="0"/>
    <x v="1"/>
    <s v="STON/O2. 3101283"/>
    <n v="7.9249999999999998"/>
    <n v="7.9249999999999998"/>
    <e v="#N/A"/>
    <x v="0"/>
    <x v="0"/>
    <x v="0"/>
  </r>
  <r>
    <n v="218"/>
    <n v="0"/>
    <x v="0"/>
    <n v="2"/>
    <x v="2"/>
    <s v="Jacobsohn, Mr. Sidney Samuel"/>
    <s v="Mr."/>
    <x v="0"/>
    <n v="42"/>
    <x v="5"/>
    <n v="1"/>
    <n v="0"/>
    <x v="0"/>
    <s v="243847"/>
    <n v="27"/>
    <e v="#N/A"/>
    <n v="27"/>
    <x v="3"/>
    <x v="0"/>
    <x v="0"/>
  </r>
  <r>
    <n v="219"/>
    <n v="1"/>
    <x v="1"/>
    <n v="1"/>
    <x v="1"/>
    <s v="Bazzani, Miss. Albina"/>
    <s v="Miss."/>
    <x v="1"/>
    <n v="32"/>
    <x v="1"/>
    <n v="0"/>
    <n v="0"/>
    <x v="1"/>
    <s v="11813"/>
    <n v="76.291700000000006"/>
    <n v="76.291700000000006"/>
    <e v="#N/A"/>
    <x v="1"/>
    <x v="39"/>
    <x v="1"/>
  </r>
  <r>
    <n v="220"/>
    <n v="0"/>
    <x v="0"/>
    <n v="2"/>
    <x v="2"/>
    <s v="Harris, Mr. Walter"/>
    <s v="Mr."/>
    <x v="0"/>
    <n v="30"/>
    <x v="1"/>
    <n v="0"/>
    <n v="0"/>
    <x v="1"/>
    <s v="W/C 14208"/>
    <n v="10.5"/>
    <e v="#N/A"/>
    <n v="10.5"/>
    <x v="2"/>
    <x v="0"/>
    <x v="0"/>
  </r>
  <r>
    <n v="221"/>
    <n v="1"/>
    <x v="1"/>
    <n v="3"/>
    <x v="0"/>
    <s v="Sunderland, Mr. Victor Francis"/>
    <s v="Mr."/>
    <x v="0"/>
    <n v="16"/>
    <x v="4"/>
    <n v="0"/>
    <n v="0"/>
    <x v="1"/>
    <s v="SOTON/OQ 392089"/>
    <n v="8.0500000000000007"/>
    <n v="8.0500000000000007"/>
    <e v="#N/A"/>
    <x v="2"/>
    <x v="0"/>
    <x v="0"/>
  </r>
  <r>
    <n v="222"/>
    <n v="0"/>
    <x v="0"/>
    <n v="2"/>
    <x v="2"/>
    <s v="Bracken, Mr. James H"/>
    <s v="Mr."/>
    <x v="0"/>
    <n v="27"/>
    <x v="0"/>
    <n v="0"/>
    <n v="0"/>
    <x v="1"/>
    <s v="220367"/>
    <n v="13"/>
    <e v="#N/A"/>
    <n v="13"/>
    <x v="2"/>
    <x v="0"/>
    <x v="0"/>
  </r>
  <r>
    <n v="223"/>
    <n v="0"/>
    <x v="0"/>
    <n v="3"/>
    <x v="0"/>
    <s v="Green, Mr. George Henry"/>
    <s v="Mr."/>
    <x v="0"/>
    <n v="51"/>
    <x v="2"/>
    <n v="0"/>
    <n v="0"/>
    <x v="1"/>
    <s v="21440"/>
    <n v="8.0500000000000007"/>
    <e v="#N/A"/>
    <n v="8.0500000000000007"/>
    <x v="2"/>
    <x v="0"/>
    <x v="0"/>
  </r>
  <r>
    <n v="224"/>
    <n v="0"/>
    <x v="0"/>
    <n v="3"/>
    <x v="0"/>
    <s v="Nenkoff, Mr. Christo"/>
    <s v="Mr."/>
    <x v="0"/>
    <n v="28"/>
    <x v="0"/>
    <n v="0"/>
    <n v="0"/>
    <x v="1"/>
    <s v="349234"/>
    <n v="7.8958000000000004"/>
    <e v="#N/A"/>
    <n v="7.8958000000000004"/>
    <x v="0"/>
    <x v="0"/>
    <x v="0"/>
  </r>
  <r>
    <n v="225"/>
    <n v="1"/>
    <x v="1"/>
    <n v="1"/>
    <x v="1"/>
    <s v="Hoyt, Mr. Frederick Maxfield"/>
    <s v="Mr."/>
    <x v="0"/>
    <n v="38"/>
    <x v="1"/>
    <n v="1"/>
    <n v="0"/>
    <x v="0"/>
    <s v="19943"/>
    <n v="90"/>
    <n v="90"/>
    <e v="#N/A"/>
    <x v="1"/>
    <x v="40"/>
    <x v="0"/>
  </r>
  <r>
    <n v="226"/>
    <n v="0"/>
    <x v="0"/>
    <n v="3"/>
    <x v="0"/>
    <s v="Berglund, Mr. Karl Ivar Sven"/>
    <s v="Mr."/>
    <x v="0"/>
    <n v="22"/>
    <x v="0"/>
    <n v="0"/>
    <n v="0"/>
    <x v="1"/>
    <s v="PP 4348"/>
    <n v="9.35"/>
    <e v="#N/A"/>
    <n v="9.35"/>
    <x v="2"/>
    <x v="0"/>
    <x v="0"/>
  </r>
  <r>
    <n v="227"/>
    <n v="1"/>
    <x v="1"/>
    <n v="2"/>
    <x v="2"/>
    <s v="Mellors, Mr. William John"/>
    <s v="Mr."/>
    <x v="0"/>
    <n v="19"/>
    <x v="4"/>
    <n v="0"/>
    <n v="0"/>
    <x v="1"/>
    <s v="SW/PP 751"/>
    <n v="10.5"/>
    <n v="10.5"/>
    <e v="#N/A"/>
    <x v="2"/>
    <x v="0"/>
    <x v="0"/>
  </r>
  <r>
    <n v="228"/>
    <n v="0"/>
    <x v="0"/>
    <n v="3"/>
    <x v="0"/>
    <s v="Lovell, Mr. John Hall (&quot;Henry&quot;)"/>
    <s v="Mr."/>
    <x v="0"/>
    <n v="20.5"/>
    <x v="0"/>
    <n v="0"/>
    <n v="0"/>
    <x v="1"/>
    <s v="A/5 21173"/>
    <n v="7.25"/>
    <e v="#N/A"/>
    <n v="7.25"/>
    <x v="0"/>
    <x v="0"/>
    <x v="0"/>
  </r>
  <r>
    <n v="229"/>
    <n v="0"/>
    <x v="0"/>
    <n v="2"/>
    <x v="2"/>
    <s v="Fahlstrom, Mr. Arne Jonas"/>
    <s v="Mr."/>
    <x v="0"/>
    <n v="18"/>
    <x v="4"/>
    <n v="0"/>
    <n v="0"/>
    <x v="1"/>
    <s v="236171"/>
    <n v="13"/>
    <e v="#N/A"/>
    <n v="13"/>
    <x v="2"/>
    <x v="0"/>
    <x v="0"/>
  </r>
  <r>
    <n v="230"/>
    <n v="0"/>
    <x v="0"/>
    <n v="3"/>
    <x v="0"/>
    <s v="Lefebre, Miss. Mathilde"/>
    <s v="Miss."/>
    <x v="1"/>
    <n v="28"/>
    <x v="0"/>
    <n v="3"/>
    <n v="1"/>
    <x v="2"/>
    <s v="4133"/>
    <n v="25.466699999999999"/>
    <e v="#N/A"/>
    <n v="25.466699999999999"/>
    <x v="3"/>
    <x v="0"/>
    <x v="0"/>
  </r>
  <r>
    <n v="231"/>
    <n v="1"/>
    <x v="1"/>
    <n v="1"/>
    <x v="1"/>
    <s v="Harris, Mrs. Henry Birkhardt (Irene Wallach)"/>
    <s v="Mrs."/>
    <x v="1"/>
    <n v="35"/>
    <x v="1"/>
    <n v="1"/>
    <n v="0"/>
    <x v="0"/>
    <s v="36973"/>
    <n v="83.474999999999994"/>
    <n v="83.474999999999994"/>
    <e v="#N/A"/>
    <x v="1"/>
    <x v="14"/>
    <x v="0"/>
  </r>
  <r>
    <n v="232"/>
    <n v="0"/>
    <x v="0"/>
    <n v="3"/>
    <x v="0"/>
    <s v="Larsson, Mr. Bengt Edvin"/>
    <s v="Mr."/>
    <x v="0"/>
    <n v="29"/>
    <x v="0"/>
    <n v="0"/>
    <n v="0"/>
    <x v="1"/>
    <s v="347067"/>
    <n v="7.7750000000000004"/>
    <e v="#N/A"/>
    <n v="7.7750000000000004"/>
    <x v="0"/>
    <x v="0"/>
    <x v="0"/>
  </r>
  <r>
    <n v="233"/>
    <n v="0"/>
    <x v="0"/>
    <n v="2"/>
    <x v="2"/>
    <s v="Sjostedt, Mr. Ernst Adolf"/>
    <s v="Mr."/>
    <x v="0"/>
    <n v="59"/>
    <x v="2"/>
    <n v="0"/>
    <n v="0"/>
    <x v="1"/>
    <s v="237442"/>
    <n v="13.5"/>
    <e v="#N/A"/>
    <n v="13.5"/>
    <x v="2"/>
    <x v="0"/>
    <x v="0"/>
  </r>
  <r>
    <n v="234"/>
    <n v="1"/>
    <x v="1"/>
    <n v="3"/>
    <x v="0"/>
    <s v="Asplund, Miss. Lillian Gertrud"/>
    <s v="Miss."/>
    <x v="1"/>
    <n v="5"/>
    <x v="3"/>
    <n v="4"/>
    <n v="2"/>
    <x v="4"/>
    <s v="347077"/>
    <n v="31.387499999999999"/>
    <n v="31.387499999999999"/>
    <e v="#N/A"/>
    <x v="1"/>
    <x v="0"/>
    <x v="0"/>
  </r>
  <r>
    <n v="235"/>
    <n v="0"/>
    <x v="0"/>
    <n v="2"/>
    <x v="2"/>
    <s v="Leyson, Mr. Robert William Norman"/>
    <s v="Mr."/>
    <x v="0"/>
    <n v="24"/>
    <x v="0"/>
    <n v="0"/>
    <n v="0"/>
    <x v="1"/>
    <s v="C.A. 29566"/>
    <n v="10.5"/>
    <e v="#N/A"/>
    <n v="10.5"/>
    <x v="2"/>
    <x v="0"/>
    <x v="0"/>
  </r>
  <r>
    <n v="236"/>
    <n v="0"/>
    <x v="0"/>
    <n v="3"/>
    <x v="0"/>
    <s v="Harknett, Miss. Alice Phoebe"/>
    <s v="Miss."/>
    <x v="1"/>
    <n v="28"/>
    <x v="0"/>
    <n v="0"/>
    <n v="0"/>
    <x v="1"/>
    <s v="W./C. 6609"/>
    <n v="7.55"/>
    <e v="#N/A"/>
    <n v="7.55"/>
    <x v="0"/>
    <x v="0"/>
    <x v="0"/>
  </r>
  <r>
    <n v="237"/>
    <n v="0"/>
    <x v="0"/>
    <n v="2"/>
    <x v="2"/>
    <s v="Hold, Mr. Stephen"/>
    <s v="Mr."/>
    <x v="0"/>
    <n v="44"/>
    <x v="5"/>
    <n v="1"/>
    <n v="0"/>
    <x v="0"/>
    <s v="26707"/>
    <n v="26"/>
    <e v="#N/A"/>
    <n v="26"/>
    <x v="3"/>
    <x v="0"/>
    <x v="0"/>
  </r>
  <r>
    <n v="238"/>
    <n v="1"/>
    <x v="1"/>
    <n v="2"/>
    <x v="2"/>
    <s v="Collyer, Miss. Marjorie &quot;Lottie&quot;"/>
    <s v="Miss."/>
    <x v="1"/>
    <n v="8"/>
    <x v="3"/>
    <n v="0"/>
    <n v="2"/>
    <x v="3"/>
    <s v="C.A. 31921"/>
    <n v="26.25"/>
    <n v="26.25"/>
    <e v="#N/A"/>
    <x v="3"/>
    <x v="0"/>
    <x v="0"/>
  </r>
  <r>
    <n v="239"/>
    <n v="0"/>
    <x v="0"/>
    <n v="2"/>
    <x v="2"/>
    <s v="Pengelly, Mr. Frederick William"/>
    <s v="Mr."/>
    <x v="0"/>
    <n v="19"/>
    <x v="4"/>
    <n v="0"/>
    <n v="0"/>
    <x v="1"/>
    <s v="28665"/>
    <n v="10.5"/>
    <e v="#N/A"/>
    <n v="10.5"/>
    <x v="2"/>
    <x v="0"/>
    <x v="0"/>
  </r>
  <r>
    <n v="240"/>
    <n v="0"/>
    <x v="0"/>
    <n v="2"/>
    <x v="2"/>
    <s v="Hunt, Mr. George Henry"/>
    <s v="Mr."/>
    <x v="0"/>
    <n v="33"/>
    <x v="1"/>
    <n v="0"/>
    <n v="0"/>
    <x v="1"/>
    <s v="SCO/W 1585"/>
    <n v="12.275"/>
    <e v="#N/A"/>
    <n v="12.275"/>
    <x v="2"/>
    <x v="0"/>
    <x v="0"/>
  </r>
  <r>
    <n v="241"/>
    <n v="0"/>
    <x v="0"/>
    <n v="3"/>
    <x v="0"/>
    <s v="Zabour, Miss. Thamine"/>
    <s v="Miss."/>
    <x v="1"/>
    <n v="28"/>
    <x v="0"/>
    <n v="1"/>
    <n v="0"/>
    <x v="0"/>
    <s v="2665"/>
    <n v="14.4542"/>
    <e v="#N/A"/>
    <n v="14.4542"/>
    <x v="2"/>
    <x v="0"/>
    <x v="1"/>
  </r>
  <r>
    <n v="242"/>
    <n v="1"/>
    <x v="1"/>
    <n v="3"/>
    <x v="0"/>
    <s v="Murphy, Miss. Katherine &quot;Kate&quot;"/>
    <s v="Miss."/>
    <x v="1"/>
    <n v="28"/>
    <x v="0"/>
    <n v="1"/>
    <n v="0"/>
    <x v="0"/>
    <s v="367230"/>
    <n v="15.5"/>
    <n v="15.5"/>
    <e v="#N/A"/>
    <x v="3"/>
    <x v="0"/>
    <x v="2"/>
  </r>
  <r>
    <n v="243"/>
    <n v="0"/>
    <x v="0"/>
    <n v="2"/>
    <x v="2"/>
    <s v="Coleridge, Mr. Reginald Charles"/>
    <s v="Mr."/>
    <x v="0"/>
    <n v="29"/>
    <x v="0"/>
    <n v="0"/>
    <n v="0"/>
    <x v="1"/>
    <s v="W./C. 14263"/>
    <n v="10.5"/>
    <e v="#N/A"/>
    <n v="10.5"/>
    <x v="2"/>
    <x v="0"/>
    <x v="0"/>
  </r>
  <r>
    <n v="244"/>
    <n v="0"/>
    <x v="0"/>
    <n v="3"/>
    <x v="0"/>
    <s v="Maenpaa, Mr. Matti Alexanteri"/>
    <s v="Mr."/>
    <x v="0"/>
    <n v="22"/>
    <x v="0"/>
    <n v="0"/>
    <n v="0"/>
    <x v="1"/>
    <s v="STON/O 2. 3101275"/>
    <n v="7.125"/>
    <e v="#N/A"/>
    <n v="7.125"/>
    <x v="0"/>
    <x v="0"/>
    <x v="0"/>
  </r>
  <r>
    <n v="245"/>
    <n v="0"/>
    <x v="0"/>
    <n v="3"/>
    <x v="0"/>
    <s v="Attalah, Mr. Sleiman"/>
    <s v="Mr."/>
    <x v="0"/>
    <n v="30"/>
    <x v="1"/>
    <n v="0"/>
    <n v="0"/>
    <x v="1"/>
    <s v="2694"/>
    <n v="7.2249999999999996"/>
    <e v="#N/A"/>
    <n v="7.2249999999999996"/>
    <x v="0"/>
    <x v="0"/>
    <x v="1"/>
  </r>
  <r>
    <n v="246"/>
    <n v="0"/>
    <x v="0"/>
    <n v="1"/>
    <x v="1"/>
    <s v="Minahan, Dr. William Edward"/>
    <s v="Dr."/>
    <x v="0"/>
    <n v="44"/>
    <x v="5"/>
    <n v="2"/>
    <n v="0"/>
    <x v="3"/>
    <s v="19928"/>
    <n v="90"/>
    <e v="#N/A"/>
    <n v="90"/>
    <x v="1"/>
    <x v="41"/>
    <x v="2"/>
  </r>
  <r>
    <n v="247"/>
    <n v="0"/>
    <x v="0"/>
    <n v="3"/>
    <x v="0"/>
    <s v="Lindahl, Miss. Agda Thorilda Viktoria"/>
    <s v="Miss."/>
    <x v="1"/>
    <n v="25"/>
    <x v="0"/>
    <n v="0"/>
    <n v="0"/>
    <x v="1"/>
    <s v="347071"/>
    <n v="7.7750000000000004"/>
    <e v="#N/A"/>
    <n v="7.7750000000000004"/>
    <x v="0"/>
    <x v="0"/>
    <x v="0"/>
  </r>
  <r>
    <n v="248"/>
    <n v="1"/>
    <x v="1"/>
    <n v="2"/>
    <x v="2"/>
    <s v="Hamalainen, Mrs. William (Anna)"/>
    <s v="Mrs."/>
    <x v="1"/>
    <n v="24"/>
    <x v="0"/>
    <n v="0"/>
    <n v="2"/>
    <x v="3"/>
    <s v="250649"/>
    <n v="14.5"/>
    <n v="14.5"/>
    <e v="#N/A"/>
    <x v="2"/>
    <x v="0"/>
    <x v="0"/>
  </r>
  <r>
    <n v="249"/>
    <n v="1"/>
    <x v="1"/>
    <n v="1"/>
    <x v="1"/>
    <s v="Beckwith, Mr. Richard Leonard"/>
    <s v="Mr."/>
    <x v="0"/>
    <n v="37"/>
    <x v="1"/>
    <n v="1"/>
    <n v="1"/>
    <x v="3"/>
    <s v="11751"/>
    <n v="52.554200000000002"/>
    <n v="52.554200000000002"/>
    <e v="#N/A"/>
    <x v="1"/>
    <x v="42"/>
    <x v="0"/>
  </r>
  <r>
    <n v="250"/>
    <n v="0"/>
    <x v="0"/>
    <n v="2"/>
    <x v="2"/>
    <s v="Carter, Rev. Ernest Courtenay"/>
    <s v="Rev."/>
    <x v="0"/>
    <n v="54"/>
    <x v="2"/>
    <n v="1"/>
    <n v="0"/>
    <x v="0"/>
    <s v="244252"/>
    <n v="26"/>
    <e v="#N/A"/>
    <n v="26"/>
    <x v="3"/>
    <x v="0"/>
    <x v="0"/>
  </r>
  <r>
    <n v="251"/>
    <n v="0"/>
    <x v="0"/>
    <n v="3"/>
    <x v="0"/>
    <s v="Reed, Mr. James George"/>
    <s v="Mr."/>
    <x v="0"/>
    <n v="28"/>
    <x v="0"/>
    <n v="0"/>
    <n v="0"/>
    <x v="1"/>
    <s v="362316"/>
    <n v="7.25"/>
    <e v="#N/A"/>
    <n v="7.25"/>
    <x v="0"/>
    <x v="0"/>
    <x v="0"/>
  </r>
  <r>
    <n v="252"/>
    <n v="0"/>
    <x v="0"/>
    <n v="3"/>
    <x v="0"/>
    <s v="Strom, Mrs. Wilhelm (Elna Matilda Persson)"/>
    <s v="Mrs."/>
    <x v="1"/>
    <n v="29"/>
    <x v="0"/>
    <n v="1"/>
    <n v="1"/>
    <x v="3"/>
    <s v="347054"/>
    <n v="10.4625"/>
    <e v="#N/A"/>
    <n v="10.4625"/>
    <x v="2"/>
    <x v="4"/>
    <x v="0"/>
  </r>
  <r>
    <n v="253"/>
    <n v="0"/>
    <x v="0"/>
    <n v="1"/>
    <x v="1"/>
    <s v="Stead, Mr. William Thomas"/>
    <s v="Mr."/>
    <x v="0"/>
    <n v="62"/>
    <x v="6"/>
    <n v="0"/>
    <n v="0"/>
    <x v="1"/>
    <s v="113514"/>
    <n v="26.55"/>
    <e v="#N/A"/>
    <n v="26.55"/>
    <x v="3"/>
    <x v="43"/>
    <x v="0"/>
  </r>
  <r>
    <n v="254"/>
    <n v="0"/>
    <x v="0"/>
    <n v="3"/>
    <x v="0"/>
    <s v="Lobb, Mr. William Arthur"/>
    <s v="Mr."/>
    <x v="0"/>
    <n v="30"/>
    <x v="1"/>
    <n v="1"/>
    <n v="0"/>
    <x v="0"/>
    <s v="A/5. 3336"/>
    <n v="16.100000000000001"/>
    <e v="#N/A"/>
    <n v="16.100000000000001"/>
    <x v="3"/>
    <x v="0"/>
    <x v="0"/>
  </r>
  <r>
    <n v="255"/>
    <n v="0"/>
    <x v="0"/>
    <n v="3"/>
    <x v="0"/>
    <s v="Rosblom, Mrs. Viktor (Helena Wilhelmina)"/>
    <s v="Mrs."/>
    <x v="1"/>
    <n v="41"/>
    <x v="5"/>
    <n v="0"/>
    <n v="2"/>
    <x v="3"/>
    <s v="370129"/>
    <n v="20.212499999999999"/>
    <e v="#N/A"/>
    <n v="20.212499999999999"/>
    <x v="3"/>
    <x v="0"/>
    <x v="0"/>
  </r>
  <r>
    <n v="256"/>
    <n v="1"/>
    <x v="1"/>
    <n v="3"/>
    <x v="0"/>
    <s v="Touma, Mrs. Darwis (Hanne Youssef Razi)"/>
    <s v="Mrs."/>
    <x v="1"/>
    <n v="29"/>
    <x v="0"/>
    <n v="0"/>
    <n v="2"/>
    <x v="3"/>
    <s v="2650"/>
    <n v="15.245799999999999"/>
    <n v="15.245799999999999"/>
    <e v="#N/A"/>
    <x v="3"/>
    <x v="0"/>
    <x v="1"/>
  </r>
  <r>
    <n v="257"/>
    <n v="1"/>
    <x v="1"/>
    <n v="1"/>
    <x v="1"/>
    <s v="Thorne, Mrs. Gertrude Maybelle"/>
    <s v="Mrs."/>
    <x v="1"/>
    <n v="28"/>
    <x v="0"/>
    <n v="0"/>
    <n v="0"/>
    <x v="1"/>
    <s v="PC 17585"/>
    <n v="79.2"/>
    <n v="79.2"/>
    <e v="#N/A"/>
    <x v="1"/>
    <x v="0"/>
    <x v="1"/>
  </r>
  <r>
    <n v="258"/>
    <n v="1"/>
    <x v="1"/>
    <n v="1"/>
    <x v="1"/>
    <s v="Cherry, Miss. Gladys"/>
    <s v="Miss."/>
    <x v="1"/>
    <n v="30"/>
    <x v="1"/>
    <n v="0"/>
    <n v="0"/>
    <x v="1"/>
    <s v="110152"/>
    <n v="86.5"/>
    <n v="86.5"/>
    <e v="#N/A"/>
    <x v="1"/>
    <x v="44"/>
    <x v="0"/>
  </r>
  <r>
    <n v="259"/>
    <n v="1"/>
    <x v="1"/>
    <n v="1"/>
    <x v="1"/>
    <s v="Ward, Miss. Anna"/>
    <s v="Miss."/>
    <x v="1"/>
    <n v="35"/>
    <x v="1"/>
    <n v="0"/>
    <n v="0"/>
    <x v="1"/>
    <s v="PC 17755"/>
    <n v="512.32920000000001"/>
    <n v="512.32920000000001"/>
    <e v="#N/A"/>
    <x v="1"/>
    <x v="0"/>
    <x v="1"/>
  </r>
  <r>
    <n v="260"/>
    <n v="1"/>
    <x v="1"/>
    <n v="2"/>
    <x v="2"/>
    <s v="Parrish, Mrs. (Lutie Davis)"/>
    <s v="Mrs."/>
    <x v="1"/>
    <n v="50"/>
    <x v="2"/>
    <n v="0"/>
    <n v="1"/>
    <x v="0"/>
    <s v="230433"/>
    <n v="26"/>
    <n v="26"/>
    <e v="#N/A"/>
    <x v="3"/>
    <x v="0"/>
    <x v="0"/>
  </r>
  <r>
    <n v="261"/>
    <n v="0"/>
    <x v="0"/>
    <n v="3"/>
    <x v="0"/>
    <s v="Smith, Mr. Thomas"/>
    <s v="Mr."/>
    <x v="0"/>
    <n v="28"/>
    <x v="0"/>
    <n v="0"/>
    <n v="0"/>
    <x v="1"/>
    <s v="384461"/>
    <n v="7.75"/>
    <e v="#N/A"/>
    <n v="7.75"/>
    <x v="0"/>
    <x v="0"/>
    <x v="2"/>
  </r>
  <r>
    <n v="262"/>
    <n v="1"/>
    <x v="1"/>
    <n v="3"/>
    <x v="0"/>
    <s v="Asplund, Master. Edvin Rojj Felix"/>
    <s v="Master."/>
    <x v="0"/>
    <n v="3"/>
    <x v="3"/>
    <n v="4"/>
    <n v="2"/>
    <x v="4"/>
    <s v="347077"/>
    <n v="31.387499999999999"/>
    <n v="31.387499999999999"/>
    <e v="#N/A"/>
    <x v="1"/>
    <x v="0"/>
    <x v="0"/>
  </r>
  <r>
    <n v="263"/>
    <n v="0"/>
    <x v="0"/>
    <n v="1"/>
    <x v="1"/>
    <s v="Taussig, Mr. Emil"/>
    <s v="Mr."/>
    <x v="0"/>
    <n v="52"/>
    <x v="2"/>
    <n v="1"/>
    <n v="1"/>
    <x v="3"/>
    <s v="110413"/>
    <n v="79.650000000000006"/>
    <e v="#N/A"/>
    <n v="79.650000000000006"/>
    <x v="1"/>
    <x v="45"/>
    <x v="0"/>
  </r>
  <r>
    <n v="264"/>
    <n v="0"/>
    <x v="0"/>
    <n v="1"/>
    <x v="1"/>
    <s v="Harrison, Mr. William"/>
    <s v="Mr."/>
    <x v="0"/>
    <n v="40"/>
    <x v="5"/>
    <n v="0"/>
    <n v="0"/>
    <x v="1"/>
    <s v="112059"/>
    <n v="0"/>
    <e v="#N/A"/>
    <n v="0"/>
    <x v="0"/>
    <x v="46"/>
    <x v="0"/>
  </r>
  <r>
    <n v="265"/>
    <n v="0"/>
    <x v="0"/>
    <n v="3"/>
    <x v="0"/>
    <s v="Henry, Miss. Delia"/>
    <s v="Miss."/>
    <x v="1"/>
    <n v="28"/>
    <x v="0"/>
    <n v="0"/>
    <n v="0"/>
    <x v="1"/>
    <s v="382649"/>
    <n v="7.75"/>
    <e v="#N/A"/>
    <n v="7.75"/>
    <x v="0"/>
    <x v="0"/>
    <x v="2"/>
  </r>
  <r>
    <n v="266"/>
    <n v="0"/>
    <x v="0"/>
    <n v="2"/>
    <x v="2"/>
    <s v="Reeves, Mr. David"/>
    <s v="Mr."/>
    <x v="0"/>
    <n v="36"/>
    <x v="1"/>
    <n v="0"/>
    <n v="0"/>
    <x v="1"/>
    <s v="C.A. 17248"/>
    <n v="10.5"/>
    <e v="#N/A"/>
    <n v="10.5"/>
    <x v="2"/>
    <x v="0"/>
    <x v="0"/>
  </r>
  <r>
    <n v="267"/>
    <n v="0"/>
    <x v="0"/>
    <n v="3"/>
    <x v="0"/>
    <s v="Panula, Mr. Ernesti Arvid"/>
    <s v="Mr."/>
    <x v="0"/>
    <n v="16"/>
    <x v="4"/>
    <n v="4"/>
    <n v="1"/>
    <x v="5"/>
    <s v="3101295"/>
    <n v="39.6875"/>
    <e v="#N/A"/>
    <n v="39.6875"/>
    <x v="1"/>
    <x v="0"/>
    <x v="0"/>
  </r>
  <r>
    <n v="268"/>
    <n v="1"/>
    <x v="1"/>
    <n v="3"/>
    <x v="0"/>
    <s v="Persson, Mr. Ernst Ulrik"/>
    <s v="Mr."/>
    <x v="0"/>
    <n v="25"/>
    <x v="0"/>
    <n v="1"/>
    <n v="0"/>
    <x v="0"/>
    <s v="347083"/>
    <n v="7.7750000000000004"/>
    <n v="7.7750000000000004"/>
    <e v="#N/A"/>
    <x v="0"/>
    <x v="0"/>
    <x v="0"/>
  </r>
  <r>
    <n v="269"/>
    <n v="1"/>
    <x v="1"/>
    <n v="1"/>
    <x v="1"/>
    <s v="Graham, Mrs. William Thompson (Edith Junkins)"/>
    <s v="Mrs."/>
    <x v="1"/>
    <n v="58"/>
    <x v="2"/>
    <n v="0"/>
    <n v="1"/>
    <x v="0"/>
    <s v="PC 17582"/>
    <n v="153.46250000000001"/>
    <n v="153.46250000000001"/>
    <e v="#N/A"/>
    <x v="1"/>
    <x v="47"/>
    <x v="0"/>
  </r>
  <r>
    <n v="270"/>
    <n v="1"/>
    <x v="1"/>
    <n v="1"/>
    <x v="1"/>
    <s v="Bissette, Miss. Amelia"/>
    <s v="Miss."/>
    <x v="1"/>
    <n v="35"/>
    <x v="1"/>
    <n v="0"/>
    <n v="0"/>
    <x v="1"/>
    <s v="PC 17760"/>
    <n v="135.63329999999999"/>
    <n v="135.63329999999999"/>
    <e v="#N/A"/>
    <x v="1"/>
    <x v="48"/>
    <x v="0"/>
  </r>
  <r>
    <n v="271"/>
    <n v="0"/>
    <x v="0"/>
    <n v="1"/>
    <x v="1"/>
    <s v="Cairns, Mr. Alexander"/>
    <s v="Mr."/>
    <x v="0"/>
    <n v="28"/>
    <x v="0"/>
    <n v="0"/>
    <n v="0"/>
    <x v="1"/>
    <s v="113798"/>
    <n v="31"/>
    <e v="#N/A"/>
    <n v="31"/>
    <x v="1"/>
    <x v="0"/>
    <x v="0"/>
  </r>
  <r>
    <n v="272"/>
    <n v="1"/>
    <x v="1"/>
    <n v="3"/>
    <x v="0"/>
    <s v="Tornquist, Mr. William Henry"/>
    <s v="Mr."/>
    <x v="0"/>
    <n v="25"/>
    <x v="0"/>
    <n v="0"/>
    <n v="0"/>
    <x v="1"/>
    <s v="LINE"/>
    <n v="0"/>
    <n v="0"/>
    <e v="#N/A"/>
    <x v="0"/>
    <x v="0"/>
    <x v="0"/>
  </r>
  <r>
    <n v="273"/>
    <n v="1"/>
    <x v="1"/>
    <n v="2"/>
    <x v="2"/>
    <s v="Mellinger, Mrs. (Elizabeth Anne Maidment)"/>
    <s v="Mrs."/>
    <x v="1"/>
    <n v="41"/>
    <x v="5"/>
    <n v="0"/>
    <n v="1"/>
    <x v="0"/>
    <s v="250644"/>
    <n v="19.5"/>
    <n v="19.5"/>
    <e v="#N/A"/>
    <x v="3"/>
    <x v="0"/>
    <x v="0"/>
  </r>
  <r>
    <n v="274"/>
    <n v="0"/>
    <x v="0"/>
    <n v="1"/>
    <x v="1"/>
    <s v="Natsch, Mr. Charles H"/>
    <s v="Mr."/>
    <x v="0"/>
    <n v="37"/>
    <x v="1"/>
    <n v="0"/>
    <n v="1"/>
    <x v="0"/>
    <s v="PC 17596"/>
    <n v="29.7"/>
    <e v="#N/A"/>
    <n v="29.7"/>
    <x v="3"/>
    <x v="49"/>
    <x v="1"/>
  </r>
  <r>
    <n v="275"/>
    <n v="1"/>
    <x v="1"/>
    <n v="3"/>
    <x v="0"/>
    <s v="Healy, Miss. Hanora &quot;Nora&quot;"/>
    <s v="Miss."/>
    <x v="1"/>
    <n v="28"/>
    <x v="0"/>
    <n v="0"/>
    <n v="0"/>
    <x v="1"/>
    <s v="370375"/>
    <n v="7.75"/>
    <n v="7.75"/>
    <e v="#N/A"/>
    <x v="0"/>
    <x v="0"/>
    <x v="2"/>
  </r>
  <r>
    <n v="276"/>
    <n v="1"/>
    <x v="1"/>
    <n v="1"/>
    <x v="1"/>
    <s v="Andrews, Miss. Kornelia Theodosia"/>
    <s v="Miss."/>
    <x v="1"/>
    <n v="63"/>
    <x v="6"/>
    <n v="1"/>
    <n v="0"/>
    <x v="0"/>
    <s v="13502"/>
    <n v="77.958299999999994"/>
    <n v="77.958299999999994"/>
    <e v="#N/A"/>
    <x v="1"/>
    <x v="50"/>
    <x v="0"/>
  </r>
  <r>
    <n v="277"/>
    <n v="0"/>
    <x v="0"/>
    <n v="3"/>
    <x v="0"/>
    <s v="Lindblom, Miss. Augusta Charlotta"/>
    <s v="Miss."/>
    <x v="1"/>
    <n v="45"/>
    <x v="5"/>
    <n v="0"/>
    <n v="0"/>
    <x v="1"/>
    <s v="347073"/>
    <n v="7.75"/>
    <e v="#N/A"/>
    <n v="7.75"/>
    <x v="0"/>
    <x v="0"/>
    <x v="0"/>
  </r>
  <r>
    <n v="278"/>
    <n v="0"/>
    <x v="0"/>
    <n v="2"/>
    <x v="2"/>
    <s v="Parkes, Mr. Francis &quot;Frank&quot;"/>
    <s v="Mr."/>
    <x v="0"/>
    <n v="28"/>
    <x v="0"/>
    <n v="0"/>
    <n v="0"/>
    <x v="1"/>
    <s v="239853"/>
    <n v="0"/>
    <e v="#N/A"/>
    <n v="0"/>
    <x v="0"/>
    <x v="0"/>
    <x v="0"/>
  </r>
  <r>
    <n v="279"/>
    <n v="0"/>
    <x v="0"/>
    <n v="3"/>
    <x v="0"/>
    <s v="Rice, Master. Eric"/>
    <s v="Master."/>
    <x v="0"/>
    <n v="7"/>
    <x v="3"/>
    <n v="4"/>
    <n v="1"/>
    <x v="5"/>
    <s v="382652"/>
    <n v="29.125"/>
    <e v="#N/A"/>
    <n v="29.125"/>
    <x v="3"/>
    <x v="0"/>
    <x v="2"/>
  </r>
  <r>
    <n v="280"/>
    <n v="1"/>
    <x v="1"/>
    <n v="3"/>
    <x v="0"/>
    <s v="Abbott, Mrs. Stanton (Rosa Hunt)"/>
    <s v="Mrs."/>
    <x v="1"/>
    <n v="35"/>
    <x v="1"/>
    <n v="1"/>
    <n v="1"/>
    <x v="3"/>
    <s v="C.A. 2673"/>
    <n v="20.25"/>
    <n v="20.25"/>
    <e v="#N/A"/>
    <x v="3"/>
    <x v="0"/>
    <x v="0"/>
  </r>
  <r>
    <n v="281"/>
    <n v="0"/>
    <x v="0"/>
    <n v="3"/>
    <x v="0"/>
    <s v="Duane, Mr. Frank"/>
    <s v="Mr."/>
    <x v="0"/>
    <n v="65"/>
    <x v="6"/>
    <n v="0"/>
    <n v="0"/>
    <x v="1"/>
    <s v="336439"/>
    <n v="7.75"/>
    <e v="#N/A"/>
    <n v="7.75"/>
    <x v="0"/>
    <x v="0"/>
    <x v="2"/>
  </r>
  <r>
    <n v="282"/>
    <n v="0"/>
    <x v="0"/>
    <n v="3"/>
    <x v="0"/>
    <s v="Olsson, Mr. Nils Johan Goransson"/>
    <s v="Mr."/>
    <x v="0"/>
    <n v="28"/>
    <x v="0"/>
    <n v="0"/>
    <n v="0"/>
    <x v="1"/>
    <s v="347464"/>
    <n v="7.8541999999999996"/>
    <e v="#N/A"/>
    <n v="7.8541999999999996"/>
    <x v="0"/>
    <x v="0"/>
    <x v="0"/>
  </r>
  <r>
    <n v="283"/>
    <n v="0"/>
    <x v="0"/>
    <n v="3"/>
    <x v="0"/>
    <s v="de Pelsmaeker, Mr. Alfons"/>
    <s v="Mr."/>
    <x v="0"/>
    <n v="16"/>
    <x v="4"/>
    <n v="0"/>
    <n v="0"/>
    <x v="1"/>
    <s v="345778"/>
    <n v="9.5"/>
    <e v="#N/A"/>
    <n v="9.5"/>
    <x v="2"/>
    <x v="0"/>
    <x v="0"/>
  </r>
  <r>
    <n v="284"/>
    <n v="1"/>
    <x v="1"/>
    <n v="3"/>
    <x v="0"/>
    <s v="Dorking, Mr. Edward Arthur"/>
    <s v="Mr."/>
    <x v="0"/>
    <n v="19"/>
    <x v="4"/>
    <n v="0"/>
    <n v="0"/>
    <x v="1"/>
    <s v="A/5. 10482"/>
    <n v="8.0500000000000007"/>
    <n v="8.0500000000000007"/>
    <e v="#N/A"/>
    <x v="2"/>
    <x v="0"/>
    <x v="0"/>
  </r>
  <r>
    <n v="285"/>
    <n v="0"/>
    <x v="0"/>
    <n v="1"/>
    <x v="1"/>
    <s v="Smith, Mr. Richard William"/>
    <s v="Mr."/>
    <x v="0"/>
    <n v="28"/>
    <x v="0"/>
    <n v="0"/>
    <n v="0"/>
    <x v="1"/>
    <s v="113056"/>
    <n v="26"/>
    <e v="#N/A"/>
    <n v="26"/>
    <x v="3"/>
    <x v="51"/>
    <x v="0"/>
  </r>
  <r>
    <n v="286"/>
    <n v="0"/>
    <x v="0"/>
    <n v="3"/>
    <x v="0"/>
    <s v="Stankovic, Mr. Ivan"/>
    <s v="Mr."/>
    <x v="0"/>
    <n v="33"/>
    <x v="1"/>
    <n v="0"/>
    <n v="0"/>
    <x v="1"/>
    <s v="349239"/>
    <n v="8.6624999999999996"/>
    <e v="#N/A"/>
    <n v="8.6624999999999996"/>
    <x v="2"/>
    <x v="0"/>
    <x v="1"/>
  </r>
  <r>
    <n v="287"/>
    <n v="1"/>
    <x v="1"/>
    <n v="3"/>
    <x v="0"/>
    <s v="de Mulder, Mr. Theodore"/>
    <s v="Mr."/>
    <x v="0"/>
    <n v="30"/>
    <x v="1"/>
    <n v="0"/>
    <n v="0"/>
    <x v="1"/>
    <s v="345774"/>
    <n v="9.5"/>
    <n v="9.5"/>
    <e v="#N/A"/>
    <x v="2"/>
    <x v="0"/>
    <x v="0"/>
  </r>
  <r>
    <n v="288"/>
    <n v="0"/>
    <x v="0"/>
    <n v="3"/>
    <x v="0"/>
    <s v="Naidenoff, Mr. Penko"/>
    <s v="Mr."/>
    <x v="0"/>
    <n v="22"/>
    <x v="0"/>
    <n v="0"/>
    <n v="0"/>
    <x v="1"/>
    <s v="349206"/>
    <n v="7.8958000000000004"/>
    <e v="#N/A"/>
    <n v="7.8958000000000004"/>
    <x v="0"/>
    <x v="0"/>
    <x v="0"/>
  </r>
  <r>
    <n v="289"/>
    <n v="1"/>
    <x v="1"/>
    <n v="2"/>
    <x v="2"/>
    <s v="Hosono, Mr. Masabumi"/>
    <s v="Mr."/>
    <x v="0"/>
    <n v="42"/>
    <x v="5"/>
    <n v="0"/>
    <n v="0"/>
    <x v="1"/>
    <s v="237798"/>
    <n v="13"/>
    <n v="13"/>
    <e v="#N/A"/>
    <x v="2"/>
    <x v="0"/>
    <x v="0"/>
  </r>
  <r>
    <n v="290"/>
    <n v="1"/>
    <x v="1"/>
    <n v="3"/>
    <x v="0"/>
    <s v="Connolly, Miss. Kate"/>
    <s v="Miss."/>
    <x v="1"/>
    <n v="22"/>
    <x v="0"/>
    <n v="0"/>
    <n v="0"/>
    <x v="1"/>
    <s v="370373"/>
    <n v="7.75"/>
    <n v="7.75"/>
    <e v="#N/A"/>
    <x v="0"/>
    <x v="0"/>
    <x v="2"/>
  </r>
  <r>
    <n v="291"/>
    <n v="1"/>
    <x v="1"/>
    <n v="1"/>
    <x v="1"/>
    <s v="Barber, Miss. Ellen &quot;Nellie&quot;"/>
    <s v="Miss."/>
    <x v="1"/>
    <n v="26"/>
    <x v="0"/>
    <n v="0"/>
    <n v="0"/>
    <x v="1"/>
    <s v="19877"/>
    <n v="78.849999999999994"/>
    <n v="78.849999999999994"/>
    <e v="#N/A"/>
    <x v="1"/>
    <x v="0"/>
    <x v="0"/>
  </r>
  <r>
    <n v="292"/>
    <n v="1"/>
    <x v="1"/>
    <n v="1"/>
    <x v="1"/>
    <s v="Bishop, Mrs. Dickinson H (Helen Walton)"/>
    <s v="Mrs."/>
    <x v="1"/>
    <n v="19"/>
    <x v="4"/>
    <n v="1"/>
    <n v="0"/>
    <x v="0"/>
    <s v="11967"/>
    <n v="91.0792"/>
    <n v="91.0792"/>
    <e v="#N/A"/>
    <x v="1"/>
    <x v="52"/>
    <x v="1"/>
  </r>
  <r>
    <n v="293"/>
    <n v="0"/>
    <x v="0"/>
    <n v="2"/>
    <x v="2"/>
    <s v="Levy, Mr. Rene Jacques"/>
    <s v="Mr."/>
    <x v="0"/>
    <n v="36"/>
    <x v="1"/>
    <n v="0"/>
    <n v="0"/>
    <x v="1"/>
    <s v="SC/Paris 2163"/>
    <n v="12.875"/>
    <e v="#N/A"/>
    <n v="12.875"/>
    <x v="2"/>
    <x v="53"/>
    <x v="1"/>
  </r>
  <r>
    <n v="294"/>
    <n v="0"/>
    <x v="0"/>
    <n v="3"/>
    <x v="0"/>
    <s v="Haas, Miss. Aloisia"/>
    <s v="Miss."/>
    <x v="1"/>
    <n v="24"/>
    <x v="0"/>
    <n v="0"/>
    <n v="0"/>
    <x v="1"/>
    <s v="349236"/>
    <n v="8.85"/>
    <e v="#N/A"/>
    <n v="8.85"/>
    <x v="2"/>
    <x v="0"/>
    <x v="0"/>
  </r>
  <r>
    <n v="295"/>
    <n v="0"/>
    <x v="0"/>
    <n v="3"/>
    <x v="0"/>
    <s v="Mineff, Mr. Ivan"/>
    <s v="Mr."/>
    <x v="0"/>
    <n v="24"/>
    <x v="0"/>
    <n v="0"/>
    <n v="0"/>
    <x v="1"/>
    <s v="349233"/>
    <n v="7.8958000000000004"/>
    <e v="#N/A"/>
    <n v="7.8958000000000004"/>
    <x v="0"/>
    <x v="0"/>
    <x v="0"/>
  </r>
  <r>
    <n v="296"/>
    <n v="0"/>
    <x v="0"/>
    <n v="1"/>
    <x v="1"/>
    <s v="Lewy, Mr. Ervin G"/>
    <s v="Mr."/>
    <x v="0"/>
    <n v="28"/>
    <x v="0"/>
    <n v="0"/>
    <n v="0"/>
    <x v="1"/>
    <s v="PC 17612"/>
    <n v="27.720800000000001"/>
    <e v="#N/A"/>
    <n v="27.720800000000001"/>
    <x v="3"/>
    <x v="0"/>
    <x v="1"/>
  </r>
  <r>
    <n v="297"/>
    <n v="0"/>
    <x v="0"/>
    <n v="3"/>
    <x v="0"/>
    <s v="Hanna, Mr. Mansour"/>
    <s v="Mr."/>
    <x v="0"/>
    <n v="23.5"/>
    <x v="0"/>
    <n v="0"/>
    <n v="0"/>
    <x v="1"/>
    <s v="2693"/>
    <n v="7.2291999999999996"/>
    <e v="#N/A"/>
    <n v="7.2291999999999996"/>
    <x v="0"/>
    <x v="0"/>
    <x v="1"/>
  </r>
  <r>
    <n v="298"/>
    <n v="0"/>
    <x v="0"/>
    <n v="1"/>
    <x v="1"/>
    <s v="Allison, Miss. Helen Loraine"/>
    <s v="Miss."/>
    <x v="1"/>
    <n v="2"/>
    <x v="3"/>
    <n v="1"/>
    <n v="2"/>
    <x v="6"/>
    <s v="113781"/>
    <n v="151.55000000000001"/>
    <e v="#N/A"/>
    <n v="151.55000000000001"/>
    <x v="1"/>
    <x v="54"/>
    <x v="0"/>
  </r>
  <r>
    <n v="299"/>
    <n v="1"/>
    <x v="1"/>
    <n v="1"/>
    <x v="1"/>
    <s v="Saalfeld, Mr. Adolphe"/>
    <s v="Mr."/>
    <x v="0"/>
    <n v="28"/>
    <x v="0"/>
    <n v="0"/>
    <n v="0"/>
    <x v="1"/>
    <s v="19988"/>
    <n v="30.5"/>
    <n v="30.5"/>
    <e v="#N/A"/>
    <x v="1"/>
    <x v="55"/>
    <x v="0"/>
  </r>
  <r>
    <n v="300"/>
    <n v="1"/>
    <x v="1"/>
    <n v="1"/>
    <x v="1"/>
    <s v="Baxter, Mrs. James (Helene DeLaudeniere Chaput)"/>
    <s v="Mrs."/>
    <x v="1"/>
    <n v="50"/>
    <x v="2"/>
    <n v="0"/>
    <n v="1"/>
    <x v="0"/>
    <s v="PC 17558"/>
    <n v="247.52080000000001"/>
    <n v="247.52080000000001"/>
    <e v="#N/A"/>
    <x v="1"/>
    <x v="22"/>
    <x v="1"/>
  </r>
  <r>
    <n v="301"/>
    <n v="1"/>
    <x v="1"/>
    <n v="3"/>
    <x v="0"/>
    <s v="Kelly, Miss. Anna Katherine &quot;Annie Kate&quot;"/>
    <s v="Miss."/>
    <x v="1"/>
    <n v="28"/>
    <x v="0"/>
    <n v="0"/>
    <n v="0"/>
    <x v="1"/>
    <s v="9234"/>
    <n v="7.75"/>
    <n v="7.75"/>
    <e v="#N/A"/>
    <x v="0"/>
    <x v="0"/>
    <x v="2"/>
  </r>
  <r>
    <n v="302"/>
    <n v="1"/>
    <x v="1"/>
    <n v="3"/>
    <x v="0"/>
    <s v="McCoy, Mr. Bernard"/>
    <s v="Mr."/>
    <x v="0"/>
    <n v="28"/>
    <x v="0"/>
    <n v="2"/>
    <n v="0"/>
    <x v="3"/>
    <s v="367226"/>
    <n v="23.25"/>
    <n v="23.25"/>
    <e v="#N/A"/>
    <x v="3"/>
    <x v="0"/>
    <x v="2"/>
  </r>
  <r>
    <n v="303"/>
    <n v="0"/>
    <x v="0"/>
    <n v="3"/>
    <x v="0"/>
    <s v="Johnson, Mr. William Cahoone Jr"/>
    <s v="Mr."/>
    <x v="0"/>
    <n v="19"/>
    <x v="4"/>
    <n v="0"/>
    <n v="0"/>
    <x v="1"/>
    <s v="LINE"/>
    <n v="0"/>
    <e v="#N/A"/>
    <n v="0"/>
    <x v="0"/>
    <x v="0"/>
    <x v="0"/>
  </r>
  <r>
    <n v="304"/>
    <n v="1"/>
    <x v="1"/>
    <n v="2"/>
    <x v="2"/>
    <s v="Keane, Miss. Nora A"/>
    <s v="Miss."/>
    <x v="1"/>
    <n v="28"/>
    <x v="0"/>
    <n v="0"/>
    <n v="0"/>
    <x v="1"/>
    <s v="226593"/>
    <n v="12.35"/>
    <n v="12.35"/>
    <e v="#N/A"/>
    <x v="2"/>
    <x v="23"/>
    <x v="2"/>
  </r>
  <r>
    <n v="305"/>
    <n v="0"/>
    <x v="0"/>
    <n v="3"/>
    <x v="0"/>
    <s v="Williams, Mr. Howard Hugh &quot;Harry&quot;"/>
    <s v="Mr."/>
    <x v="0"/>
    <n v="28"/>
    <x v="0"/>
    <n v="0"/>
    <n v="0"/>
    <x v="1"/>
    <s v="A/5 2466"/>
    <n v="8.0500000000000007"/>
    <e v="#N/A"/>
    <n v="8.0500000000000007"/>
    <x v="2"/>
    <x v="0"/>
    <x v="0"/>
  </r>
  <r>
    <n v="306"/>
    <n v="1"/>
    <x v="1"/>
    <n v="1"/>
    <x v="1"/>
    <s v="Allison, Master. Hudson Trevor"/>
    <s v="Master."/>
    <x v="0"/>
    <n v="0.92"/>
    <x v="3"/>
    <n v="1"/>
    <n v="2"/>
    <x v="6"/>
    <s v="113781"/>
    <n v="151.55000000000001"/>
    <n v="151.55000000000001"/>
    <e v="#N/A"/>
    <x v="1"/>
    <x v="54"/>
    <x v="0"/>
  </r>
  <r>
    <n v="307"/>
    <n v="1"/>
    <x v="1"/>
    <n v="1"/>
    <x v="1"/>
    <s v="Fleming, Miss. Margaret"/>
    <s v="Miss."/>
    <x v="1"/>
    <n v="28"/>
    <x v="0"/>
    <n v="0"/>
    <n v="0"/>
    <x v="1"/>
    <s v="17421"/>
    <n v="110.88330000000001"/>
    <n v="110.88330000000001"/>
    <e v="#N/A"/>
    <x v="1"/>
    <x v="0"/>
    <x v="1"/>
  </r>
  <r>
    <n v="308"/>
    <n v="1"/>
    <x v="1"/>
    <n v="1"/>
    <x v="1"/>
    <s v="Penasco y Castellana, Mrs. Victor de Satode (Maria Josefa Perez de Soto y Vallejo)"/>
    <s v="Mrs."/>
    <x v="1"/>
    <n v="17"/>
    <x v="4"/>
    <n v="1"/>
    <n v="0"/>
    <x v="0"/>
    <s v="PC 17758"/>
    <n v="108.9"/>
    <n v="108.9"/>
    <e v="#N/A"/>
    <x v="1"/>
    <x v="56"/>
    <x v="1"/>
  </r>
  <r>
    <n v="309"/>
    <n v="0"/>
    <x v="0"/>
    <n v="2"/>
    <x v="2"/>
    <s v="Abelson, Mr. Samuel"/>
    <s v="Mr."/>
    <x v="0"/>
    <n v="30"/>
    <x v="1"/>
    <n v="1"/>
    <n v="0"/>
    <x v="0"/>
    <s v="P/PP 3381"/>
    <n v="24"/>
    <e v="#N/A"/>
    <n v="24"/>
    <x v="3"/>
    <x v="0"/>
    <x v="1"/>
  </r>
  <r>
    <n v="310"/>
    <n v="1"/>
    <x v="1"/>
    <n v="1"/>
    <x v="1"/>
    <s v="Francatelli, Miss. Laura Mabel"/>
    <s v="Miss."/>
    <x v="1"/>
    <n v="30"/>
    <x v="1"/>
    <n v="0"/>
    <n v="0"/>
    <x v="1"/>
    <s v="PC 17485"/>
    <n v="56.929200000000002"/>
    <n v="56.929200000000002"/>
    <e v="#N/A"/>
    <x v="1"/>
    <x v="57"/>
    <x v="1"/>
  </r>
  <r>
    <n v="311"/>
    <n v="1"/>
    <x v="1"/>
    <n v="1"/>
    <x v="1"/>
    <s v="Hays, Miss. Margaret Bechstein"/>
    <s v="Miss."/>
    <x v="1"/>
    <n v="24"/>
    <x v="0"/>
    <n v="0"/>
    <n v="0"/>
    <x v="1"/>
    <s v="11767"/>
    <n v="83.158299999999997"/>
    <n v="83.158299999999997"/>
    <e v="#N/A"/>
    <x v="1"/>
    <x v="58"/>
    <x v="1"/>
  </r>
  <r>
    <n v="312"/>
    <n v="1"/>
    <x v="1"/>
    <n v="1"/>
    <x v="1"/>
    <s v="Ryerson, Miss. Emily Borie"/>
    <s v="Miss."/>
    <x v="1"/>
    <n v="18"/>
    <x v="4"/>
    <n v="2"/>
    <n v="2"/>
    <x v="2"/>
    <s v="PC 17608"/>
    <n v="262.375"/>
    <n v="262.375"/>
    <e v="#N/A"/>
    <x v="1"/>
    <x v="59"/>
    <x v="1"/>
  </r>
  <r>
    <n v="313"/>
    <n v="0"/>
    <x v="0"/>
    <n v="2"/>
    <x v="2"/>
    <s v="Lahtinen, Mrs. William (Anna Sylfven)"/>
    <s v="Mrs."/>
    <x v="1"/>
    <n v="26"/>
    <x v="0"/>
    <n v="1"/>
    <n v="1"/>
    <x v="3"/>
    <s v="250651"/>
    <n v="26"/>
    <e v="#N/A"/>
    <n v="26"/>
    <x v="3"/>
    <x v="0"/>
    <x v="0"/>
  </r>
  <r>
    <n v="314"/>
    <n v="0"/>
    <x v="0"/>
    <n v="3"/>
    <x v="0"/>
    <s v="Hendekovic, Mr. Ignjac"/>
    <s v="Mr."/>
    <x v="0"/>
    <n v="28"/>
    <x v="0"/>
    <n v="0"/>
    <n v="0"/>
    <x v="1"/>
    <s v="349243"/>
    <n v="7.8958000000000004"/>
    <e v="#N/A"/>
    <n v="7.8958000000000004"/>
    <x v="0"/>
    <x v="0"/>
    <x v="0"/>
  </r>
  <r>
    <n v="315"/>
    <n v="0"/>
    <x v="0"/>
    <n v="2"/>
    <x v="2"/>
    <s v="Hart, Mr. Benjamin"/>
    <s v="Mr."/>
    <x v="0"/>
    <n v="43"/>
    <x v="5"/>
    <n v="1"/>
    <n v="1"/>
    <x v="3"/>
    <s v="F.C.C. 13529"/>
    <n v="26.25"/>
    <e v="#N/A"/>
    <n v="26.25"/>
    <x v="3"/>
    <x v="0"/>
    <x v="0"/>
  </r>
  <r>
    <n v="316"/>
    <n v="1"/>
    <x v="1"/>
    <n v="3"/>
    <x v="0"/>
    <s v="Nilsson, Miss. Helmina Josefina"/>
    <s v="Miss."/>
    <x v="1"/>
    <n v="26"/>
    <x v="0"/>
    <n v="0"/>
    <n v="0"/>
    <x v="1"/>
    <s v="347470"/>
    <n v="7.8541999999999996"/>
    <n v="7.8541999999999996"/>
    <e v="#N/A"/>
    <x v="0"/>
    <x v="0"/>
    <x v="0"/>
  </r>
  <r>
    <n v="317"/>
    <n v="1"/>
    <x v="1"/>
    <n v="2"/>
    <x v="2"/>
    <s v="Kantor, Mrs. Sinai (Miriam Sternin)"/>
    <s v="Mrs."/>
    <x v="1"/>
    <n v="24"/>
    <x v="0"/>
    <n v="1"/>
    <n v="0"/>
    <x v="0"/>
    <s v="244367"/>
    <n v="26"/>
    <n v="26"/>
    <e v="#N/A"/>
    <x v="3"/>
    <x v="0"/>
    <x v="0"/>
  </r>
  <r>
    <n v="318"/>
    <n v="0"/>
    <x v="0"/>
    <n v="2"/>
    <x v="2"/>
    <s v="Moraweck, Dr. Ernest"/>
    <s v="Dr."/>
    <x v="0"/>
    <n v="54"/>
    <x v="2"/>
    <n v="0"/>
    <n v="0"/>
    <x v="1"/>
    <s v="29011"/>
    <n v="14"/>
    <e v="#N/A"/>
    <n v="14"/>
    <x v="2"/>
    <x v="0"/>
    <x v="0"/>
  </r>
  <r>
    <n v="319"/>
    <n v="1"/>
    <x v="1"/>
    <n v="1"/>
    <x v="1"/>
    <s v="Wick, Miss. Mary Natalie"/>
    <s v="Miss."/>
    <x v="1"/>
    <n v="31"/>
    <x v="1"/>
    <n v="0"/>
    <n v="2"/>
    <x v="3"/>
    <s v="36928"/>
    <n v="164.86670000000001"/>
    <n v="164.86670000000001"/>
    <e v="#N/A"/>
    <x v="1"/>
    <x v="60"/>
    <x v="0"/>
  </r>
  <r>
    <n v="320"/>
    <n v="1"/>
    <x v="1"/>
    <n v="1"/>
    <x v="1"/>
    <s v="Spedden, Mrs. Frederic Oakley (Margaretta Corning Stone)"/>
    <s v="Mrs."/>
    <x v="1"/>
    <n v="40"/>
    <x v="5"/>
    <n v="1"/>
    <n v="1"/>
    <x v="3"/>
    <s v="16966"/>
    <n v="134.5"/>
    <n v="134.5"/>
    <e v="#N/A"/>
    <x v="1"/>
    <x v="61"/>
    <x v="1"/>
  </r>
  <r>
    <n v="321"/>
    <n v="0"/>
    <x v="0"/>
    <n v="3"/>
    <x v="0"/>
    <s v="Dennis, Mr. Samuel"/>
    <s v="Mr."/>
    <x v="0"/>
    <n v="22"/>
    <x v="0"/>
    <n v="0"/>
    <n v="0"/>
    <x v="1"/>
    <s v="A/5 21172"/>
    <n v="7.25"/>
    <e v="#N/A"/>
    <n v="7.25"/>
    <x v="0"/>
    <x v="0"/>
    <x v="0"/>
  </r>
  <r>
    <n v="322"/>
    <n v="0"/>
    <x v="0"/>
    <n v="3"/>
    <x v="0"/>
    <s v="Danoff, Mr. Yoto"/>
    <s v="Mr."/>
    <x v="0"/>
    <n v="27"/>
    <x v="0"/>
    <n v="0"/>
    <n v="0"/>
    <x v="1"/>
    <s v="349219"/>
    <n v="7.8958000000000004"/>
    <e v="#N/A"/>
    <n v="7.8958000000000004"/>
    <x v="0"/>
    <x v="0"/>
    <x v="0"/>
  </r>
  <r>
    <n v="323"/>
    <n v="1"/>
    <x v="1"/>
    <n v="2"/>
    <x v="2"/>
    <s v="Slayter, Miss. Hilda Mary"/>
    <s v="Miss."/>
    <x v="1"/>
    <n v="30"/>
    <x v="1"/>
    <n v="0"/>
    <n v="0"/>
    <x v="1"/>
    <s v="234818"/>
    <n v="12.35"/>
    <n v="12.35"/>
    <e v="#N/A"/>
    <x v="2"/>
    <x v="0"/>
    <x v="2"/>
  </r>
  <r>
    <n v="324"/>
    <n v="1"/>
    <x v="1"/>
    <n v="2"/>
    <x v="2"/>
    <s v="Caldwell, Mrs. Albert Francis (Sylvia Mae Harbaugh)"/>
    <s v="Mrs."/>
    <x v="1"/>
    <n v="22"/>
    <x v="0"/>
    <n v="1"/>
    <n v="1"/>
    <x v="3"/>
    <s v="248738"/>
    <n v="29"/>
    <n v="29"/>
    <e v="#N/A"/>
    <x v="3"/>
    <x v="0"/>
    <x v="0"/>
  </r>
  <r>
    <n v="325"/>
    <n v="0"/>
    <x v="0"/>
    <n v="3"/>
    <x v="0"/>
    <s v="Sage, Mr. George John Jr"/>
    <s v="Mr."/>
    <x v="0"/>
    <n v="28"/>
    <x v="0"/>
    <n v="8"/>
    <n v="2"/>
    <x v="8"/>
    <s v="CA. 2343"/>
    <n v="69.55"/>
    <e v="#N/A"/>
    <n v="69.55"/>
    <x v="1"/>
    <x v="0"/>
    <x v="0"/>
  </r>
  <r>
    <n v="326"/>
    <n v="1"/>
    <x v="1"/>
    <n v="1"/>
    <x v="1"/>
    <s v="Young, Miss. Marie Grice"/>
    <s v="Miss."/>
    <x v="1"/>
    <n v="36"/>
    <x v="1"/>
    <n v="0"/>
    <n v="0"/>
    <x v="1"/>
    <s v="PC 17760"/>
    <n v="135.63329999999999"/>
    <n v="135.63329999999999"/>
    <e v="#N/A"/>
    <x v="1"/>
    <x v="62"/>
    <x v="1"/>
  </r>
  <r>
    <n v="327"/>
    <n v="0"/>
    <x v="0"/>
    <n v="3"/>
    <x v="0"/>
    <s v="Nysveen, Mr. Johan Hansen"/>
    <s v="Mr."/>
    <x v="0"/>
    <n v="61"/>
    <x v="6"/>
    <n v="0"/>
    <n v="0"/>
    <x v="1"/>
    <s v="345364"/>
    <n v="6.2374999999999998"/>
    <e v="#N/A"/>
    <n v="6.2374999999999998"/>
    <x v="0"/>
    <x v="0"/>
    <x v="0"/>
  </r>
  <r>
    <n v="328"/>
    <n v="1"/>
    <x v="1"/>
    <n v="2"/>
    <x v="2"/>
    <s v="Ball, Mrs. (Ada E Hall)"/>
    <s v="Mrs."/>
    <x v="1"/>
    <n v="36"/>
    <x v="1"/>
    <n v="0"/>
    <n v="0"/>
    <x v="1"/>
    <s v="28551"/>
    <n v="13"/>
    <n v="13"/>
    <e v="#N/A"/>
    <x v="2"/>
    <x v="53"/>
    <x v="0"/>
  </r>
  <r>
    <n v="329"/>
    <n v="1"/>
    <x v="1"/>
    <n v="3"/>
    <x v="0"/>
    <s v="Goldsmith, Mrs. Frank John (Emily Alice Brown)"/>
    <s v="Mrs."/>
    <x v="1"/>
    <n v="31"/>
    <x v="1"/>
    <n v="1"/>
    <n v="1"/>
    <x v="3"/>
    <s v="363291"/>
    <n v="20.524999999999999"/>
    <n v="20.524999999999999"/>
    <e v="#N/A"/>
    <x v="3"/>
    <x v="0"/>
    <x v="0"/>
  </r>
  <r>
    <n v="330"/>
    <n v="1"/>
    <x v="1"/>
    <n v="1"/>
    <x v="1"/>
    <s v="Hippach, Miss. Jean Gertrude"/>
    <s v="Miss."/>
    <x v="1"/>
    <n v="16"/>
    <x v="4"/>
    <n v="0"/>
    <n v="1"/>
    <x v="0"/>
    <s v="111361"/>
    <n v="57.979199999999999"/>
    <n v="57.979199999999999"/>
    <e v="#N/A"/>
    <x v="1"/>
    <x v="63"/>
    <x v="1"/>
  </r>
  <r>
    <n v="331"/>
    <n v="1"/>
    <x v="1"/>
    <n v="3"/>
    <x v="0"/>
    <s v="McCoy, Miss. Agnes"/>
    <s v="Miss."/>
    <x v="1"/>
    <n v="28"/>
    <x v="0"/>
    <n v="2"/>
    <n v="0"/>
    <x v="3"/>
    <s v="367226"/>
    <n v="23.25"/>
    <n v="23.25"/>
    <e v="#N/A"/>
    <x v="3"/>
    <x v="0"/>
    <x v="2"/>
  </r>
  <r>
    <n v="332"/>
    <n v="0"/>
    <x v="0"/>
    <n v="1"/>
    <x v="1"/>
    <s v="Partner, Mr. Austen"/>
    <s v="Mr."/>
    <x v="0"/>
    <n v="45.5"/>
    <x v="5"/>
    <n v="0"/>
    <n v="0"/>
    <x v="1"/>
    <s v="113043"/>
    <n v="28.5"/>
    <e v="#N/A"/>
    <n v="28.5"/>
    <x v="3"/>
    <x v="64"/>
    <x v="0"/>
  </r>
  <r>
    <n v="333"/>
    <n v="0"/>
    <x v="0"/>
    <n v="1"/>
    <x v="1"/>
    <s v="Graham, Mr. George Edward"/>
    <s v="Mr."/>
    <x v="0"/>
    <n v="38"/>
    <x v="1"/>
    <n v="0"/>
    <n v="1"/>
    <x v="0"/>
    <s v="PC 17582"/>
    <n v="153.46250000000001"/>
    <e v="#N/A"/>
    <n v="153.46250000000001"/>
    <x v="1"/>
    <x v="65"/>
    <x v="0"/>
  </r>
  <r>
    <n v="334"/>
    <n v="0"/>
    <x v="0"/>
    <n v="3"/>
    <x v="0"/>
    <s v="Vander Planke, Mr. Leo Edmondus"/>
    <s v="Mr."/>
    <x v="0"/>
    <n v="16"/>
    <x v="4"/>
    <n v="2"/>
    <n v="0"/>
    <x v="3"/>
    <s v="345764"/>
    <n v="18"/>
    <e v="#N/A"/>
    <n v="18"/>
    <x v="3"/>
    <x v="0"/>
    <x v="0"/>
  </r>
  <r>
    <n v="335"/>
    <n v="1"/>
    <x v="1"/>
    <n v="1"/>
    <x v="1"/>
    <s v="Frauenthal, Mrs. Henry William (Clara Heinsheimer)"/>
    <s v="Mrs."/>
    <x v="1"/>
    <n v="28"/>
    <x v="0"/>
    <n v="1"/>
    <n v="0"/>
    <x v="0"/>
    <s v="PC 17611"/>
    <n v="133.65"/>
    <n v="133.65"/>
    <e v="#N/A"/>
    <x v="1"/>
    <x v="0"/>
    <x v="0"/>
  </r>
  <r>
    <n v="336"/>
    <n v="0"/>
    <x v="0"/>
    <n v="3"/>
    <x v="0"/>
    <s v="Denkoff, Mr. Mitto"/>
    <s v="Mr."/>
    <x v="0"/>
    <n v="28"/>
    <x v="0"/>
    <n v="0"/>
    <n v="0"/>
    <x v="1"/>
    <s v="349225"/>
    <n v="7.8958000000000004"/>
    <e v="#N/A"/>
    <n v="7.8958000000000004"/>
    <x v="0"/>
    <x v="0"/>
    <x v="0"/>
  </r>
  <r>
    <n v="337"/>
    <n v="0"/>
    <x v="0"/>
    <n v="1"/>
    <x v="1"/>
    <s v="Pears, Mr. Thomas Clinton"/>
    <s v="Mr."/>
    <x v="0"/>
    <n v="29"/>
    <x v="0"/>
    <n v="1"/>
    <n v="0"/>
    <x v="0"/>
    <s v="113776"/>
    <n v="66.599999999999994"/>
    <e v="#N/A"/>
    <n v="66.599999999999994"/>
    <x v="1"/>
    <x v="28"/>
    <x v="0"/>
  </r>
  <r>
    <n v="338"/>
    <n v="1"/>
    <x v="1"/>
    <n v="1"/>
    <x v="1"/>
    <s v="Burns, Miss. Elizabeth Margaret"/>
    <s v="Miss."/>
    <x v="1"/>
    <n v="41"/>
    <x v="5"/>
    <n v="0"/>
    <n v="0"/>
    <x v="1"/>
    <s v="16966"/>
    <n v="134.5"/>
    <n v="134.5"/>
    <e v="#N/A"/>
    <x v="1"/>
    <x v="66"/>
    <x v="1"/>
  </r>
  <r>
    <n v="339"/>
    <n v="1"/>
    <x v="1"/>
    <n v="3"/>
    <x v="0"/>
    <s v="Dahl, Mr. Karl Edwart"/>
    <s v="Mr."/>
    <x v="0"/>
    <n v="45"/>
    <x v="5"/>
    <n v="0"/>
    <n v="0"/>
    <x v="1"/>
    <s v="7598"/>
    <n v="8.0500000000000007"/>
    <n v="8.0500000000000007"/>
    <e v="#N/A"/>
    <x v="2"/>
    <x v="0"/>
    <x v="0"/>
  </r>
  <r>
    <n v="340"/>
    <n v="0"/>
    <x v="0"/>
    <n v="1"/>
    <x v="1"/>
    <s v="Blackwell, Mr. Stephen Weart"/>
    <s v="Mr."/>
    <x v="0"/>
    <n v="45"/>
    <x v="5"/>
    <n v="0"/>
    <n v="0"/>
    <x v="1"/>
    <s v="113784"/>
    <n v="35.5"/>
    <e v="#N/A"/>
    <n v="35.5"/>
    <x v="1"/>
    <x v="67"/>
    <x v="0"/>
  </r>
  <r>
    <n v="341"/>
    <n v="1"/>
    <x v="1"/>
    <n v="2"/>
    <x v="2"/>
    <s v="Navratil, Master. Edmond Roger"/>
    <s v="Master."/>
    <x v="0"/>
    <n v="2"/>
    <x v="3"/>
    <n v="1"/>
    <n v="1"/>
    <x v="3"/>
    <s v="230080"/>
    <n v="26"/>
    <n v="26"/>
    <e v="#N/A"/>
    <x v="3"/>
    <x v="27"/>
    <x v="0"/>
  </r>
  <r>
    <n v="342"/>
    <n v="1"/>
    <x v="1"/>
    <n v="1"/>
    <x v="1"/>
    <s v="Fortune, Miss. Alice Elizabeth"/>
    <s v="Miss."/>
    <x v="1"/>
    <n v="24"/>
    <x v="0"/>
    <n v="3"/>
    <n v="2"/>
    <x v="5"/>
    <s v="19950"/>
    <n v="263"/>
    <n v="263"/>
    <e v="#N/A"/>
    <x v="1"/>
    <x v="8"/>
    <x v="0"/>
  </r>
  <r>
    <n v="343"/>
    <n v="0"/>
    <x v="0"/>
    <n v="2"/>
    <x v="2"/>
    <s v="Collander, Mr. Erik Gustaf"/>
    <s v="Mr."/>
    <x v="0"/>
    <n v="28"/>
    <x v="0"/>
    <n v="0"/>
    <n v="0"/>
    <x v="1"/>
    <s v="248740"/>
    <n v="13"/>
    <e v="#N/A"/>
    <n v="13"/>
    <x v="2"/>
    <x v="0"/>
    <x v="0"/>
  </r>
  <r>
    <n v="344"/>
    <n v="0"/>
    <x v="0"/>
    <n v="2"/>
    <x v="2"/>
    <s v="Sedgwick, Mr. Charles Frederick Waddington"/>
    <s v="Mr."/>
    <x v="0"/>
    <n v="25"/>
    <x v="0"/>
    <n v="0"/>
    <n v="0"/>
    <x v="1"/>
    <s v="244361"/>
    <n v="13"/>
    <e v="#N/A"/>
    <n v="13"/>
    <x v="2"/>
    <x v="0"/>
    <x v="0"/>
  </r>
  <r>
    <n v="345"/>
    <n v="0"/>
    <x v="0"/>
    <n v="2"/>
    <x v="2"/>
    <s v="Fox, Mr. Stanley Hubert"/>
    <s v="Mr."/>
    <x v="0"/>
    <n v="36"/>
    <x v="1"/>
    <n v="0"/>
    <n v="0"/>
    <x v="1"/>
    <s v="229236"/>
    <n v="13"/>
    <e v="#N/A"/>
    <n v="13"/>
    <x v="2"/>
    <x v="0"/>
    <x v="0"/>
  </r>
  <r>
    <n v="346"/>
    <n v="1"/>
    <x v="1"/>
    <n v="2"/>
    <x v="2"/>
    <s v="Brown, Miss. Amelia &quot;Mildred&quot;"/>
    <s v="Miss."/>
    <x v="1"/>
    <n v="24"/>
    <x v="0"/>
    <n v="0"/>
    <n v="0"/>
    <x v="1"/>
    <s v="248733"/>
    <n v="13"/>
    <n v="13"/>
    <e v="#N/A"/>
    <x v="2"/>
    <x v="15"/>
    <x v="0"/>
  </r>
  <r>
    <n v="347"/>
    <n v="1"/>
    <x v="1"/>
    <n v="2"/>
    <x v="2"/>
    <s v="Smith, Miss. Marion Elsie"/>
    <s v="Miss."/>
    <x v="1"/>
    <n v="40"/>
    <x v="5"/>
    <n v="0"/>
    <n v="0"/>
    <x v="1"/>
    <s v="31418"/>
    <n v="13"/>
    <n v="13"/>
    <e v="#N/A"/>
    <x v="2"/>
    <x v="0"/>
    <x v="0"/>
  </r>
  <r>
    <n v="348"/>
    <n v="1"/>
    <x v="1"/>
    <n v="3"/>
    <x v="0"/>
    <s v="Davison, Mrs. Thomas Henry (Mary E Finck)"/>
    <s v="Mrs."/>
    <x v="1"/>
    <n v="28"/>
    <x v="0"/>
    <n v="1"/>
    <n v="0"/>
    <x v="0"/>
    <s v="386525"/>
    <n v="16.100000000000001"/>
    <n v="16.100000000000001"/>
    <e v="#N/A"/>
    <x v="3"/>
    <x v="0"/>
    <x v="0"/>
  </r>
  <r>
    <n v="349"/>
    <n v="1"/>
    <x v="1"/>
    <n v="3"/>
    <x v="0"/>
    <s v="Coutts, Master. William Loch &quot;William&quot;"/>
    <s v="Master."/>
    <x v="0"/>
    <n v="3"/>
    <x v="3"/>
    <n v="1"/>
    <n v="1"/>
    <x v="3"/>
    <s v="C.A. 37671"/>
    <n v="15.9"/>
    <n v="15.9"/>
    <e v="#N/A"/>
    <x v="3"/>
    <x v="0"/>
    <x v="0"/>
  </r>
  <r>
    <n v="350"/>
    <n v="0"/>
    <x v="0"/>
    <n v="3"/>
    <x v="0"/>
    <s v="Dimic, Mr. Jovan"/>
    <s v="Mr."/>
    <x v="0"/>
    <n v="42"/>
    <x v="5"/>
    <n v="0"/>
    <n v="0"/>
    <x v="1"/>
    <s v="315088"/>
    <n v="8.6624999999999996"/>
    <e v="#N/A"/>
    <n v="8.6624999999999996"/>
    <x v="2"/>
    <x v="0"/>
    <x v="0"/>
  </r>
  <r>
    <n v="351"/>
    <n v="0"/>
    <x v="0"/>
    <n v="3"/>
    <x v="0"/>
    <s v="Odahl, Mr. Nils Martin"/>
    <s v="Mr."/>
    <x v="0"/>
    <n v="23"/>
    <x v="0"/>
    <n v="0"/>
    <n v="0"/>
    <x v="1"/>
    <s v="7267"/>
    <n v="9.2249999999999996"/>
    <e v="#N/A"/>
    <n v="9.2249999999999996"/>
    <x v="2"/>
    <x v="0"/>
    <x v="0"/>
  </r>
  <r>
    <n v="352"/>
    <n v="0"/>
    <x v="0"/>
    <n v="1"/>
    <x v="1"/>
    <s v="Williams-Lambert, Mr. Fletcher Fellows"/>
    <s v="Mr."/>
    <x v="0"/>
    <n v="28"/>
    <x v="0"/>
    <n v="0"/>
    <n v="0"/>
    <x v="1"/>
    <s v="113510"/>
    <n v="35"/>
    <e v="#N/A"/>
    <n v="35"/>
    <x v="1"/>
    <x v="68"/>
    <x v="0"/>
  </r>
  <r>
    <n v="353"/>
    <n v="0"/>
    <x v="0"/>
    <n v="3"/>
    <x v="0"/>
    <s v="Elias, Mr. Tannous"/>
    <s v="Mr."/>
    <x v="0"/>
    <n v="15"/>
    <x v="4"/>
    <n v="1"/>
    <n v="1"/>
    <x v="3"/>
    <s v="2695"/>
    <n v="7.2291999999999996"/>
    <e v="#N/A"/>
    <n v="7.2291999999999996"/>
    <x v="0"/>
    <x v="0"/>
    <x v="1"/>
  </r>
  <r>
    <n v="354"/>
    <n v="0"/>
    <x v="0"/>
    <n v="3"/>
    <x v="0"/>
    <s v="Arnold-Franchi, Mr. Josef"/>
    <s v="Mr."/>
    <x v="0"/>
    <n v="25"/>
    <x v="0"/>
    <n v="1"/>
    <n v="0"/>
    <x v="0"/>
    <s v="349237"/>
    <n v="17.8"/>
    <e v="#N/A"/>
    <n v="17.8"/>
    <x v="3"/>
    <x v="0"/>
    <x v="0"/>
  </r>
  <r>
    <n v="355"/>
    <n v="0"/>
    <x v="0"/>
    <n v="3"/>
    <x v="0"/>
    <s v="Yousif, Mr. Wazli"/>
    <s v="Mr."/>
    <x v="0"/>
    <n v="28"/>
    <x v="0"/>
    <n v="0"/>
    <n v="0"/>
    <x v="1"/>
    <s v="2647"/>
    <n v="7.2249999999999996"/>
    <e v="#N/A"/>
    <n v="7.2249999999999996"/>
    <x v="0"/>
    <x v="0"/>
    <x v="1"/>
  </r>
  <r>
    <n v="356"/>
    <n v="0"/>
    <x v="0"/>
    <n v="3"/>
    <x v="0"/>
    <s v="Vanden Steen, Mr. Leo Peter"/>
    <s v="Mr."/>
    <x v="0"/>
    <n v="28"/>
    <x v="0"/>
    <n v="0"/>
    <n v="0"/>
    <x v="1"/>
    <s v="345783"/>
    <n v="9.5"/>
    <e v="#N/A"/>
    <n v="9.5"/>
    <x v="2"/>
    <x v="0"/>
    <x v="0"/>
  </r>
  <r>
    <n v="357"/>
    <n v="1"/>
    <x v="1"/>
    <n v="1"/>
    <x v="1"/>
    <s v="Bowerman, Miss. Elsie Edith"/>
    <s v="Miss."/>
    <x v="1"/>
    <n v="22"/>
    <x v="0"/>
    <n v="0"/>
    <n v="1"/>
    <x v="0"/>
    <s v="113505"/>
    <n v="55"/>
    <n v="55"/>
    <e v="#N/A"/>
    <x v="1"/>
    <x v="29"/>
    <x v="0"/>
  </r>
  <r>
    <n v="358"/>
    <n v="0"/>
    <x v="0"/>
    <n v="2"/>
    <x v="2"/>
    <s v="Funk, Miss. Annie Clemmer"/>
    <s v="Miss."/>
    <x v="1"/>
    <n v="38"/>
    <x v="1"/>
    <n v="0"/>
    <n v="0"/>
    <x v="1"/>
    <s v="237671"/>
    <n v="13"/>
    <e v="#N/A"/>
    <n v="13"/>
    <x v="2"/>
    <x v="0"/>
    <x v="0"/>
  </r>
  <r>
    <n v="359"/>
    <n v="1"/>
    <x v="1"/>
    <n v="3"/>
    <x v="0"/>
    <s v="McGovern, Miss. Mary"/>
    <s v="Miss."/>
    <x v="1"/>
    <n v="28"/>
    <x v="0"/>
    <n v="0"/>
    <n v="0"/>
    <x v="1"/>
    <s v="330931"/>
    <n v="7.8792"/>
    <n v="7.8792"/>
    <e v="#N/A"/>
    <x v="0"/>
    <x v="0"/>
    <x v="2"/>
  </r>
  <r>
    <n v="360"/>
    <n v="1"/>
    <x v="1"/>
    <n v="3"/>
    <x v="0"/>
    <s v="Mockler, Miss. Helen Mary &quot;Ellie&quot;"/>
    <s v="Miss."/>
    <x v="1"/>
    <n v="28"/>
    <x v="0"/>
    <n v="0"/>
    <n v="0"/>
    <x v="1"/>
    <s v="330980"/>
    <n v="7.8792"/>
    <n v="7.8792"/>
    <e v="#N/A"/>
    <x v="0"/>
    <x v="0"/>
    <x v="2"/>
  </r>
  <r>
    <n v="361"/>
    <n v="0"/>
    <x v="0"/>
    <n v="3"/>
    <x v="0"/>
    <s v="Skoog, Mr. Wilhelm"/>
    <s v="Mr."/>
    <x v="0"/>
    <n v="40"/>
    <x v="5"/>
    <n v="1"/>
    <n v="4"/>
    <x v="5"/>
    <s v="347088"/>
    <n v="27.9"/>
    <e v="#N/A"/>
    <n v="27.9"/>
    <x v="3"/>
    <x v="0"/>
    <x v="0"/>
  </r>
  <r>
    <n v="362"/>
    <n v="0"/>
    <x v="0"/>
    <n v="2"/>
    <x v="2"/>
    <s v="del Carlo, Mr. Sebastiano"/>
    <s v="Mr."/>
    <x v="0"/>
    <n v="29"/>
    <x v="0"/>
    <n v="1"/>
    <n v="0"/>
    <x v="0"/>
    <s v="SC/PARIS 2167"/>
    <n v="27.720800000000001"/>
    <e v="#N/A"/>
    <n v="27.720800000000001"/>
    <x v="3"/>
    <x v="0"/>
    <x v="1"/>
  </r>
  <r>
    <n v="363"/>
    <n v="0"/>
    <x v="0"/>
    <n v="3"/>
    <x v="0"/>
    <s v="Barbara, Mrs. (Catherine David)"/>
    <s v="Mrs."/>
    <x v="1"/>
    <n v="45"/>
    <x v="5"/>
    <n v="0"/>
    <n v="1"/>
    <x v="0"/>
    <s v="2691"/>
    <n v="14.4542"/>
    <e v="#N/A"/>
    <n v="14.4542"/>
    <x v="2"/>
    <x v="0"/>
    <x v="1"/>
  </r>
  <r>
    <n v="364"/>
    <n v="0"/>
    <x v="0"/>
    <n v="3"/>
    <x v="0"/>
    <s v="Asim, Mr. Adola"/>
    <s v="Mr."/>
    <x v="0"/>
    <n v="35"/>
    <x v="1"/>
    <n v="0"/>
    <n v="0"/>
    <x v="1"/>
    <s v="SOTON/O.Q. 3101310"/>
    <n v="7.05"/>
    <e v="#N/A"/>
    <n v="7.05"/>
    <x v="0"/>
    <x v="0"/>
    <x v="0"/>
  </r>
  <r>
    <n v="365"/>
    <n v="0"/>
    <x v="0"/>
    <n v="3"/>
    <x v="0"/>
    <s v="O'Brien, Mr. Thomas"/>
    <s v="Mr."/>
    <x v="0"/>
    <n v="28"/>
    <x v="0"/>
    <n v="1"/>
    <n v="0"/>
    <x v="0"/>
    <s v="370365"/>
    <n v="15.5"/>
    <e v="#N/A"/>
    <n v="15.5"/>
    <x v="3"/>
    <x v="0"/>
    <x v="2"/>
  </r>
  <r>
    <n v="366"/>
    <n v="0"/>
    <x v="0"/>
    <n v="3"/>
    <x v="0"/>
    <s v="Adahl, Mr. Mauritz Nils Martin"/>
    <s v="Mr."/>
    <x v="0"/>
    <n v="30"/>
    <x v="1"/>
    <n v="0"/>
    <n v="0"/>
    <x v="1"/>
    <s v="C 7076"/>
    <n v="7.25"/>
    <e v="#N/A"/>
    <n v="7.25"/>
    <x v="0"/>
    <x v="0"/>
    <x v="0"/>
  </r>
  <r>
    <n v="367"/>
    <n v="1"/>
    <x v="1"/>
    <n v="1"/>
    <x v="1"/>
    <s v="Warren, Mrs. Frank Manley (Anna Sophia Atkinson)"/>
    <s v="Mrs."/>
    <x v="1"/>
    <n v="60"/>
    <x v="6"/>
    <n v="1"/>
    <n v="0"/>
    <x v="0"/>
    <s v="110813"/>
    <n v="75.25"/>
    <n v="75.25"/>
    <e v="#N/A"/>
    <x v="1"/>
    <x v="69"/>
    <x v="1"/>
  </r>
  <r>
    <n v="368"/>
    <n v="1"/>
    <x v="1"/>
    <n v="3"/>
    <x v="0"/>
    <s v="Moussa, Mrs. (Mantoura Boulos)"/>
    <s v="Mrs."/>
    <x v="1"/>
    <n v="28"/>
    <x v="0"/>
    <n v="0"/>
    <n v="0"/>
    <x v="1"/>
    <s v="2626"/>
    <n v="7.2291999999999996"/>
    <n v="7.2291999999999996"/>
    <e v="#N/A"/>
    <x v="0"/>
    <x v="0"/>
    <x v="1"/>
  </r>
  <r>
    <n v="369"/>
    <n v="1"/>
    <x v="1"/>
    <n v="3"/>
    <x v="0"/>
    <s v="Jermyn, Miss. Annie"/>
    <s v="Miss."/>
    <x v="1"/>
    <n v="28"/>
    <x v="0"/>
    <n v="0"/>
    <n v="0"/>
    <x v="1"/>
    <s v="14313"/>
    <n v="7.75"/>
    <n v="7.75"/>
    <e v="#N/A"/>
    <x v="0"/>
    <x v="0"/>
    <x v="2"/>
  </r>
  <r>
    <n v="370"/>
    <n v="1"/>
    <x v="1"/>
    <n v="1"/>
    <x v="1"/>
    <s v="Aubart, Mme. Leontine Pauline"/>
    <s v="Mme."/>
    <x v="1"/>
    <n v="24"/>
    <x v="0"/>
    <n v="0"/>
    <n v="0"/>
    <x v="1"/>
    <s v="PC 17477"/>
    <n v="69.3"/>
    <n v="69.3"/>
    <e v="#N/A"/>
    <x v="1"/>
    <x v="70"/>
    <x v="1"/>
  </r>
  <r>
    <n v="371"/>
    <n v="1"/>
    <x v="1"/>
    <n v="1"/>
    <x v="1"/>
    <s v="Harder, Mr. George Achilles"/>
    <s v="Mr."/>
    <x v="0"/>
    <n v="25"/>
    <x v="0"/>
    <n v="1"/>
    <n v="0"/>
    <x v="0"/>
    <s v="11765"/>
    <n v="55.441699999999997"/>
    <n v="55.441699999999997"/>
    <e v="#N/A"/>
    <x v="1"/>
    <x v="71"/>
    <x v="1"/>
  </r>
  <r>
    <n v="372"/>
    <n v="0"/>
    <x v="0"/>
    <n v="3"/>
    <x v="0"/>
    <s v="Wiklund, Mr. Jakob Alfred"/>
    <s v="Mr."/>
    <x v="0"/>
    <n v="18"/>
    <x v="4"/>
    <n v="1"/>
    <n v="0"/>
    <x v="0"/>
    <s v="3101267"/>
    <n v="6.4958"/>
    <e v="#N/A"/>
    <n v="6.4958"/>
    <x v="0"/>
    <x v="0"/>
    <x v="0"/>
  </r>
  <r>
    <n v="373"/>
    <n v="0"/>
    <x v="0"/>
    <n v="3"/>
    <x v="0"/>
    <s v="Beavan, Mr. William Thomas"/>
    <s v="Mr."/>
    <x v="0"/>
    <n v="19"/>
    <x v="4"/>
    <n v="0"/>
    <n v="0"/>
    <x v="1"/>
    <s v="323951"/>
    <n v="8.0500000000000007"/>
    <e v="#N/A"/>
    <n v="8.0500000000000007"/>
    <x v="2"/>
    <x v="0"/>
    <x v="0"/>
  </r>
  <r>
    <n v="374"/>
    <n v="0"/>
    <x v="0"/>
    <n v="1"/>
    <x v="1"/>
    <s v="Ringhini, Mr. Sante"/>
    <s v="Mr."/>
    <x v="0"/>
    <n v="22"/>
    <x v="0"/>
    <n v="0"/>
    <n v="0"/>
    <x v="1"/>
    <s v="PC 17760"/>
    <n v="135.63329999999999"/>
    <e v="#N/A"/>
    <n v="135.63329999999999"/>
    <x v="1"/>
    <x v="0"/>
    <x v="1"/>
  </r>
  <r>
    <n v="375"/>
    <n v="0"/>
    <x v="0"/>
    <n v="3"/>
    <x v="0"/>
    <s v="Palsson, Miss. Stina Viola"/>
    <s v="Miss."/>
    <x v="1"/>
    <n v="3"/>
    <x v="3"/>
    <n v="3"/>
    <n v="1"/>
    <x v="2"/>
    <s v="349909"/>
    <n v="21.074999999999999"/>
    <e v="#N/A"/>
    <n v="21.074999999999999"/>
    <x v="3"/>
    <x v="0"/>
    <x v="0"/>
  </r>
  <r>
    <n v="376"/>
    <n v="1"/>
    <x v="1"/>
    <n v="1"/>
    <x v="1"/>
    <s v="Meyer, Mrs. Edgar Joseph (Leila Saks)"/>
    <s v="Mrs."/>
    <x v="1"/>
    <n v="28"/>
    <x v="0"/>
    <n v="1"/>
    <n v="0"/>
    <x v="0"/>
    <s v="PC 17604"/>
    <n v="82.1708"/>
    <n v="82.1708"/>
    <e v="#N/A"/>
    <x v="1"/>
    <x v="0"/>
    <x v="1"/>
  </r>
  <r>
    <n v="377"/>
    <n v="1"/>
    <x v="1"/>
    <n v="3"/>
    <x v="0"/>
    <s v="Landergren, Miss. Aurora Adelia"/>
    <s v="Miss."/>
    <x v="1"/>
    <n v="22"/>
    <x v="0"/>
    <n v="0"/>
    <n v="0"/>
    <x v="1"/>
    <s v="C 7077"/>
    <n v="7.25"/>
    <n v="7.25"/>
    <e v="#N/A"/>
    <x v="0"/>
    <x v="0"/>
    <x v="0"/>
  </r>
  <r>
    <n v="378"/>
    <n v="0"/>
    <x v="0"/>
    <n v="1"/>
    <x v="1"/>
    <s v="Widener, Mr. Harry Elkins"/>
    <s v="Mr."/>
    <x v="0"/>
    <n v="27"/>
    <x v="0"/>
    <n v="0"/>
    <n v="2"/>
    <x v="3"/>
    <s v="113503"/>
    <n v="211.5"/>
    <e v="#N/A"/>
    <n v="211.5"/>
    <x v="1"/>
    <x v="72"/>
    <x v="1"/>
  </r>
  <r>
    <n v="379"/>
    <n v="0"/>
    <x v="0"/>
    <n v="3"/>
    <x v="0"/>
    <s v="Betros, Mr. Tannous"/>
    <s v="Mr."/>
    <x v="0"/>
    <n v="20"/>
    <x v="0"/>
    <n v="0"/>
    <n v="0"/>
    <x v="1"/>
    <s v="2648"/>
    <n v="4.0125000000000002"/>
    <e v="#N/A"/>
    <n v="4.0125000000000002"/>
    <x v="0"/>
    <x v="0"/>
    <x v="1"/>
  </r>
  <r>
    <n v="380"/>
    <n v="0"/>
    <x v="0"/>
    <n v="3"/>
    <x v="0"/>
    <s v="Gustafsson, Mr. Karl Gideon"/>
    <s v="Mr."/>
    <x v="0"/>
    <n v="19"/>
    <x v="4"/>
    <n v="0"/>
    <n v="0"/>
    <x v="1"/>
    <s v="347069"/>
    <n v="7.7750000000000004"/>
    <e v="#N/A"/>
    <n v="7.7750000000000004"/>
    <x v="0"/>
    <x v="0"/>
    <x v="0"/>
  </r>
  <r>
    <n v="381"/>
    <n v="1"/>
    <x v="1"/>
    <n v="1"/>
    <x v="1"/>
    <s v="Bidois, Miss. Rosalie"/>
    <s v="Miss."/>
    <x v="1"/>
    <n v="42"/>
    <x v="5"/>
    <n v="0"/>
    <n v="0"/>
    <x v="1"/>
    <s v="PC 17757"/>
    <n v="227.52500000000001"/>
    <n v="227.52500000000001"/>
    <e v="#N/A"/>
    <x v="1"/>
    <x v="0"/>
    <x v="1"/>
  </r>
  <r>
    <n v="382"/>
    <n v="1"/>
    <x v="1"/>
    <n v="3"/>
    <x v="0"/>
    <s v="Nakid, Miss. Maria (&quot;Mary&quot;)"/>
    <s v="Miss."/>
    <x v="1"/>
    <n v="1"/>
    <x v="3"/>
    <n v="0"/>
    <n v="2"/>
    <x v="3"/>
    <s v="2653"/>
    <n v="15.7417"/>
    <n v="15.7417"/>
    <e v="#N/A"/>
    <x v="3"/>
    <x v="0"/>
    <x v="1"/>
  </r>
  <r>
    <n v="383"/>
    <n v="0"/>
    <x v="0"/>
    <n v="3"/>
    <x v="0"/>
    <s v="Tikkanen, Mr. Juho"/>
    <s v="Mr."/>
    <x v="0"/>
    <n v="32"/>
    <x v="1"/>
    <n v="0"/>
    <n v="0"/>
    <x v="1"/>
    <s v="STON/O 2. 3101293"/>
    <n v="7.9249999999999998"/>
    <e v="#N/A"/>
    <n v="7.9249999999999998"/>
    <x v="0"/>
    <x v="0"/>
    <x v="0"/>
  </r>
  <r>
    <n v="384"/>
    <n v="1"/>
    <x v="1"/>
    <n v="1"/>
    <x v="1"/>
    <s v="Holverson, Mrs. Alexander Oskar (Mary Aline Towner)"/>
    <s v="Mrs."/>
    <x v="1"/>
    <n v="35"/>
    <x v="1"/>
    <n v="1"/>
    <n v="0"/>
    <x v="0"/>
    <s v="113789"/>
    <n v="52"/>
    <n v="52"/>
    <e v="#N/A"/>
    <x v="1"/>
    <x v="0"/>
    <x v="0"/>
  </r>
  <r>
    <n v="385"/>
    <n v="0"/>
    <x v="0"/>
    <n v="3"/>
    <x v="0"/>
    <s v="Plotcharsky, Mr. Vasil"/>
    <s v="Mr."/>
    <x v="0"/>
    <n v="28"/>
    <x v="0"/>
    <n v="0"/>
    <n v="0"/>
    <x v="1"/>
    <s v="349227"/>
    <n v="7.8958000000000004"/>
    <e v="#N/A"/>
    <n v="7.8958000000000004"/>
    <x v="0"/>
    <x v="0"/>
    <x v="0"/>
  </r>
  <r>
    <n v="386"/>
    <n v="0"/>
    <x v="0"/>
    <n v="2"/>
    <x v="2"/>
    <s v="Davies, Mr. Charles Henry"/>
    <s v="Mr."/>
    <x v="0"/>
    <n v="18"/>
    <x v="4"/>
    <n v="0"/>
    <n v="0"/>
    <x v="1"/>
    <s v="S.O.C. 14879"/>
    <n v="73.5"/>
    <e v="#N/A"/>
    <n v="73.5"/>
    <x v="1"/>
    <x v="0"/>
    <x v="0"/>
  </r>
  <r>
    <n v="387"/>
    <n v="0"/>
    <x v="0"/>
    <n v="3"/>
    <x v="0"/>
    <s v="Goodwin, Master. Sidney Leonard"/>
    <s v="Master."/>
    <x v="0"/>
    <n v="1"/>
    <x v="3"/>
    <n v="5"/>
    <n v="2"/>
    <x v="7"/>
    <s v="CA 2144"/>
    <n v="46.9"/>
    <e v="#N/A"/>
    <n v="46.9"/>
    <x v="1"/>
    <x v="0"/>
    <x v="0"/>
  </r>
  <r>
    <n v="388"/>
    <n v="1"/>
    <x v="1"/>
    <n v="2"/>
    <x v="2"/>
    <s v="Buss, Miss. Kate"/>
    <s v="Miss."/>
    <x v="1"/>
    <n v="36"/>
    <x v="1"/>
    <n v="0"/>
    <n v="0"/>
    <x v="1"/>
    <s v="27849"/>
    <n v="13"/>
    <n v="13"/>
    <e v="#N/A"/>
    <x v="2"/>
    <x v="0"/>
    <x v="0"/>
  </r>
  <r>
    <n v="389"/>
    <n v="0"/>
    <x v="0"/>
    <n v="3"/>
    <x v="0"/>
    <s v="Sadlier, Mr. Matthew"/>
    <s v="Mr."/>
    <x v="0"/>
    <n v="28"/>
    <x v="0"/>
    <n v="0"/>
    <n v="0"/>
    <x v="1"/>
    <s v="367655"/>
    <n v="7.7291999999999996"/>
    <e v="#N/A"/>
    <n v="7.7291999999999996"/>
    <x v="0"/>
    <x v="0"/>
    <x v="2"/>
  </r>
  <r>
    <n v="390"/>
    <n v="1"/>
    <x v="1"/>
    <n v="2"/>
    <x v="2"/>
    <s v="Lehmann, Miss. Bertha"/>
    <s v="Miss."/>
    <x v="1"/>
    <n v="17"/>
    <x v="4"/>
    <n v="0"/>
    <n v="0"/>
    <x v="1"/>
    <s v="SC 1748"/>
    <n v="12"/>
    <n v="12"/>
    <e v="#N/A"/>
    <x v="2"/>
    <x v="0"/>
    <x v="1"/>
  </r>
  <r>
    <n v="391"/>
    <n v="1"/>
    <x v="1"/>
    <n v="1"/>
    <x v="1"/>
    <s v="Carter, Mr. William Ernest"/>
    <s v="Mr."/>
    <x v="0"/>
    <n v="36"/>
    <x v="1"/>
    <n v="1"/>
    <n v="2"/>
    <x v="6"/>
    <s v="113760"/>
    <n v="120"/>
    <n v="120"/>
    <e v="#N/A"/>
    <x v="1"/>
    <x v="73"/>
    <x v="0"/>
  </r>
  <r>
    <n v="392"/>
    <n v="1"/>
    <x v="1"/>
    <n v="3"/>
    <x v="0"/>
    <s v="Jansson, Mr. Carl Olof"/>
    <s v="Mr."/>
    <x v="0"/>
    <n v="21"/>
    <x v="0"/>
    <n v="0"/>
    <n v="0"/>
    <x v="1"/>
    <s v="350034"/>
    <n v="7.7957999999999998"/>
    <n v="7.7957999999999998"/>
    <e v="#N/A"/>
    <x v="0"/>
    <x v="0"/>
    <x v="0"/>
  </r>
  <r>
    <n v="393"/>
    <n v="0"/>
    <x v="0"/>
    <n v="3"/>
    <x v="0"/>
    <s v="Gustafsson, Mr. Johan Birger"/>
    <s v="Mr."/>
    <x v="0"/>
    <n v="28"/>
    <x v="0"/>
    <n v="2"/>
    <n v="0"/>
    <x v="3"/>
    <s v="3101277"/>
    <n v="7.9249999999999998"/>
    <e v="#N/A"/>
    <n v="7.9249999999999998"/>
    <x v="0"/>
    <x v="0"/>
    <x v="0"/>
  </r>
  <r>
    <n v="394"/>
    <n v="1"/>
    <x v="1"/>
    <n v="1"/>
    <x v="1"/>
    <s v="Newell, Miss. Marjorie"/>
    <s v="Miss."/>
    <x v="1"/>
    <n v="23"/>
    <x v="0"/>
    <n v="1"/>
    <n v="0"/>
    <x v="0"/>
    <s v="35273"/>
    <n v="113.27500000000001"/>
    <n v="113.27500000000001"/>
    <e v="#N/A"/>
    <x v="1"/>
    <x v="38"/>
    <x v="1"/>
  </r>
  <r>
    <n v="395"/>
    <n v="1"/>
    <x v="1"/>
    <n v="3"/>
    <x v="0"/>
    <s v="Sandstrom, Mrs. Hjalmar (Agnes Charlotta Bengtsson)"/>
    <s v="Mrs."/>
    <x v="1"/>
    <n v="24"/>
    <x v="0"/>
    <n v="0"/>
    <n v="2"/>
    <x v="3"/>
    <s v="PP 9549"/>
    <n v="16.7"/>
    <n v="16.7"/>
    <e v="#N/A"/>
    <x v="3"/>
    <x v="4"/>
    <x v="0"/>
  </r>
  <r>
    <n v="396"/>
    <n v="0"/>
    <x v="0"/>
    <n v="3"/>
    <x v="0"/>
    <s v="Johansson, Mr. Erik"/>
    <s v="Mr."/>
    <x v="0"/>
    <n v="22"/>
    <x v="0"/>
    <n v="0"/>
    <n v="0"/>
    <x v="1"/>
    <s v="350052"/>
    <n v="7.7957999999999998"/>
    <e v="#N/A"/>
    <n v="7.7957999999999998"/>
    <x v="0"/>
    <x v="0"/>
    <x v="0"/>
  </r>
  <r>
    <n v="397"/>
    <n v="0"/>
    <x v="0"/>
    <n v="3"/>
    <x v="0"/>
    <s v="Olsson, Miss. Elina"/>
    <s v="Miss."/>
    <x v="1"/>
    <n v="31"/>
    <x v="1"/>
    <n v="0"/>
    <n v="0"/>
    <x v="1"/>
    <s v="350407"/>
    <n v="7.8541999999999996"/>
    <e v="#N/A"/>
    <n v="7.8541999999999996"/>
    <x v="0"/>
    <x v="0"/>
    <x v="0"/>
  </r>
  <r>
    <n v="398"/>
    <n v="0"/>
    <x v="0"/>
    <n v="2"/>
    <x v="2"/>
    <s v="McKane, Mr. Peter David"/>
    <s v="Mr."/>
    <x v="0"/>
    <n v="46"/>
    <x v="5"/>
    <n v="0"/>
    <n v="0"/>
    <x v="1"/>
    <s v="28403"/>
    <n v="26"/>
    <e v="#N/A"/>
    <n v="26"/>
    <x v="3"/>
    <x v="0"/>
    <x v="0"/>
  </r>
  <r>
    <n v="399"/>
    <n v="0"/>
    <x v="0"/>
    <n v="2"/>
    <x v="2"/>
    <s v="Pain, Dr. Alfred"/>
    <s v="Dr."/>
    <x v="0"/>
    <n v="23"/>
    <x v="0"/>
    <n v="0"/>
    <n v="0"/>
    <x v="1"/>
    <s v="244278"/>
    <n v="10.5"/>
    <e v="#N/A"/>
    <n v="10.5"/>
    <x v="2"/>
    <x v="0"/>
    <x v="0"/>
  </r>
  <r>
    <n v="400"/>
    <n v="1"/>
    <x v="1"/>
    <n v="2"/>
    <x v="2"/>
    <s v="Trout, Mrs. William H (Jessie L)"/>
    <s v="Mrs."/>
    <x v="1"/>
    <n v="28"/>
    <x v="0"/>
    <n v="0"/>
    <n v="0"/>
    <x v="1"/>
    <s v="240929"/>
    <n v="12.65"/>
    <n v="12.65"/>
    <e v="#N/A"/>
    <x v="2"/>
    <x v="0"/>
    <x v="0"/>
  </r>
  <r>
    <n v="401"/>
    <n v="1"/>
    <x v="1"/>
    <n v="3"/>
    <x v="0"/>
    <s v="Niskanen, Mr. Juha"/>
    <s v="Mr."/>
    <x v="0"/>
    <n v="39"/>
    <x v="1"/>
    <n v="0"/>
    <n v="0"/>
    <x v="1"/>
    <s v="STON/O 2. 3101289"/>
    <n v="7.9249999999999998"/>
    <n v="7.9249999999999998"/>
    <e v="#N/A"/>
    <x v="0"/>
    <x v="0"/>
    <x v="0"/>
  </r>
  <r>
    <n v="402"/>
    <n v="0"/>
    <x v="0"/>
    <n v="3"/>
    <x v="0"/>
    <s v="Adams, Mr. John"/>
    <s v="Mr."/>
    <x v="0"/>
    <n v="26"/>
    <x v="0"/>
    <n v="0"/>
    <n v="0"/>
    <x v="1"/>
    <s v="341826"/>
    <n v="8.0500000000000007"/>
    <e v="#N/A"/>
    <n v="8.0500000000000007"/>
    <x v="2"/>
    <x v="0"/>
    <x v="0"/>
  </r>
  <r>
    <n v="403"/>
    <n v="0"/>
    <x v="0"/>
    <n v="3"/>
    <x v="0"/>
    <s v="Jussila, Miss. Mari Aina"/>
    <s v="Miss."/>
    <x v="1"/>
    <n v="21"/>
    <x v="0"/>
    <n v="1"/>
    <n v="0"/>
    <x v="0"/>
    <s v="4137"/>
    <n v="9.8249999999999993"/>
    <e v="#N/A"/>
    <n v="9.8249999999999993"/>
    <x v="2"/>
    <x v="0"/>
    <x v="0"/>
  </r>
  <r>
    <n v="404"/>
    <n v="0"/>
    <x v="0"/>
    <n v="3"/>
    <x v="0"/>
    <s v="Hakkarainen, Mr. Pekka Pietari"/>
    <s v="Mr."/>
    <x v="0"/>
    <n v="28"/>
    <x v="0"/>
    <n v="1"/>
    <n v="0"/>
    <x v="0"/>
    <s v="STON/O2. 3101279"/>
    <n v="15.85"/>
    <e v="#N/A"/>
    <n v="15.85"/>
    <x v="3"/>
    <x v="0"/>
    <x v="0"/>
  </r>
  <r>
    <n v="405"/>
    <n v="0"/>
    <x v="0"/>
    <n v="3"/>
    <x v="0"/>
    <s v="Oreskovic, Miss. Marija"/>
    <s v="Miss."/>
    <x v="1"/>
    <n v="20"/>
    <x v="0"/>
    <n v="0"/>
    <n v="0"/>
    <x v="1"/>
    <s v="315096"/>
    <n v="8.6624999999999996"/>
    <e v="#N/A"/>
    <n v="8.6624999999999996"/>
    <x v="2"/>
    <x v="0"/>
    <x v="0"/>
  </r>
  <r>
    <n v="406"/>
    <n v="0"/>
    <x v="0"/>
    <n v="2"/>
    <x v="2"/>
    <s v="Gale, Mr. Shadrach"/>
    <s v="Mr."/>
    <x v="0"/>
    <n v="34"/>
    <x v="1"/>
    <n v="1"/>
    <n v="0"/>
    <x v="0"/>
    <s v="28664"/>
    <n v="21"/>
    <e v="#N/A"/>
    <n v="21"/>
    <x v="3"/>
    <x v="0"/>
    <x v="0"/>
  </r>
  <r>
    <n v="407"/>
    <n v="0"/>
    <x v="0"/>
    <n v="3"/>
    <x v="0"/>
    <s v="Widegren, Mr. Carl/Charles Peter"/>
    <s v="Mr."/>
    <x v="0"/>
    <n v="51"/>
    <x v="2"/>
    <n v="0"/>
    <n v="0"/>
    <x v="1"/>
    <s v="347064"/>
    <n v="7.75"/>
    <e v="#N/A"/>
    <n v="7.75"/>
    <x v="0"/>
    <x v="0"/>
    <x v="0"/>
  </r>
  <r>
    <n v="408"/>
    <n v="1"/>
    <x v="1"/>
    <n v="2"/>
    <x v="2"/>
    <s v="Richards, Master. William Rowe"/>
    <s v="Master."/>
    <x v="0"/>
    <n v="3"/>
    <x v="3"/>
    <n v="1"/>
    <n v="1"/>
    <x v="3"/>
    <s v="29106"/>
    <n v="18.75"/>
    <n v="18.75"/>
    <e v="#N/A"/>
    <x v="3"/>
    <x v="0"/>
    <x v="0"/>
  </r>
  <r>
    <n v="409"/>
    <n v="0"/>
    <x v="0"/>
    <n v="3"/>
    <x v="0"/>
    <s v="Birkeland, Mr. Hans Martin Monsen"/>
    <s v="Mr."/>
    <x v="0"/>
    <n v="21"/>
    <x v="0"/>
    <n v="0"/>
    <n v="0"/>
    <x v="1"/>
    <s v="312992"/>
    <n v="7.7750000000000004"/>
    <e v="#N/A"/>
    <n v="7.7750000000000004"/>
    <x v="0"/>
    <x v="0"/>
    <x v="0"/>
  </r>
  <r>
    <n v="410"/>
    <n v="0"/>
    <x v="0"/>
    <n v="3"/>
    <x v="0"/>
    <s v="Lefebre, Miss. Ida"/>
    <s v="Miss."/>
    <x v="1"/>
    <n v="28"/>
    <x v="0"/>
    <n v="3"/>
    <n v="1"/>
    <x v="2"/>
    <s v="4133"/>
    <n v="25.466699999999999"/>
    <e v="#N/A"/>
    <n v="25.466699999999999"/>
    <x v="3"/>
    <x v="0"/>
    <x v="0"/>
  </r>
  <r>
    <n v="411"/>
    <n v="0"/>
    <x v="0"/>
    <n v="3"/>
    <x v="0"/>
    <s v="Sdycoff, Mr. Todor"/>
    <s v="Mr."/>
    <x v="0"/>
    <n v="28"/>
    <x v="0"/>
    <n v="0"/>
    <n v="0"/>
    <x v="1"/>
    <s v="349222"/>
    <n v="7.8958000000000004"/>
    <e v="#N/A"/>
    <n v="7.8958000000000004"/>
    <x v="0"/>
    <x v="0"/>
    <x v="0"/>
  </r>
  <r>
    <n v="412"/>
    <n v="0"/>
    <x v="0"/>
    <n v="3"/>
    <x v="0"/>
    <s v="Hart, Mr. Henry"/>
    <s v="Mr."/>
    <x v="0"/>
    <n v="28"/>
    <x v="0"/>
    <n v="0"/>
    <n v="0"/>
    <x v="1"/>
    <s v="394140"/>
    <n v="6.8582999999999998"/>
    <e v="#N/A"/>
    <n v="6.8582999999999998"/>
    <x v="0"/>
    <x v="0"/>
    <x v="2"/>
  </r>
  <r>
    <n v="413"/>
    <n v="1"/>
    <x v="1"/>
    <n v="1"/>
    <x v="1"/>
    <s v="Minahan, Miss. Daisy E"/>
    <s v="Miss."/>
    <x v="1"/>
    <n v="33"/>
    <x v="1"/>
    <n v="1"/>
    <n v="0"/>
    <x v="0"/>
    <s v="19928"/>
    <n v="90"/>
    <n v="90"/>
    <e v="#N/A"/>
    <x v="1"/>
    <x v="41"/>
    <x v="2"/>
  </r>
  <r>
    <n v="414"/>
    <n v="0"/>
    <x v="0"/>
    <n v="2"/>
    <x v="2"/>
    <s v="Cunningham, Mr. Alfred Fleming"/>
    <s v="Mr."/>
    <x v="0"/>
    <n v="28"/>
    <x v="0"/>
    <n v="0"/>
    <n v="0"/>
    <x v="1"/>
    <s v="239853"/>
    <n v="0"/>
    <e v="#N/A"/>
    <n v="0"/>
    <x v="0"/>
    <x v="0"/>
    <x v="0"/>
  </r>
  <r>
    <n v="415"/>
    <n v="1"/>
    <x v="1"/>
    <n v="3"/>
    <x v="0"/>
    <s v="Sundman, Mr. Johan Julian"/>
    <s v="Mr."/>
    <x v="0"/>
    <n v="44"/>
    <x v="5"/>
    <n v="0"/>
    <n v="0"/>
    <x v="1"/>
    <s v="STON/O 2. 3101269"/>
    <n v="7.9249999999999998"/>
    <n v="7.9249999999999998"/>
    <e v="#N/A"/>
    <x v="0"/>
    <x v="0"/>
    <x v="0"/>
  </r>
  <r>
    <n v="416"/>
    <n v="0"/>
    <x v="0"/>
    <n v="3"/>
    <x v="0"/>
    <s v="Meek, Mrs. Thomas (Annie Louise Rowley)"/>
    <s v="Mrs."/>
    <x v="1"/>
    <n v="28"/>
    <x v="0"/>
    <n v="0"/>
    <n v="0"/>
    <x v="1"/>
    <s v="343095"/>
    <n v="8.0500000000000007"/>
    <e v="#N/A"/>
    <n v="8.0500000000000007"/>
    <x v="2"/>
    <x v="0"/>
    <x v="0"/>
  </r>
  <r>
    <n v="417"/>
    <n v="1"/>
    <x v="1"/>
    <n v="2"/>
    <x v="2"/>
    <s v="Drew, Mrs. James Vivian (Lulu Thorne Christian)"/>
    <s v="Mrs."/>
    <x v="1"/>
    <n v="34"/>
    <x v="1"/>
    <n v="1"/>
    <n v="1"/>
    <x v="3"/>
    <s v="28220"/>
    <n v="32.5"/>
    <n v="32.5"/>
    <e v="#N/A"/>
    <x v="1"/>
    <x v="0"/>
    <x v="0"/>
  </r>
  <r>
    <n v="418"/>
    <n v="1"/>
    <x v="1"/>
    <n v="2"/>
    <x v="2"/>
    <s v="Silven, Miss. Lyyli Karoliina"/>
    <s v="Miss."/>
    <x v="1"/>
    <n v="18"/>
    <x v="4"/>
    <n v="0"/>
    <n v="2"/>
    <x v="3"/>
    <s v="250652"/>
    <n v="13"/>
    <n v="13"/>
    <e v="#N/A"/>
    <x v="2"/>
    <x v="0"/>
    <x v="0"/>
  </r>
  <r>
    <n v="419"/>
    <n v="0"/>
    <x v="0"/>
    <n v="2"/>
    <x v="2"/>
    <s v="Matthews, Mr. William John"/>
    <s v="Mr."/>
    <x v="0"/>
    <n v="30"/>
    <x v="1"/>
    <n v="0"/>
    <n v="0"/>
    <x v="1"/>
    <s v="28228"/>
    <n v="13"/>
    <e v="#N/A"/>
    <n v="13"/>
    <x v="2"/>
    <x v="0"/>
    <x v="0"/>
  </r>
  <r>
    <n v="420"/>
    <n v="0"/>
    <x v="0"/>
    <n v="3"/>
    <x v="0"/>
    <s v="Van Impe, Miss. Catharina"/>
    <s v="Miss."/>
    <x v="1"/>
    <n v="10"/>
    <x v="3"/>
    <n v="0"/>
    <n v="2"/>
    <x v="3"/>
    <s v="345773"/>
    <n v="24.15"/>
    <e v="#N/A"/>
    <n v="24.15"/>
    <x v="3"/>
    <x v="0"/>
    <x v="0"/>
  </r>
  <r>
    <n v="421"/>
    <n v="0"/>
    <x v="0"/>
    <n v="3"/>
    <x v="0"/>
    <s v="Gheorgheff, Mr. Stanio"/>
    <s v="Mr."/>
    <x v="0"/>
    <n v="28"/>
    <x v="0"/>
    <n v="0"/>
    <n v="0"/>
    <x v="1"/>
    <s v="349254"/>
    <n v="7.8958000000000004"/>
    <e v="#N/A"/>
    <n v="7.8958000000000004"/>
    <x v="0"/>
    <x v="0"/>
    <x v="1"/>
  </r>
  <r>
    <n v="422"/>
    <n v="0"/>
    <x v="0"/>
    <n v="3"/>
    <x v="0"/>
    <s v="Charters, Mr. David"/>
    <s v="Mr."/>
    <x v="0"/>
    <n v="21"/>
    <x v="0"/>
    <n v="0"/>
    <n v="0"/>
    <x v="1"/>
    <s v="A/5. 13032"/>
    <n v="7.7332999999999998"/>
    <e v="#N/A"/>
    <n v="7.7332999999999998"/>
    <x v="0"/>
    <x v="0"/>
    <x v="2"/>
  </r>
  <r>
    <n v="423"/>
    <n v="0"/>
    <x v="0"/>
    <n v="3"/>
    <x v="0"/>
    <s v="Zimmerman, Mr. Leo"/>
    <s v="Mr."/>
    <x v="0"/>
    <n v="29"/>
    <x v="0"/>
    <n v="0"/>
    <n v="0"/>
    <x v="1"/>
    <s v="315082"/>
    <n v="7.875"/>
    <e v="#N/A"/>
    <n v="7.875"/>
    <x v="0"/>
    <x v="0"/>
    <x v="0"/>
  </r>
  <r>
    <n v="424"/>
    <n v="0"/>
    <x v="0"/>
    <n v="3"/>
    <x v="0"/>
    <s v="Danbom, Mrs. Ernst Gilbert (Anna Sigrid Maria Brogren)"/>
    <s v="Mrs."/>
    <x v="1"/>
    <n v="28"/>
    <x v="0"/>
    <n v="1"/>
    <n v="1"/>
    <x v="3"/>
    <s v="347080"/>
    <n v="14.4"/>
    <e v="#N/A"/>
    <n v="14.4"/>
    <x v="2"/>
    <x v="0"/>
    <x v="0"/>
  </r>
  <r>
    <n v="425"/>
    <n v="0"/>
    <x v="0"/>
    <n v="3"/>
    <x v="0"/>
    <s v="Rosblom, Mr. Viktor Richard"/>
    <s v="Mr."/>
    <x v="0"/>
    <n v="18"/>
    <x v="4"/>
    <n v="1"/>
    <n v="1"/>
    <x v="3"/>
    <s v="370129"/>
    <n v="20.212499999999999"/>
    <e v="#N/A"/>
    <n v="20.212499999999999"/>
    <x v="3"/>
    <x v="0"/>
    <x v="0"/>
  </r>
  <r>
    <n v="426"/>
    <n v="0"/>
    <x v="0"/>
    <n v="3"/>
    <x v="0"/>
    <s v="Wiseman, Mr. Phillippe"/>
    <s v="Mr."/>
    <x v="0"/>
    <n v="28"/>
    <x v="0"/>
    <n v="0"/>
    <n v="0"/>
    <x v="1"/>
    <s v="A/4. 34244"/>
    <n v="7.25"/>
    <e v="#N/A"/>
    <n v="7.25"/>
    <x v="0"/>
    <x v="0"/>
    <x v="0"/>
  </r>
  <r>
    <n v="427"/>
    <n v="1"/>
    <x v="1"/>
    <n v="2"/>
    <x v="2"/>
    <s v="Clarke, Mrs. Charles V (Ada Maria Winfield)"/>
    <s v="Mrs."/>
    <x v="1"/>
    <n v="28"/>
    <x v="0"/>
    <n v="1"/>
    <n v="0"/>
    <x v="0"/>
    <s v="2003"/>
    <n v="26"/>
    <n v="26"/>
    <e v="#N/A"/>
    <x v="3"/>
    <x v="0"/>
    <x v="0"/>
  </r>
  <r>
    <n v="428"/>
    <n v="1"/>
    <x v="1"/>
    <n v="2"/>
    <x v="2"/>
    <s v="Phillips, Miss. Kate Florence (&quot;Mrs Kate Louise Phillips Marshall&quot;)"/>
    <s v="Miss."/>
    <x v="1"/>
    <n v="19"/>
    <x v="4"/>
    <n v="0"/>
    <n v="0"/>
    <x v="1"/>
    <s v="250655"/>
    <n v="26"/>
    <n v="26"/>
    <e v="#N/A"/>
    <x v="3"/>
    <x v="0"/>
    <x v="0"/>
  </r>
  <r>
    <n v="429"/>
    <n v="0"/>
    <x v="0"/>
    <n v="3"/>
    <x v="0"/>
    <s v="Flynn, Mr. James"/>
    <s v="Mr."/>
    <x v="0"/>
    <n v="28"/>
    <x v="0"/>
    <n v="0"/>
    <n v="0"/>
    <x v="1"/>
    <s v="364851"/>
    <n v="7.75"/>
    <e v="#N/A"/>
    <n v="7.75"/>
    <x v="0"/>
    <x v="0"/>
    <x v="2"/>
  </r>
  <r>
    <n v="430"/>
    <n v="1"/>
    <x v="1"/>
    <n v="3"/>
    <x v="0"/>
    <s v="Pickard, Mr. Berk (Berk Trembisky)"/>
    <s v="Mr."/>
    <x v="0"/>
    <n v="32"/>
    <x v="1"/>
    <n v="0"/>
    <n v="0"/>
    <x v="1"/>
    <s v="SOTON/O.Q. 392078"/>
    <n v="8.0500000000000007"/>
    <n v="8.0500000000000007"/>
    <e v="#N/A"/>
    <x v="2"/>
    <x v="74"/>
    <x v="0"/>
  </r>
  <r>
    <n v="431"/>
    <n v="1"/>
    <x v="1"/>
    <n v="1"/>
    <x v="1"/>
    <s v="Bjornstrom-Steffansson, Mr. Mauritz Hakan"/>
    <s v="Mr."/>
    <x v="0"/>
    <n v="28"/>
    <x v="0"/>
    <n v="0"/>
    <n v="0"/>
    <x v="1"/>
    <s v="110564"/>
    <n v="26.55"/>
    <n v="26.55"/>
    <e v="#N/A"/>
    <x v="3"/>
    <x v="12"/>
    <x v="0"/>
  </r>
  <r>
    <n v="432"/>
    <n v="1"/>
    <x v="1"/>
    <n v="3"/>
    <x v="0"/>
    <s v="Thorneycroft, Mrs. Percival (Florence Kate White)"/>
    <s v="Mrs."/>
    <x v="1"/>
    <n v="28"/>
    <x v="0"/>
    <n v="1"/>
    <n v="0"/>
    <x v="0"/>
    <s v="376564"/>
    <n v="16.100000000000001"/>
    <n v="16.100000000000001"/>
    <e v="#N/A"/>
    <x v="3"/>
    <x v="0"/>
    <x v="0"/>
  </r>
  <r>
    <n v="433"/>
    <n v="1"/>
    <x v="1"/>
    <n v="2"/>
    <x v="2"/>
    <s v="Louch, Mrs. Charles Alexander (Alice Adelaide Slow)"/>
    <s v="Mrs."/>
    <x v="1"/>
    <n v="42"/>
    <x v="5"/>
    <n v="1"/>
    <n v="0"/>
    <x v="0"/>
    <s v="SC/AH 3085"/>
    <n v="26"/>
    <n v="26"/>
    <e v="#N/A"/>
    <x v="3"/>
    <x v="0"/>
    <x v="0"/>
  </r>
  <r>
    <n v="434"/>
    <n v="0"/>
    <x v="0"/>
    <n v="3"/>
    <x v="0"/>
    <s v="Kallio, Mr. Nikolai Erland"/>
    <s v="Mr."/>
    <x v="0"/>
    <n v="17"/>
    <x v="4"/>
    <n v="0"/>
    <n v="0"/>
    <x v="1"/>
    <s v="STON/O 2. 3101274"/>
    <n v="7.125"/>
    <e v="#N/A"/>
    <n v="7.125"/>
    <x v="0"/>
    <x v="0"/>
    <x v="0"/>
  </r>
  <r>
    <n v="435"/>
    <n v="0"/>
    <x v="0"/>
    <n v="1"/>
    <x v="1"/>
    <s v="Silvey, Mr. William Baird"/>
    <s v="Mr."/>
    <x v="0"/>
    <n v="50"/>
    <x v="2"/>
    <n v="1"/>
    <n v="0"/>
    <x v="0"/>
    <s v="13507"/>
    <n v="55.9"/>
    <e v="#N/A"/>
    <n v="55.9"/>
    <x v="1"/>
    <x v="75"/>
    <x v="0"/>
  </r>
  <r>
    <n v="436"/>
    <n v="1"/>
    <x v="1"/>
    <n v="1"/>
    <x v="1"/>
    <s v="Carter, Miss. Lucile Polk"/>
    <s v="Miss."/>
    <x v="1"/>
    <n v="14"/>
    <x v="4"/>
    <n v="1"/>
    <n v="2"/>
    <x v="6"/>
    <s v="113760"/>
    <n v="120"/>
    <n v="120"/>
    <e v="#N/A"/>
    <x v="1"/>
    <x v="73"/>
    <x v="0"/>
  </r>
  <r>
    <n v="437"/>
    <n v="0"/>
    <x v="0"/>
    <n v="3"/>
    <x v="0"/>
    <s v="Ford, Miss. Doolina Margaret &quot;Daisy&quot;"/>
    <s v="Miss."/>
    <x v="1"/>
    <n v="21"/>
    <x v="0"/>
    <n v="2"/>
    <n v="2"/>
    <x v="2"/>
    <s v="W./C. 6608"/>
    <n v="34.375"/>
    <e v="#N/A"/>
    <n v="34.375"/>
    <x v="1"/>
    <x v="0"/>
    <x v="0"/>
  </r>
  <r>
    <n v="438"/>
    <n v="1"/>
    <x v="1"/>
    <n v="2"/>
    <x v="2"/>
    <s v="Richards, Mrs. Sidney (Emily Hocking)"/>
    <s v="Mrs."/>
    <x v="1"/>
    <n v="24"/>
    <x v="0"/>
    <n v="2"/>
    <n v="3"/>
    <x v="5"/>
    <s v="29106"/>
    <n v="18.75"/>
    <n v="18.75"/>
    <e v="#N/A"/>
    <x v="3"/>
    <x v="0"/>
    <x v="0"/>
  </r>
  <r>
    <n v="439"/>
    <n v="0"/>
    <x v="0"/>
    <n v="1"/>
    <x v="1"/>
    <s v="Fortune, Mr. Mark"/>
    <s v="Mr."/>
    <x v="0"/>
    <n v="64"/>
    <x v="6"/>
    <n v="1"/>
    <n v="4"/>
    <x v="5"/>
    <s v="19950"/>
    <n v="263"/>
    <e v="#N/A"/>
    <n v="263"/>
    <x v="1"/>
    <x v="8"/>
    <x v="0"/>
  </r>
  <r>
    <n v="440"/>
    <n v="0"/>
    <x v="0"/>
    <n v="2"/>
    <x v="2"/>
    <s v="Kvillner, Mr. Johan Henrik Johannesson"/>
    <s v="Mr."/>
    <x v="0"/>
    <n v="31"/>
    <x v="1"/>
    <n v="0"/>
    <n v="0"/>
    <x v="1"/>
    <s v="C.A. 18723"/>
    <n v="10.5"/>
    <e v="#N/A"/>
    <n v="10.5"/>
    <x v="2"/>
    <x v="0"/>
    <x v="0"/>
  </r>
  <r>
    <n v="441"/>
    <n v="1"/>
    <x v="1"/>
    <n v="2"/>
    <x v="2"/>
    <s v="Hart, Mrs. Benjamin (Esther Ada Bloomfield)"/>
    <s v="Mrs."/>
    <x v="1"/>
    <n v="45"/>
    <x v="5"/>
    <n v="1"/>
    <n v="1"/>
    <x v="3"/>
    <s v="F.C.C. 13529"/>
    <n v="26.25"/>
    <n v="26.25"/>
    <e v="#N/A"/>
    <x v="3"/>
    <x v="0"/>
    <x v="0"/>
  </r>
  <r>
    <n v="442"/>
    <n v="0"/>
    <x v="0"/>
    <n v="3"/>
    <x v="0"/>
    <s v="Hampe, Mr. Leon"/>
    <s v="Mr."/>
    <x v="0"/>
    <n v="20"/>
    <x v="0"/>
    <n v="0"/>
    <n v="0"/>
    <x v="1"/>
    <s v="345769"/>
    <n v="9.5"/>
    <e v="#N/A"/>
    <n v="9.5"/>
    <x v="2"/>
    <x v="0"/>
    <x v="0"/>
  </r>
  <r>
    <n v="443"/>
    <n v="0"/>
    <x v="0"/>
    <n v="3"/>
    <x v="0"/>
    <s v="Petterson, Mr. Johan Emil"/>
    <s v="Mr."/>
    <x v="0"/>
    <n v="25"/>
    <x v="0"/>
    <n v="1"/>
    <n v="0"/>
    <x v="0"/>
    <s v="347076"/>
    <n v="7.7750000000000004"/>
    <e v="#N/A"/>
    <n v="7.7750000000000004"/>
    <x v="0"/>
    <x v="0"/>
    <x v="0"/>
  </r>
  <r>
    <n v="444"/>
    <n v="1"/>
    <x v="1"/>
    <n v="2"/>
    <x v="2"/>
    <s v="Reynaldo, Ms. Encarnacion"/>
    <s v="Ms."/>
    <x v="1"/>
    <n v="28"/>
    <x v="0"/>
    <n v="0"/>
    <n v="0"/>
    <x v="1"/>
    <s v="230434"/>
    <n v="13"/>
    <n v="13"/>
    <e v="#N/A"/>
    <x v="2"/>
    <x v="0"/>
    <x v="0"/>
  </r>
  <r>
    <n v="445"/>
    <n v="1"/>
    <x v="1"/>
    <n v="3"/>
    <x v="0"/>
    <s v="Johannesen-Bratthammer, Mr. Bernt"/>
    <s v="Mr."/>
    <x v="0"/>
    <n v="28"/>
    <x v="0"/>
    <n v="0"/>
    <n v="0"/>
    <x v="1"/>
    <s v="65306"/>
    <n v="8.1125000000000007"/>
    <n v="8.1125000000000007"/>
    <e v="#N/A"/>
    <x v="2"/>
    <x v="0"/>
    <x v="0"/>
  </r>
  <r>
    <n v="446"/>
    <n v="1"/>
    <x v="1"/>
    <n v="1"/>
    <x v="1"/>
    <s v="Dodge, Master. Washington"/>
    <s v="Master."/>
    <x v="0"/>
    <n v="4"/>
    <x v="3"/>
    <n v="0"/>
    <n v="2"/>
    <x v="3"/>
    <s v="33638"/>
    <n v="81.8583"/>
    <n v="81.8583"/>
    <e v="#N/A"/>
    <x v="1"/>
    <x v="76"/>
    <x v="0"/>
  </r>
  <r>
    <n v="447"/>
    <n v="1"/>
    <x v="1"/>
    <n v="2"/>
    <x v="2"/>
    <s v="Mellinger, Miss. Madeleine Violet"/>
    <s v="Miss."/>
    <x v="1"/>
    <n v="13"/>
    <x v="4"/>
    <n v="0"/>
    <n v="1"/>
    <x v="0"/>
    <s v="250644"/>
    <n v="19.5"/>
    <n v="19.5"/>
    <e v="#N/A"/>
    <x v="3"/>
    <x v="0"/>
    <x v="0"/>
  </r>
  <r>
    <n v="448"/>
    <n v="1"/>
    <x v="1"/>
    <n v="1"/>
    <x v="1"/>
    <s v="Seward, Mr. Frederic Kimber"/>
    <s v="Mr."/>
    <x v="0"/>
    <n v="34"/>
    <x v="1"/>
    <n v="0"/>
    <n v="0"/>
    <x v="1"/>
    <s v="113794"/>
    <n v="26.55"/>
    <n v="26.55"/>
    <e v="#N/A"/>
    <x v="3"/>
    <x v="0"/>
    <x v="0"/>
  </r>
  <r>
    <n v="449"/>
    <n v="1"/>
    <x v="1"/>
    <n v="3"/>
    <x v="0"/>
    <s v="Baclini, Miss. Marie Catherine"/>
    <s v="Miss."/>
    <x v="1"/>
    <n v="5"/>
    <x v="3"/>
    <n v="2"/>
    <n v="1"/>
    <x v="6"/>
    <s v="2666"/>
    <n v="19.258299999999998"/>
    <n v="19.258299999999998"/>
    <e v="#N/A"/>
    <x v="3"/>
    <x v="0"/>
    <x v="1"/>
  </r>
  <r>
    <n v="450"/>
    <n v="1"/>
    <x v="1"/>
    <n v="1"/>
    <x v="1"/>
    <s v="Peuchen, Major. Arthur Godfrey"/>
    <s v="Major."/>
    <x v="0"/>
    <n v="52"/>
    <x v="2"/>
    <n v="0"/>
    <n v="0"/>
    <x v="1"/>
    <s v="113786"/>
    <n v="30.5"/>
    <n v="30.5"/>
    <e v="#N/A"/>
    <x v="1"/>
    <x v="77"/>
    <x v="0"/>
  </r>
  <r>
    <n v="451"/>
    <n v="0"/>
    <x v="0"/>
    <n v="2"/>
    <x v="2"/>
    <s v="West, Mr. Edwy Arthur"/>
    <s v="Mr."/>
    <x v="0"/>
    <n v="36"/>
    <x v="1"/>
    <n v="1"/>
    <n v="2"/>
    <x v="6"/>
    <s v="C.A. 34651"/>
    <n v="27.75"/>
    <e v="#N/A"/>
    <n v="27.75"/>
    <x v="3"/>
    <x v="0"/>
    <x v="0"/>
  </r>
  <r>
    <n v="452"/>
    <n v="0"/>
    <x v="0"/>
    <n v="3"/>
    <x v="0"/>
    <s v="Hagland, Mr. Ingvald Olai Olsen"/>
    <s v="Mr."/>
    <x v="0"/>
    <n v="28"/>
    <x v="0"/>
    <n v="1"/>
    <n v="0"/>
    <x v="0"/>
    <s v="65303"/>
    <n v="19.966699999999999"/>
    <e v="#N/A"/>
    <n v="19.966699999999999"/>
    <x v="3"/>
    <x v="0"/>
    <x v="0"/>
  </r>
  <r>
    <n v="453"/>
    <n v="0"/>
    <x v="0"/>
    <n v="1"/>
    <x v="1"/>
    <s v="Foreman, Mr. Benjamin Laventall"/>
    <s v="Mr."/>
    <x v="0"/>
    <n v="30"/>
    <x v="1"/>
    <n v="0"/>
    <n v="0"/>
    <x v="1"/>
    <s v="113051"/>
    <n v="27.75"/>
    <e v="#N/A"/>
    <n v="27.75"/>
    <x v="3"/>
    <x v="78"/>
    <x v="1"/>
  </r>
  <r>
    <n v="454"/>
    <n v="1"/>
    <x v="1"/>
    <n v="1"/>
    <x v="1"/>
    <s v="Goldenberg, Mr. Samuel L"/>
    <s v="Mr."/>
    <x v="0"/>
    <n v="49"/>
    <x v="5"/>
    <n v="1"/>
    <n v="0"/>
    <x v="0"/>
    <s v="17453"/>
    <n v="89.104200000000006"/>
    <n v="89.104200000000006"/>
    <e v="#N/A"/>
    <x v="1"/>
    <x v="79"/>
    <x v="1"/>
  </r>
  <r>
    <n v="455"/>
    <n v="0"/>
    <x v="0"/>
    <n v="3"/>
    <x v="0"/>
    <s v="Peduzzi, Mr. Joseph"/>
    <s v="Mr."/>
    <x v="0"/>
    <n v="28"/>
    <x v="0"/>
    <n v="0"/>
    <n v="0"/>
    <x v="1"/>
    <s v="A/5 2817"/>
    <n v="8.0500000000000007"/>
    <e v="#N/A"/>
    <n v="8.0500000000000007"/>
    <x v="2"/>
    <x v="0"/>
    <x v="0"/>
  </r>
  <r>
    <n v="456"/>
    <n v="1"/>
    <x v="1"/>
    <n v="3"/>
    <x v="0"/>
    <s v="Jalsevac, Mr. Ivan"/>
    <s v="Mr."/>
    <x v="0"/>
    <n v="29"/>
    <x v="0"/>
    <n v="0"/>
    <n v="0"/>
    <x v="1"/>
    <s v="349240"/>
    <n v="7.8958000000000004"/>
    <n v="7.8958000000000004"/>
    <e v="#N/A"/>
    <x v="0"/>
    <x v="0"/>
    <x v="1"/>
  </r>
  <r>
    <n v="457"/>
    <n v="0"/>
    <x v="0"/>
    <n v="1"/>
    <x v="1"/>
    <s v="Millet, Mr. Francis Davis"/>
    <s v="Mr."/>
    <x v="0"/>
    <n v="65"/>
    <x v="6"/>
    <n v="0"/>
    <n v="0"/>
    <x v="1"/>
    <s v="13509"/>
    <n v="26.55"/>
    <e v="#N/A"/>
    <n v="26.55"/>
    <x v="3"/>
    <x v="80"/>
    <x v="0"/>
  </r>
  <r>
    <n v="458"/>
    <n v="1"/>
    <x v="1"/>
    <n v="1"/>
    <x v="1"/>
    <s v="Kenyon, Mrs. Frederick R (Marion)"/>
    <s v="Mrs."/>
    <x v="1"/>
    <n v="28"/>
    <x v="0"/>
    <n v="1"/>
    <n v="0"/>
    <x v="0"/>
    <s v="17464"/>
    <n v="51.862499999999997"/>
    <n v="51.862499999999997"/>
    <e v="#N/A"/>
    <x v="1"/>
    <x v="81"/>
    <x v="0"/>
  </r>
  <r>
    <n v="459"/>
    <n v="1"/>
    <x v="1"/>
    <n v="2"/>
    <x v="2"/>
    <s v="Toomey, Miss. Ellen"/>
    <s v="Miss."/>
    <x v="1"/>
    <n v="50"/>
    <x v="2"/>
    <n v="0"/>
    <n v="0"/>
    <x v="1"/>
    <s v="F.C.C. 13531"/>
    <n v="10.5"/>
    <n v="10.5"/>
    <e v="#N/A"/>
    <x v="2"/>
    <x v="0"/>
    <x v="0"/>
  </r>
  <r>
    <n v="460"/>
    <n v="0"/>
    <x v="0"/>
    <n v="3"/>
    <x v="0"/>
    <s v="O'Connor, Mr. Maurice"/>
    <s v="Mr."/>
    <x v="0"/>
    <n v="28"/>
    <x v="0"/>
    <n v="0"/>
    <n v="0"/>
    <x v="1"/>
    <s v="371060"/>
    <n v="7.75"/>
    <e v="#N/A"/>
    <n v="7.75"/>
    <x v="0"/>
    <x v="0"/>
    <x v="2"/>
  </r>
  <r>
    <n v="461"/>
    <n v="1"/>
    <x v="1"/>
    <n v="1"/>
    <x v="1"/>
    <s v="Anderson, Mr. Harry"/>
    <s v="Mr."/>
    <x v="0"/>
    <n v="48"/>
    <x v="5"/>
    <n v="0"/>
    <n v="0"/>
    <x v="1"/>
    <s v="19952"/>
    <n v="26.55"/>
    <n v="26.55"/>
    <e v="#N/A"/>
    <x v="3"/>
    <x v="82"/>
    <x v="0"/>
  </r>
  <r>
    <n v="462"/>
    <n v="0"/>
    <x v="0"/>
    <n v="3"/>
    <x v="0"/>
    <s v="Morley, Mr. William"/>
    <s v="Mr."/>
    <x v="0"/>
    <n v="34"/>
    <x v="1"/>
    <n v="0"/>
    <n v="0"/>
    <x v="1"/>
    <s v="364506"/>
    <n v="8.0500000000000007"/>
    <e v="#N/A"/>
    <n v="8.0500000000000007"/>
    <x v="2"/>
    <x v="0"/>
    <x v="0"/>
  </r>
  <r>
    <n v="463"/>
    <n v="0"/>
    <x v="0"/>
    <n v="1"/>
    <x v="1"/>
    <s v="Gee, Mr. Arthur H"/>
    <s v="Mr."/>
    <x v="0"/>
    <n v="47"/>
    <x v="5"/>
    <n v="0"/>
    <n v="0"/>
    <x v="1"/>
    <s v="111320"/>
    <n v="38.5"/>
    <e v="#N/A"/>
    <n v="38.5"/>
    <x v="1"/>
    <x v="83"/>
    <x v="0"/>
  </r>
  <r>
    <n v="464"/>
    <n v="0"/>
    <x v="0"/>
    <n v="2"/>
    <x v="2"/>
    <s v="Milling, Mr. Jacob Christian"/>
    <s v="Mr."/>
    <x v="0"/>
    <n v="48"/>
    <x v="5"/>
    <n v="0"/>
    <n v="0"/>
    <x v="1"/>
    <s v="234360"/>
    <n v="13"/>
    <e v="#N/A"/>
    <n v="13"/>
    <x v="2"/>
    <x v="0"/>
    <x v="0"/>
  </r>
  <r>
    <n v="465"/>
    <n v="0"/>
    <x v="0"/>
    <n v="3"/>
    <x v="0"/>
    <s v="Maisner, Mr. Simon"/>
    <s v="Mr."/>
    <x v="0"/>
    <n v="28"/>
    <x v="0"/>
    <n v="0"/>
    <n v="0"/>
    <x v="1"/>
    <s v="A/S 2816"/>
    <n v="8.0500000000000007"/>
    <e v="#N/A"/>
    <n v="8.0500000000000007"/>
    <x v="2"/>
    <x v="0"/>
    <x v="0"/>
  </r>
  <r>
    <n v="466"/>
    <n v="0"/>
    <x v="0"/>
    <n v="3"/>
    <x v="0"/>
    <s v="Goncalves, Mr. Manuel Estanslas"/>
    <s v="Mr."/>
    <x v="0"/>
    <n v="38"/>
    <x v="1"/>
    <n v="0"/>
    <n v="0"/>
    <x v="1"/>
    <s v="SOTON/O.Q. 3101306"/>
    <n v="7.05"/>
    <e v="#N/A"/>
    <n v="7.05"/>
    <x v="0"/>
    <x v="0"/>
    <x v="0"/>
  </r>
  <r>
    <n v="467"/>
    <n v="0"/>
    <x v="0"/>
    <n v="2"/>
    <x v="2"/>
    <s v="Campbell, Mr. William"/>
    <s v="Mr."/>
    <x v="0"/>
    <n v="28"/>
    <x v="0"/>
    <n v="0"/>
    <n v="0"/>
    <x v="1"/>
    <s v="239853"/>
    <n v="0"/>
    <e v="#N/A"/>
    <n v="0"/>
    <x v="0"/>
    <x v="0"/>
    <x v="0"/>
  </r>
  <r>
    <n v="468"/>
    <n v="0"/>
    <x v="0"/>
    <n v="1"/>
    <x v="1"/>
    <s v="Smart, Mr. John Montgomery"/>
    <s v="Mr."/>
    <x v="0"/>
    <n v="56"/>
    <x v="2"/>
    <n v="0"/>
    <n v="0"/>
    <x v="1"/>
    <s v="113792"/>
    <n v="26.55"/>
    <e v="#N/A"/>
    <n v="26.55"/>
    <x v="3"/>
    <x v="0"/>
    <x v="0"/>
  </r>
  <r>
    <n v="469"/>
    <n v="0"/>
    <x v="0"/>
    <n v="3"/>
    <x v="0"/>
    <s v="Scanlan, Mr. James"/>
    <s v="Mr."/>
    <x v="0"/>
    <n v="28"/>
    <x v="0"/>
    <n v="0"/>
    <n v="0"/>
    <x v="1"/>
    <s v="36209"/>
    <n v="7.7249999999999996"/>
    <e v="#N/A"/>
    <n v="7.7249999999999996"/>
    <x v="0"/>
    <x v="0"/>
    <x v="2"/>
  </r>
  <r>
    <n v="470"/>
    <n v="1"/>
    <x v="1"/>
    <n v="3"/>
    <x v="0"/>
    <s v="Baclini, Miss. Helene Barbara"/>
    <s v="Miss."/>
    <x v="1"/>
    <n v="0.75"/>
    <x v="3"/>
    <n v="2"/>
    <n v="1"/>
    <x v="6"/>
    <s v="2666"/>
    <n v="19.258299999999998"/>
    <n v="19.258299999999998"/>
    <e v="#N/A"/>
    <x v="3"/>
    <x v="0"/>
    <x v="1"/>
  </r>
  <r>
    <n v="471"/>
    <n v="0"/>
    <x v="0"/>
    <n v="3"/>
    <x v="0"/>
    <s v="Keefe, Mr. Arthur"/>
    <s v="Mr."/>
    <x v="0"/>
    <n v="28"/>
    <x v="0"/>
    <n v="0"/>
    <n v="0"/>
    <x v="1"/>
    <s v="323592"/>
    <n v="7.25"/>
    <e v="#N/A"/>
    <n v="7.25"/>
    <x v="0"/>
    <x v="0"/>
    <x v="0"/>
  </r>
  <r>
    <n v="472"/>
    <n v="0"/>
    <x v="0"/>
    <n v="3"/>
    <x v="0"/>
    <s v="Cacic, Mr. Luka"/>
    <s v="Mr."/>
    <x v="0"/>
    <n v="38"/>
    <x v="1"/>
    <n v="0"/>
    <n v="0"/>
    <x v="1"/>
    <s v="315089"/>
    <n v="8.6624999999999996"/>
    <e v="#N/A"/>
    <n v="8.6624999999999996"/>
    <x v="2"/>
    <x v="0"/>
    <x v="0"/>
  </r>
  <r>
    <n v="473"/>
    <n v="1"/>
    <x v="1"/>
    <n v="2"/>
    <x v="2"/>
    <s v="West, Mrs. Edwy Arthur (Ada Mary Worth)"/>
    <s v="Mrs."/>
    <x v="1"/>
    <n v="33"/>
    <x v="1"/>
    <n v="1"/>
    <n v="2"/>
    <x v="6"/>
    <s v="C.A. 34651"/>
    <n v="27.75"/>
    <n v="27.75"/>
    <e v="#N/A"/>
    <x v="3"/>
    <x v="0"/>
    <x v="0"/>
  </r>
  <r>
    <n v="474"/>
    <n v="1"/>
    <x v="1"/>
    <n v="2"/>
    <x v="2"/>
    <s v="Jerwan, Mrs. Amin S (Marie Marthe Thuillard)"/>
    <s v="Mrs."/>
    <x v="1"/>
    <n v="23"/>
    <x v="0"/>
    <n v="0"/>
    <n v="0"/>
    <x v="1"/>
    <s v="SC/AH Basle 541"/>
    <n v="13.791700000000001"/>
    <n v="13.791700000000001"/>
    <e v="#N/A"/>
    <x v="2"/>
    <x v="53"/>
    <x v="1"/>
  </r>
  <r>
    <n v="475"/>
    <n v="0"/>
    <x v="0"/>
    <n v="3"/>
    <x v="0"/>
    <s v="Strandberg, Miss. Ida Sofia"/>
    <s v="Miss."/>
    <x v="1"/>
    <n v="22"/>
    <x v="0"/>
    <n v="0"/>
    <n v="0"/>
    <x v="1"/>
    <s v="7553"/>
    <n v="9.8375000000000004"/>
    <e v="#N/A"/>
    <n v="9.8375000000000004"/>
    <x v="2"/>
    <x v="0"/>
    <x v="0"/>
  </r>
  <r>
    <n v="476"/>
    <n v="0"/>
    <x v="0"/>
    <n v="1"/>
    <x v="1"/>
    <s v="Clifford, Mr. George Quincy"/>
    <s v="Mr."/>
    <x v="0"/>
    <n v="28"/>
    <x v="0"/>
    <n v="0"/>
    <n v="0"/>
    <x v="1"/>
    <s v="110465"/>
    <n v="52"/>
    <e v="#N/A"/>
    <n v="52"/>
    <x v="1"/>
    <x v="84"/>
    <x v="0"/>
  </r>
  <r>
    <n v="477"/>
    <n v="0"/>
    <x v="0"/>
    <n v="2"/>
    <x v="2"/>
    <s v="Renouf, Mr. Peter Henry"/>
    <s v="Mr."/>
    <x v="0"/>
    <n v="34"/>
    <x v="1"/>
    <n v="1"/>
    <n v="0"/>
    <x v="0"/>
    <s v="31027"/>
    <n v="21"/>
    <e v="#N/A"/>
    <n v="21"/>
    <x v="3"/>
    <x v="0"/>
    <x v="0"/>
  </r>
  <r>
    <n v="478"/>
    <n v="0"/>
    <x v="0"/>
    <n v="3"/>
    <x v="0"/>
    <s v="Braund, Mr. Lewis Richard"/>
    <s v="Mr."/>
    <x v="0"/>
    <n v="29"/>
    <x v="0"/>
    <n v="1"/>
    <n v="0"/>
    <x v="0"/>
    <s v="3460"/>
    <n v="7.0457999999999998"/>
    <e v="#N/A"/>
    <n v="7.0457999999999998"/>
    <x v="0"/>
    <x v="0"/>
    <x v="0"/>
  </r>
  <r>
    <n v="479"/>
    <n v="0"/>
    <x v="0"/>
    <n v="3"/>
    <x v="0"/>
    <s v="Karlsson, Mr. Nils August"/>
    <s v="Mr."/>
    <x v="0"/>
    <n v="22"/>
    <x v="0"/>
    <n v="0"/>
    <n v="0"/>
    <x v="1"/>
    <s v="350060"/>
    <n v="7.5208000000000004"/>
    <e v="#N/A"/>
    <n v="7.5208000000000004"/>
    <x v="0"/>
    <x v="0"/>
    <x v="0"/>
  </r>
  <r>
    <n v="480"/>
    <n v="1"/>
    <x v="1"/>
    <n v="3"/>
    <x v="0"/>
    <s v="Hirvonen, Miss. Hildur E"/>
    <s v="Miss."/>
    <x v="1"/>
    <n v="2"/>
    <x v="3"/>
    <n v="0"/>
    <n v="1"/>
    <x v="0"/>
    <s v="3101298"/>
    <n v="12.2875"/>
    <n v="12.2875"/>
    <e v="#N/A"/>
    <x v="2"/>
    <x v="0"/>
    <x v="0"/>
  </r>
  <r>
    <n v="481"/>
    <n v="0"/>
    <x v="0"/>
    <n v="3"/>
    <x v="0"/>
    <s v="Goodwin, Master. Harold Victor"/>
    <s v="Master."/>
    <x v="0"/>
    <n v="9"/>
    <x v="3"/>
    <n v="5"/>
    <n v="2"/>
    <x v="7"/>
    <s v="CA 2144"/>
    <n v="46.9"/>
    <e v="#N/A"/>
    <n v="46.9"/>
    <x v="1"/>
    <x v="0"/>
    <x v="0"/>
  </r>
  <r>
    <n v="482"/>
    <n v="0"/>
    <x v="0"/>
    <n v="2"/>
    <x v="2"/>
    <s v="Frost, Mr. Anthony Wood &quot;Archie&quot;"/>
    <s v="Mr."/>
    <x v="0"/>
    <n v="28"/>
    <x v="0"/>
    <n v="0"/>
    <n v="0"/>
    <x v="1"/>
    <s v="239854"/>
    <n v="0"/>
    <e v="#N/A"/>
    <n v="0"/>
    <x v="0"/>
    <x v="0"/>
    <x v="0"/>
  </r>
  <r>
    <n v="483"/>
    <n v="0"/>
    <x v="0"/>
    <n v="3"/>
    <x v="0"/>
    <s v="Rouse, Mr. Richard Henry"/>
    <s v="Mr."/>
    <x v="0"/>
    <n v="50"/>
    <x v="2"/>
    <n v="0"/>
    <n v="0"/>
    <x v="1"/>
    <s v="A/5 3594"/>
    <n v="8.0500000000000007"/>
    <e v="#N/A"/>
    <n v="8.0500000000000007"/>
    <x v="2"/>
    <x v="0"/>
    <x v="0"/>
  </r>
  <r>
    <n v="484"/>
    <n v="1"/>
    <x v="1"/>
    <n v="3"/>
    <x v="0"/>
    <s v="Turkula, Mrs. (Hedwig)"/>
    <s v="Mrs."/>
    <x v="1"/>
    <n v="63"/>
    <x v="6"/>
    <n v="0"/>
    <n v="0"/>
    <x v="1"/>
    <s v="4134"/>
    <n v="9.5875000000000004"/>
    <n v="9.5875000000000004"/>
    <e v="#N/A"/>
    <x v="2"/>
    <x v="0"/>
    <x v="0"/>
  </r>
  <r>
    <n v="485"/>
    <n v="1"/>
    <x v="1"/>
    <n v="1"/>
    <x v="1"/>
    <s v="Bishop, Mr. Dickinson H"/>
    <s v="Mr."/>
    <x v="0"/>
    <n v="25"/>
    <x v="0"/>
    <n v="1"/>
    <n v="0"/>
    <x v="0"/>
    <s v="11967"/>
    <n v="91.0792"/>
    <n v="91.0792"/>
    <e v="#N/A"/>
    <x v="1"/>
    <x v="52"/>
    <x v="1"/>
  </r>
  <r>
    <n v="486"/>
    <n v="0"/>
    <x v="0"/>
    <n v="3"/>
    <x v="0"/>
    <s v="Lefebre, Miss. Jeannie"/>
    <s v="Miss."/>
    <x v="1"/>
    <n v="28"/>
    <x v="0"/>
    <n v="3"/>
    <n v="1"/>
    <x v="2"/>
    <s v="4133"/>
    <n v="25.466699999999999"/>
    <e v="#N/A"/>
    <n v="25.466699999999999"/>
    <x v="3"/>
    <x v="0"/>
    <x v="0"/>
  </r>
  <r>
    <n v="487"/>
    <n v="1"/>
    <x v="1"/>
    <n v="1"/>
    <x v="1"/>
    <s v="Hoyt, Mrs. Frederick Maxfield (Jane Anne Forby)"/>
    <s v="Mrs."/>
    <x v="1"/>
    <n v="35"/>
    <x v="1"/>
    <n v="1"/>
    <n v="0"/>
    <x v="0"/>
    <s v="19943"/>
    <n v="90"/>
    <n v="90"/>
    <e v="#N/A"/>
    <x v="1"/>
    <x v="40"/>
    <x v="0"/>
  </r>
  <r>
    <n v="488"/>
    <n v="0"/>
    <x v="0"/>
    <n v="1"/>
    <x v="1"/>
    <s v="Kent, Mr. Edward Austin"/>
    <s v="Mr."/>
    <x v="0"/>
    <n v="58"/>
    <x v="2"/>
    <n v="0"/>
    <n v="0"/>
    <x v="1"/>
    <s v="11771"/>
    <n v="29.7"/>
    <e v="#N/A"/>
    <n v="29.7"/>
    <x v="3"/>
    <x v="85"/>
    <x v="1"/>
  </r>
  <r>
    <n v="489"/>
    <n v="0"/>
    <x v="0"/>
    <n v="3"/>
    <x v="0"/>
    <s v="Somerton, Mr. Francis William"/>
    <s v="Mr."/>
    <x v="0"/>
    <n v="30"/>
    <x v="1"/>
    <n v="0"/>
    <n v="0"/>
    <x v="1"/>
    <s v="A.5. 18509"/>
    <n v="8.0500000000000007"/>
    <e v="#N/A"/>
    <n v="8.0500000000000007"/>
    <x v="2"/>
    <x v="0"/>
    <x v="0"/>
  </r>
  <r>
    <n v="490"/>
    <n v="1"/>
    <x v="1"/>
    <n v="3"/>
    <x v="0"/>
    <s v="Coutts, Master. Eden Leslie &quot;Neville&quot;"/>
    <s v="Master."/>
    <x v="0"/>
    <n v="9"/>
    <x v="3"/>
    <n v="1"/>
    <n v="1"/>
    <x v="3"/>
    <s v="C.A. 37671"/>
    <n v="15.9"/>
    <n v="15.9"/>
    <e v="#N/A"/>
    <x v="3"/>
    <x v="0"/>
    <x v="0"/>
  </r>
  <r>
    <n v="491"/>
    <n v="0"/>
    <x v="0"/>
    <n v="3"/>
    <x v="0"/>
    <s v="Hagland, Mr. Konrad Mathias Reiersen"/>
    <s v="Mr."/>
    <x v="0"/>
    <n v="28"/>
    <x v="0"/>
    <n v="1"/>
    <n v="0"/>
    <x v="0"/>
    <s v="65304"/>
    <n v="19.966699999999999"/>
    <e v="#N/A"/>
    <n v="19.966699999999999"/>
    <x v="3"/>
    <x v="0"/>
    <x v="0"/>
  </r>
  <r>
    <n v="492"/>
    <n v="0"/>
    <x v="0"/>
    <n v="3"/>
    <x v="0"/>
    <s v="Windelov, Mr. Einar"/>
    <s v="Mr."/>
    <x v="0"/>
    <n v="21"/>
    <x v="0"/>
    <n v="0"/>
    <n v="0"/>
    <x v="1"/>
    <s v="SOTON/OQ 3101317"/>
    <n v="7.25"/>
    <e v="#N/A"/>
    <n v="7.25"/>
    <x v="0"/>
    <x v="0"/>
    <x v="0"/>
  </r>
  <r>
    <n v="493"/>
    <n v="0"/>
    <x v="0"/>
    <n v="1"/>
    <x v="1"/>
    <s v="Molson, Mr. Harry Markland"/>
    <s v="Mr."/>
    <x v="0"/>
    <n v="55"/>
    <x v="2"/>
    <n v="0"/>
    <n v="0"/>
    <x v="1"/>
    <s v="113787"/>
    <n v="30.5"/>
    <e v="#N/A"/>
    <n v="30.5"/>
    <x v="1"/>
    <x v="86"/>
    <x v="0"/>
  </r>
  <r>
    <n v="494"/>
    <n v="0"/>
    <x v="0"/>
    <n v="1"/>
    <x v="1"/>
    <s v="Artagaveytia, Mr. Ramon"/>
    <s v="Mr."/>
    <x v="0"/>
    <n v="71"/>
    <x v="7"/>
    <n v="0"/>
    <n v="0"/>
    <x v="1"/>
    <s v="PC 17609"/>
    <n v="49.504199999999997"/>
    <e v="#N/A"/>
    <n v="49.504199999999997"/>
    <x v="1"/>
    <x v="0"/>
    <x v="1"/>
  </r>
  <r>
    <n v="495"/>
    <n v="0"/>
    <x v="0"/>
    <n v="3"/>
    <x v="0"/>
    <s v="Stanley, Mr. Edward Roland"/>
    <s v="Mr."/>
    <x v="0"/>
    <n v="21"/>
    <x v="0"/>
    <n v="0"/>
    <n v="0"/>
    <x v="1"/>
    <s v="A/4 45380"/>
    <n v="8.0500000000000007"/>
    <e v="#N/A"/>
    <n v="8.0500000000000007"/>
    <x v="2"/>
    <x v="0"/>
    <x v="0"/>
  </r>
  <r>
    <n v="496"/>
    <n v="0"/>
    <x v="0"/>
    <n v="3"/>
    <x v="0"/>
    <s v="Yousseff, Mr. Gerious"/>
    <s v="Mr."/>
    <x v="0"/>
    <n v="28"/>
    <x v="0"/>
    <n v="0"/>
    <n v="0"/>
    <x v="1"/>
    <s v="2627"/>
    <n v="14.458299999999999"/>
    <e v="#N/A"/>
    <n v="14.458299999999999"/>
    <x v="2"/>
    <x v="0"/>
    <x v="1"/>
  </r>
  <r>
    <n v="497"/>
    <n v="1"/>
    <x v="1"/>
    <n v="1"/>
    <x v="1"/>
    <s v="Eustis, Miss. Elizabeth Mussey"/>
    <s v="Miss."/>
    <x v="1"/>
    <n v="54"/>
    <x v="2"/>
    <n v="1"/>
    <n v="0"/>
    <x v="0"/>
    <s v="36947"/>
    <n v="78.2667"/>
    <n v="78.2667"/>
    <e v="#N/A"/>
    <x v="1"/>
    <x v="87"/>
    <x v="1"/>
  </r>
  <r>
    <n v="498"/>
    <n v="0"/>
    <x v="0"/>
    <n v="3"/>
    <x v="0"/>
    <s v="Shellard, Mr. Frederick William"/>
    <s v="Mr."/>
    <x v="0"/>
    <n v="28"/>
    <x v="0"/>
    <n v="0"/>
    <n v="0"/>
    <x v="1"/>
    <s v="C.A. 6212"/>
    <n v="15.1"/>
    <e v="#N/A"/>
    <n v="15.1"/>
    <x v="3"/>
    <x v="0"/>
    <x v="0"/>
  </r>
  <r>
    <n v="499"/>
    <n v="0"/>
    <x v="0"/>
    <n v="1"/>
    <x v="1"/>
    <s v="Allison, Mrs. Hudson J C (Bessie Waldo Daniels)"/>
    <s v="Mrs."/>
    <x v="1"/>
    <n v="25"/>
    <x v="0"/>
    <n v="1"/>
    <n v="2"/>
    <x v="6"/>
    <s v="113781"/>
    <n v="151.55000000000001"/>
    <e v="#N/A"/>
    <n v="151.55000000000001"/>
    <x v="1"/>
    <x v="54"/>
    <x v="0"/>
  </r>
  <r>
    <n v="500"/>
    <n v="0"/>
    <x v="0"/>
    <n v="3"/>
    <x v="0"/>
    <s v="Svensson, Mr. Olof"/>
    <s v="Mr."/>
    <x v="0"/>
    <n v="24"/>
    <x v="0"/>
    <n v="0"/>
    <n v="0"/>
    <x v="1"/>
    <s v="350035"/>
    <n v="7.7957999999999998"/>
    <e v="#N/A"/>
    <n v="7.7957999999999998"/>
    <x v="0"/>
    <x v="0"/>
    <x v="0"/>
  </r>
  <r>
    <n v="501"/>
    <n v="0"/>
    <x v="0"/>
    <n v="3"/>
    <x v="0"/>
    <s v="Calic, Mr. Petar"/>
    <s v="Mr."/>
    <x v="0"/>
    <n v="17"/>
    <x v="4"/>
    <n v="0"/>
    <n v="0"/>
    <x v="1"/>
    <s v="315086"/>
    <n v="8.6624999999999996"/>
    <e v="#N/A"/>
    <n v="8.6624999999999996"/>
    <x v="2"/>
    <x v="0"/>
    <x v="0"/>
  </r>
  <r>
    <n v="502"/>
    <n v="0"/>
    <x v="0"/>
    <n v="3"/>
    <x v="0"/>
    <s v="Canavan, Miss. Mary"/>
    <s v="Miss."/>
    <x v="1"/>
    <n v="21"/>
    <x v="0"/>
    <n v="0"/>
    <n v="0"/>
    <x v="1"/>
    <s v="364846"/>
    <n v="7.75"/>
    <e v="#N/A"/>
    <n v="7.75"/>
    <x v="0"/>
    <x v="0"/>
    <x v="2"/>
  </r>
  <r>
    <n v="503"/>
    <n v="0"/>
    <x v="0"/>
    <n v="3"/>
    <x v="0"/>
    <s v="O'Sullivan, Miss. Bridget Mary"/>
    <s v="Miss."/>
    <x v="1"/>
    <n v="28"/>
    <x v="0"/>
    <n v="0"/>
    <n v="0"/>
    <x v="1"/>
    <s v="330909"/>
    <n v="7.6292"/>
    <e v="#N/A"/>
    <n v="7.6292"/>
    <x v="0"/>
    <x v="0"/>
    <x v="2"/>
  </r>
  <r>
    <n v="504"/>
    <n v="0"/>
    <x v="0"/>
    <n v="3"/>
    <x v="0"/>
    <s v="Laitinen, Miss. Kristina Sofia"/>
    <s v="Miss."/>
    <x v="1"/>
    <n v="37"/>
    <x v="1"/>
    <n v="0"/>
    <n v="0"/>
    <x v="1"/>
    <s v="4135"/>
    <n v="9.5875000000000004"/>
    <e v="#N/A"/>
    <n v="9.5875000000000004"/>
    <x v="2"/>
    <x v="0"/>
    <x v="0"/>
  </r>
  <r>
    <n v="505"/>
    <n v="1"/>
    <x v="1"/>
    <n v="1"/>
    <x v="1"/>
    <s v="Maioni, Miss. Roberta"/>
    <s v="Miss."/>
    <x v="1"/>
    <n v="16"/>
    <x v="4"/>
    <n v="0"/>
    <n v="0"/>
    <x v="1"/>
    <s v="110152"/>
    <n v="86.5"/>
    <n v="86.5"/>
    <e v="#N/A"/>
    <x v="1"/>
    <x v="88"/>
    <x v="0"/>
  </r>
  <r>
    <n v="506"/>
    <n v="0"/>
    <x v="0"/>
    <n v="1"/>
    <x v="1"/>
    <s v="Penasco y Castellana, Mr. Victor de Satode"/>
    <s v="Mr."/>
    <x v="0"/>
    <n v="18"/>
    <x v="4"/>
    <n v="1"/>
    <n v="0"/>
    <x v="0"/>
    <s v="PC 17758"/>
    <n v="108.9"/>
    <e v="#N/A"/>
    <n v="108.9"/>
    <x v="1"/>
    <x v="56"/>
    <x v="1"/>
  </r>
  <r>
    <n v="507"/>
    <n v="1"/>
    <x v="1"/>
    <n v="2"/>
    <x v="2"/>
    <s v="Quick, Mrs. Frederick Charles (Jane Richards)"/>
    <s v="Mrs."/>
    <x v="1"/>
    <n v="33"/>
    <x v="1"/>
    <n v="0"/>
    <n v="2"/>
    <x v="3"/>
    <s v="26360"/>
    <n v="26"/>
    <n v="26"/>
    <e v="#N/A"/>
    <x v="3"/>
    <x v="0"/>
    <x v="0"/>
  </r>
  <r>
    <n v="508"/>
    <n v="1"/>
    <x v="1"/>
    <n v="1"/>
    <x v="1"/>
    <s v="Bradley, Mr. George (&quot;George Arthur Brayton&quot;)"/>
    <s v="Mr."/>
    <x v="0"/>
    <n v="28"/>
    <x v="0"/>
    <n v="0"/>
    <n v="0"/>
    <x v="1"/>
    <s v="111427"/>
    <n v="26.55"/>
    <n v="26.55"/>
    <e v="#N/A"/>
    <x v="3"/>
    <x v="0"/>
    <x v="0"/>
  </r>
  <r>
    <n v="509"/>
    <n v="0"/>
    <x v="0"/>
    <n v="3"/>
    <x v="0"/>
    <s v="Olsen, Mr. Henry Margido"/>
    <s v="Mr."/>
    <x v="0"/>
    <n v="28"/>
    <x v="0"/>
    <n v="0"/>
    <n v="0"/>
    <x v="1"/>
    <s v="C 4001"/>
    <n v="22.524999999999999"/>
    <e v="#N/A"/>
    <n v="22.524999999999999"/>
    <x v="3"/>
    <x v="0"/>
    <x v="0"/>
  </r>
  <r>
    <n v="510"/>
    <n v="1"/>
    <x v="1"/>
    <n v="3"/>
    <x v="0"/>
    <s v="Lang, Mr. Fang"/>
    <s v="Mr."/>
    <x v="0"/>
    <n v="26"/>
    <x v="0"/>
    <n v="0"/>
    <n v="0"/>
    <x v="1"/>
    <s v="1601"/>
    <n v="56.495800000000003"/>
    <n v="56.495800000000003"/>
    <e v="#N/A"/>
    <x v="1"/>
    <x v="0"/>
    <x v="0"/>
  </r>
  <r>
    <n v="511"/>
    <n v="1"/>
    <x v="1"/>
    <n v="3"/>
    <x v="0"/>
    <s v="Daly, Mr. Eugene Patrick"/>
    <s v="Mr."/>
    <x v="0"/>
    <n v="29"/>
    <x v="0"/>
    <n v="0"/>
    <n v="0"/>
    <x v="1"/>
    <s v="382651"/>
    <n v="7.75"/>
    <n v="7.75"/>
    <e v="#N/A"/>
    <x v="0"/>
    <x v="0"/>
    <x v="2"/>
  </r>
  <r>
    <n v="512"/>
    <n v="0"/>
    <x v="0"/>
    <n v="3"/>
    <x v="0"/>
    <s v="Webber, Mr. James"/>
    <s v="Mr."/>
    <x v="0"/>
    <n v="28"/>
    <x v="0"/>
    <n v="0"/>
    <n v="0"/>
    <x v="1"/>
    <s v="SOTON/OQ 3101316"/>
    <n v="8.0500000000000007"/>
    <e v="#N/A"/>
    <n v="8.0500000000000007"/>
    <x v="2"/>
    <x v="0"/>
    <x v="0"/>
  </r>
  <r>
    <n v="513"/>
    <n v="1"/>
    <x v="1"/>
    <n v="1"/>
    <x v="1"/>
    <s v="McGough, Mr. James Robert"/>
    <s v="Mr."/>
    <x v="0"/>
    <n v="36"/>
    <x v="1"/>
    <n v="0"/>
    <n v="0"/>
    <x v="1"/>
    <s v="PC 17473"/>
    <n v="26.287500000000001"/>
    <n v="26.287500000000001"/>
    <e v="#N/A"/>
    <x v="3"/>
    <x v="89"/>
    <x v="0"/>
  </r>
  <r>
    <n v="514"/>
    <n v="1"/>
    <x v="1"/>
    <n v="1"/>
    <x v="1"/>
    <s v="Rothschild, Mrs. Martin (Elizabeth L. Barrett)"/>
    <s v="Mrs."/>
    <x v="1"/>
    <n v="54"/>
    <x v="2"/>
    <n v="1"/>
    <n v="0"/>
    <x v="0"/>
    <s v="PC 17603"/>
    <n v="59.4"/>
    <n v="59.4"/>
    <e v="#N/A"/>
    <x v="1"/>
    <x v="0"/>
    <x v="1"/>
  </r>
  <r>
    <n v="515"/>
    <n v="0"/>
    <x v="0"/>
    <n v="3"/>
    <x v="0"/>
    <s v="Coleff, Mr. Satio"/>
    <s v="Mr."/>
    <x v="0"/>
    <n v="24"/>
    <x v="0"/>
    <n v="0"/>
    <n v="0"/>
    <x v="1"/>
    <s v="349209"/>
    <n v="7.4958"/>
    <e v="#N/A"/>
    <n v="7.4958"/>
    <x v="0"/>
    <x v="0"/>
    <x v="0"/>
  </r>
  <r>
    <n v="516"/>
    <n v="0"/>
    <x v="0"/>
    <n v="1"/>
    <x v="1"/>
    <s v="Walker, Mr. William Anderson"/>
    <s v="Mr."/>
    <x v="0"/>
    <n v="47"/>
    <x v="5"/>
    <n v="0"/>
    <n v="0"/>
    <x v="1"/>
    <s v="36967"/>
    <n v="34.020800000000001"/>
    <e v="#N/A"/>
    <n v="34.020800000000001"/>
    <x v="1"/>
    <x v="90"/>
    <x v="0"/>
  </r>
  <r>
    <n v="517"/>
    <n v="1"/>
    <x v="1"/>
    <n v="2"/>
    <x v="2"/>
    <s v="Lemore, Mrs. (Amelia Milley)"/>
    <s v="Mrs."/>
    <x v="1"/>
    <n v="34"/>
    <x v="1"/>
    <n v="0"/>
    <n v="0"/>
    <x v="1"/>
    <s v="C.A. 34260"/>
    <n v="10.5"/>
    <n v="10.5"/>
    <e v="#N/A"/>
    <x v="2"/>
    <x v="15"/>
    <x v="0"/>
  </r>
  <r>
    <n v="518"/>
    <n v="0"/>
    <x v="0"/>
    <n v="3"/>
    <x v="0"/>
    <s v="Ryan, Mr. Patrick"/>
    <s v="Mr."/>
    <x v="0"/>
    <n v="28"/>
    <x v="0"/>
    <n v="0"/>
    <n v="0"/>
    <x v="1"/>
    <s v="371110"/>
    <n v="24.15"/>
    <e v="#N/A"/>
    <n v="24.15"/>
    <x v="3"/>
    <x v="0"/>
    <x v="2"/>
  </r>
  <r>
    <n v="519"/>
    <n v="1"/>
    <x v="1"/>
    <n v="2"/>
    <x v="2"/>
    <s v="Angle, Mrs. William A (Florence &quot;Mary&quot; Agnes Hughes)"/>
    <s v="Mrs."/>
    <x v="1"/>
    <n v="36"/>
    <x v="1"/>
    <n v="1"/>
    <n v="0"/>
    <x v="0"/>
    <s v="226875"/>
    <n v="26"/>
    <n v="26"/>
    <e v="#N/A"/>
    <x v="3"/>
    <x v="0"/>
    <x v="0"/>
  </r>
  <r>
    <n v="520"/>
    <n v="0"/>
    <x v="0"/>
    <n v="3"/>
    <x v="0"/>
    <s v="Pavlovic, Mr. Stefo"/>
    <s v="Mr."/>
    <x v="0"/>
    <n v="32"/>
    <x v="1"/>
    <n v="0"/>
    <n v="0"/>
    <x v="1"/>
    <s v="349242"/>
    <n v="7.8958000000000004"/>
    <e v="#N/A"/>
    <n v="7.8958000000000004"/>
    <x v="0"/>
    <x v="0"/>
    <x v="0"/>
  </r>
  <r>
    <n v="521"/>
    <n v="1"/>
    <x v="1"/>
    <n v="1"/>
    <x v="1"/>
    <s v="Perreault, Miss. Anne"/>
    <s v="Miss."/>
    <x v="1"/>
    <n v="30"/>
    <x v="1"/>
    <n v="0"/>
    <n v="0"/>
    <x v="1"/>
    <s v="12749"/>
    <n v="93.5"/>
    <n v="93.5"/>
    <e v="#N/A"/>
    <x v="1"/>
    <x v="91"/>
    <x v="0"/>
  </r>
  <r>
    <n v="522"/>
    <n v="0"/>
    <x v="0"/>
    <n v="3"/>
    <x v="0"/>
    <s v="Vovk, Mr. Janko"/>
    <s v="Mr."/>
    <x v="0"/>
    <n v="22"/>
    <x v="0"/>
    <n v="0"/>
    <n v="0"/>
    <x v="1"/>
    <s v="349252"/>
    <n v="7.8958000000000004"/>
    <e v="#N/A"/>
    <n v="7.8958000000000004"/>
    <x v="0"/>
    <x v="0"/>
    <x v="0"/>
  </r>
  <r>
    <n v="523"/>
    <n v="0"/>
    <x v="0"/>
    <n v="3"/>
    <x v="0"/>
    <s v="Lahoud, Mr. Sarkis"/>
    <s v="Mr."/>
    <x v="0"/>
    <n v="28"/>
    <x v="0"/>
    <n v="0"/>
    <n v="0"/>
    <x v="1"/>
    <s v="2624"/>
    <n v="7.2249999999999996"/>
    <e v="#N/A"/>
    <n v="7.2249999999999996"/>
    <x v="0"/>
    <x v="0"/>
    <x v="1"/>
  </r>
  <r>
    <n v="524"/>
    <n v="1"/>
    <x v="1"/>
    <n v="1"/>
    <x v="1"/>
    <s v="Hippach, Mrs. Louis Albert (Ida Sophia Fischer)"/>
    <s v="Mrs."/>
    <x v="1"/>
    <n v="44"/>
    <x v="5"/>
    <n v="0"/>
    <n v="1"/>
    <x v="0"/>
    <s v="111361"/>
    <n v="57.979199999999999"/>
    <n v="57.979199999999999"/>
    <e v="#N/A"/>
    <x v="1"/>
    <x v="63"/>
    <x v="1"/>
  </r>
  <r>
    <n v="525"/>
    <n v="0"/>
    <x v="0"/>
    <n v="3"/>
    <x v="0"/>
    <s v="Kassem, Mr. Fared"/>
    <s v="Mr."/>
    <x v="0"/>
    <n v="28"/>
    <x v="0"/>
    <n v="0"/>
    <n v="0"/>
    <x v="1"/>
    <s v="2700"/>
    <n v="7.2291999999999996"/>
    <e v="#N/A"/>
    <n v="7.2291999999999996"/>
    <x v="0"/>
    <x v="0"/>
    <x v="1"/>
  </r>
  <r>
    <n v="526"/>
    <n v="0"/>
    <x v="0"/>
    <n v="3"/>
    <x v="0"/>
    <s v="Farrell, Mr. James"/>
    <s v="Mr."/>
    <x v="0"/>
    <n v="40.5"/>
    <x v="5"/>
    <n v="0"/>
    <n v="0"/>
    <x v="1"/>
    <s v="367232"/>
    <n v="7.75"/>
    <e v="#N/A"/>
    <n v="7.75"/>
    <x v="0"/>
    <x v="0"/>
    <x v="2"/>
  </r>
  <r>
    <n v="527"/>
    <n v="1"/>
    <x v="1"/>
    <n v="2"/>
    <x v="2"/>
    <s v="Ridsdale, Miss. Lucy"/>
    <s v="Miss."/>
    <x v="1"/>
    <n v="50"/>
    <x v="2"/>
    <n v="0"/>
    <n v="0"/>
    <x v="1"/>
    <s v="W./C. 14258"/>
    <n v="10.5"/>
    <n v="10.5"/>
    <e v="#N/A"/>
    <x v="2"/>
    <x v="0"/>
    <x v="0"/>
  </r>
  <r>
    <n v="528"/>
    <n v="0"/>
    <x v="0"/>
    <n v="1"/>
    <x v="1"/>
    <s v="Farthing, Mr. John"/>
    <s v="Mr."/>
    <x v="0"/>
    <n v="28"/>
    <x v="0"/>
    <n v="0"/>
    <n v="0"/>
    <x v="1"/>
    <s v="PC 17483"/>
    <n v="221.7792"/>
    <e v="#N/A"/>
    <n v="221.7792"/>
    <x v="1"/>
    <x v="92"/>
    <x v="0"/>
  </r>
  <r>
    <n v="529"/>
    <n v="0"/>
    <x v="0"/>
    <n v="3"/>
    <x v="0"/>
    <s v="Salonen, Mr. Johan Werner"/>
    <s v="Mr."/>
    <x v="0"/>
    <n v="39"/>
    <x v="1"/>
    <n v="0"/>
    <n v="0"/>
    <x v="1"/>
    <s v="3101296"/>
    <n v="7.9249999999999998"/>
    <e v="#N/A"/>
    <n v="7.9249999999999998"/>
    <x v="0"/>
    <x v="0"/>
    <x v="0"/>
  </r>
  <r>
    <n v="530"/>
    <n v="0"/>
    <x v="0"/>
    <n v="2"/>
    <x v="2"/>
    <s v="Hocking, Mr. Richard George"/>
    <s v="Mr."/>
    <x v="0"/>
    <n v="23"/>
    <x v="0"/>
    <n v="2"/>
    <n v="1"/>
    <x v="6"/>
    <s v="29104"/>
    <n v="11.5"/>
    <e v="#N/A"/>
    <n v="11.5"/>
    <x v="2"/>
    <x v="0"/>
    <x v="0"/>
  </r>
  <r>
    <n v="531"/>
    <n v="1"/>
    <x v="1"/>
    <n v="2"/>
    <x v="2"/>
    <s v="Quick, Miss. Phyllis May"/>
    <s v="Miss."/>
    <x v="1"/>
    <n v="2"/>
    <x v="3"/>
    <n v="1"/>
    <n v="1"/>
    <x v="3"/>
    <s v="26360"/>
    <n v="26"/>
    <n v="26"/>
    <e v="#N/A"/>
    <x v="3"/>
    <x v="0"/>
    <x v="0"/>
  </r>
  <r>
    <n v="532"/>
    <n v="0"/>
    <x v="0"/>
    <n v="3"/>
    <x v="0"/>
    <s v="Toufik, Mr. Nakli"/>
    <s v="Mr."/>
    <x v="0"/>
    <n v="28"/>
    <x v="0"/>
    <n v="0"/>
    <n v="0"/>
    <x v="1"/>
    <s v="2641"/>
    <n v="7.2291999999999996"/>
    <e v="#N/A"/>
    <n v="7.2291999999999996"/>
    <x v="0"/>
    <x v="0"/>
    <x v="1"/>
  </r>
  <r>
    <n v="533"/>
    <n v="0"/>
    <x v="0"/>
    <n v="3"/>
    <x v="0"/>
    <s v="Elias, Mr. Joseph Jr"/>
    <s v="Mr."/>
    <x v="0"/>
    <n v="17"/>
    <x v="4"/>
    <n v="1"/>
    <n v="1"/>
    <x v="3"/>
    <s v="2690"/>
    <n v="7.2291999999999996"/>
    <e v="#N/A"/>
    <n v="7.2291999999999996"/>
    <x v="0"/>
    <x v="0"/>
    <x v="1"/>
  </r>
  <r>
    <n v="534"/>
    <n v="1"/>
    <x v="1"/>
    <n v="3"/>
    <x v="0"/>
    <s v="Peter, Mrs. Catherine (Catherine Rizk)"/>
    <s v="Mrs."/>
    <x v="1"/>
    <n v="28"/>
    <x v="0"/>
    <n v="0"/>
    <n v="2"/>
    <x v="3"/>
    <s v="2668"/>
    <n v="22.3583"/>
    <n v="22.3583"/>
    <e v="#N/A"/>
    <x v="3"/>
    <x v="0"/>
    <x v="1"/>
  </r>
  <r>
    <n v="535"/>
    <n v="0"/>
    <x v="0"/>
    <n v="3"/>
    <x v="0"/>
    <s v="Cacic, Miss. Marija"/>
    <s v="Miss."/>
    <x v="1"/>
    <n v="30"/>
    <x v="1"/>
    <n v="0"/>
    <n v="0"/>
    <x v="1"/>
    <s v="315084"/>
    <n v="8.6624999999999996"/>
    <e v="#N/A"/>
    <n v="8.6624999999999996"/>
    <x v="2"/>
    <x v="0"/>
    <x v="0"/>
  </r>
  <r>
    <n v="536"/>
    <n v="1"/>
    <x v="1"/>
    <n v="2"/>
    <x v="2"/>
    <s v="Hart, Miss. Eva Miriam"/>
    <s v="Miss."/>
    <x v="1"/>
    <n v="7"/>
    <x v="3"/>
    <n v="0"/>
    <n v="2"/>
    <x v="3"/>
    <s v="F.C.C. 13529"/>
    <n v="26.25"/>
    <n v="26.25"/>
    <e v="#N/A"/>
    <x v="3"/>
    <x v="0"/>
    <x v="0"/>
  </r>
  <r>
    <n v="537"/>
    <n v="0"/>
    <x v="0"/>
    <n v="1"/>
    <x v="1"/>
    <s v="Butt, Major. Archibald Willingham"/>
    <s v="Major."/>
    <x v="0"/>
    <n v="45"/>
    <x v="5"/>
    <n v="0"/>
    <n v="0"/>
    <x v="1"/>
    <s v="113050"/>
    <n v="26.55"/>
    <e v="#N/A"/>
    <n v="26.55"/>
    <x v="3"/>
    <x v="93"/>
    <x v="0"/>
  </r>
  <r>
    <n v="538"/>
    <n v="1"/>
    <x v="1"/>
    <n v="1"/>
    <x v="1"/>
    <s v="LeRoy, Miss. Bertha"/>
    <s v="Miss."/>
    <x v="1"/>
    <n v="30"/>
    <x v="1"/>
    <n v="0"/>
    <n v="0"/>
    <x v="1"/>
    <s v="PC 17761"/>
    <n v="106.425"/>
    <n v="106.425"/>
    <e v="#N/A"/>
    <x v="1"/>
    <x v="0"/>
    <x v="1"/>
  </r>
  <r>
    <n v="539"/>
    <n v="0"/>
    <x v="0"/>
    <n v="3"/>
    <x v="0"/>
    <s v="Risien, Mr. Samuel Beard"/>
    <s v="Mr."/>
    <x v="0"/>
    <n v="28"/>
    <x v="0"/>
    <n v="0"/>
    <n v="0"/>
    <x v="1"/>
    <s v="364498"/>
    <n v="14.5"/>
    <e v="#N/A"/>
    <n v="14.5"/>
    <x v="2"/>
    <x v="0"/>
    <x v="0"/>
  </r>
  <r>
    <n v="540"/>
    <n v="1"/>
    <x v="1"/>
    <n v="1"/>
    <x v="1"/>
    <s v="Frolicher, Miss. Hedwig Margaritha"/>
    <s v="Miss."/>
    <x v="1"/>
    <n v="22"/>
    <x v="0"/>
    <n v="0"/>
    <n v="2"/>
    <x v="3"/>
    <s v="13568"/>
    <n v="49.5"/>
    <n v="49.5"/>
    <e v="#N/A"/>
    <x v="1"/>
    <x v="94"/>
    <x v="1"/>
  </r>
  <r>
    <n v="541"/>
    <n v="1"/>
    <x v="1"/>
    <n v="1"/>
    <x v="1"/>
    <s v="Crosby, Miss. Harriet R"/>
    <s v="Miss."/>
    <x v="1"/>
    <n v="36"/>
    <x v="1"/>
    <n v="0"/>
    <n v="2"/>
    <x v="3"/>
    <s v="WE/P 5735"/>
    <n v="71"/>
    <n v="71"/>
    <e v="#N/A"/>
    <x v="1"/>
    <x v="95"/>
    <x v="0"/>
  </r>
  <r>
    <n v="542"/>
    <n v="0"/>
    <x v="0"/>
    <n v="3"/>
    <x v="0"/>
    <s v="Andersson, Miss. Ingeborg Constanzia"/>
    <s v="Miss."/>
    <x v="1"/>
    <n v="9"/>
    <x v="3"/>
    <n v="4"/>
    <n v="2"/>
    <x v="4"/>
    <s v="347082"/>
    <n v="31.274999999999999"/>
    <e v="#N/A"/>
    <n v="31.274999999999999"/>
    <x v="1"/>
    <x v="0"/>
    <x v="0"/>
  </r>
  <r>
    <n v="543"/>
    <n v="0"/>
    <x v="0"/>
    <n v="3"/>
    <x v="0"/>
    <s v="Andersson, Miss. Sigrid Elisabeth"/>
    <s v="Miss."/>
    <x v="1"/>
    <n v="11"/>
    <x v="3"/>
    <n v="4"/>
    <n v="2"/>
    <x v="4"/>
    <s v="347082"/>
    <n v="31.274999999999999"/>
    <e v="#N/A"/>
    <n v="31.274999999999999"/>
    <x v="1"/>
    <x v="0"/>
    <x v="0"/>
  </r>
  <r>
    <n v="544"/>
    <n v="1"/>
    <x v="1"/>
    <n v="2"/>
    <x v="2"/>
    <s v="Beane, Mr. Edward"/>
    <s v="Mr."/>
    <x v="0"/>
    <n v="32"/>
    <x v="1"/>
    <n v="1"/>
    <n v="0"/>
    <x v="0"/>
    <s v="2908"/>
    <n v="26"/>
    <n v="26"/>
    <e v="#N/A"/>
    <x v="3"/>
    <x v="0"/>
    <x v="0"/>
  </r>
  <r>
    <n v="545"/>
    <n v="0"/>
    <x v="0"/>
    <n v="1"/>
    <x v="1"/>
    <s v="Douglas, Mr. Walter Donald"/>
    <s v="Mr."/>
    <x v="0"/>
    <n v="50"/>
    <x v="2"/>
    <n v="1"/>
    <n v="0"/>
    <x v="0"/>
    <s v="PC 17761"/>
    <n v="106.425"/>
    <e v="#N/A"/>
    <n v="106.425"/>
    <x v="1"/>
    <x v="96"/>
    <x v="1"/>
  </r>
  <r>
    <n v="546"/>
    <n v="0"/>
    <x v="0"/>
    <n v="1"/>
    <x v="1"/>
    <s v="Nicholson, Mr. Arthur Ernest"/>
    <s v="Mr."/>
    <x v="0"/>
    <n v="64"/>
    <x v="6"/>
    <n v="0"/>
    <n v="0"/>
    <x v="1"/>
    <s v="693"/>
    <n v="26"/>
    <e v="#N/A"/>
    <n v="26"/>
    <x v="3"/>
    <x v="0"/>
    <x v="0"/>
  </r>
  <r>
    <n v="547"/>
    <n v="1"/>
    <x v="1"/>
    <n v="2"/>
    <x v="2"/>
    <s v="Beane, Mrs. Edward (Ethel Clarke)"/>
    <s v="Mrs."/>
    <x v="1"/>
    <n v="19"/>
    <x v="4"/>
    <n v="1"/>
    <n v="0"/>
    <x v="0"/>
    <s v="2908"/>
    <n v="26"/>
    <n v="26"/>
    <e v="#N/A"/>
    <x v="3"/>
    <x v="0"/>
    <x v="0"/>
  </r>
  <r>
    <n v="548"/>
    <n v="1"/>
    <x v="1"/>
    <n v="2"/>
    <x v="2"/>
    <s v="Padro y Manent, Mr. Julian"/>
    <s v="Mr."/>
    <x v="0"/>
    <n v="28"/>
    <x v="0"/>
    <n v="0"/>
    <n v="0"/>
    <x v="1"/>
    <s v="SC/PARIS 2146"/>
    <n v="13.862500000000001"/>
    <n v="13.862500000000001"/>
    <e v="#N/A"/>
    <x v="2"/>
    <x v="0"/>
    <x v="1"/>
  </r>
  <r>
    <n v="549"/>
    <n v="0"/>
    <x v="0"/>
    <n v="3"/>
    <x v="0"/>
    <s v="Goldsmith, Mr. Frank John"/>
    <s v="Mr."/>
    <x v="0"/>
    <n v="33"/>
    <x v="1"/>
    <n v="1"/>
    <n v="1"/>
    <x v="3"/>
    <s v="363291"/>
    <n v="20.524999999999999"/>
    <e v="#N/A"/>
    <n v="20.524999999999999"/>
    <x v="3"/>
    <x v="0"/>
    <x v="0"/>
  </r>
  <r>
    <n v="550"/>
    <n v="1"/>
    <x v="1"/>
    <n v="2"/>
    <x v="2"/>
    <s v="Davies, Master. John Morgan Jr"/>
    <s v="Master."/>
    <x v="0"/>
    <n v="8"/>
    <x v="3"/>
    <n v="1"/>
    <n v="1"/>
    <x v="3"/>
    <s v="C.A. 33112"/>
    <n v="36.75"/>
    <n v="36.75"/>
    <e v="#N/A"/>
    <x v="1"/>
    <x v="0"/>
    <x v="0"/>
  </r>
  <r>
    <n v="551"/>
    <n v="1"/>
    <x v="1"/>
    <n v="1"/>
    <x v="1"/>
    <s v="Thayer, Mr. John Borland Jr"/>
    <s v="Mr."/>
    <x v="0"/>
    <n v="17"/>
    <x v="4"/>
    <n v="0"/>
    <n v="2"/>
    <x v="3"/>
    <s v="17421"/>
    <n v="110.88330000000001"/>
    <n v="110.88330000000001"/>
    <e v="#N/A"/>
    <x v="1"/>
    <x v="97"/>
    <x v="1"/>
  </r>
  <r>
    <n v="552"/>
    <n v="0"/>
    <x v="0"/>
    <n v="2"/>
    <x v="2"/>
    <s v="Sharp, Mr. Percival James R"/>
    <s v="Mr."/>
    <x v="0"/>
    <n v="27"/>
    <x v="0"/>
    <n v="0"/>
    <n v="0"/>
    <x v="1"/>
    <s v="244358"/>
    <n v="26"/>
    <e v="#N/A"/>
    <n v="26"/>
    <x v="3"/>
    <x v="0"/>
    <x v="0"/>
  </r>
  <r>
    <n v="553"/>
    <n v="0"/>
    <x v="0"/>
    <n v="3"/>
    <x v="0"/>
    <s v="O'Brien, Mr. Timothy"/>
    <s v="Mr."/>
    <x v="0"/>
    <n v="28"/>
    <x v="0"/>
    <n v="0"/>
    <n v="0"/>
    <x v="1"/>
    <s v="330979"/>
    <n v="7.8292000000000002"/>
    <e v="#N/A"/>
    <n v="7.8292000000000002"/>
    <x v="0"/>
    <x v="0"/>
    <x v="2"/>
  </r>
  <r>
    <n v="554"/>
    <n v="1"/>
    <x v="1"/>
    <n v="3"/>
    <x v="0"/>
    <s v="Leeni, Mr. Fahim (&quot;Philip Zenni&quot;)"/>
    <s v="Mr."/>
    <x v="0"/>
    <n v="22"/>
    <x v="0"/>
    <n v="0"/>
    <n v="0"/>
    <x v="1"/>
    <s v="2620"/>
    <n v="7.2249999999999996"/>
    <n v="7.2249999999999996"/>
    <e v="#N/A"/>
    <x v="0"/>
    <x v="0"/>
    <x v="1"/>
  </r>
  <r>
    <n v="555"/>
    <n v="1"/>
    <x v="1"/>
    <n v="3"/>
    <x v="0"/>
    <s v="Ohman, Miss. Velin"/>
    <s v="Miss."/>
    <x v="1"/>
    <n v="22"/>
    <x v="0"/>
    <n v="0"/>
    <n v="0"/>
    <x v="1"/>
    <s v="347085"/>
    <n v="7.7750000000000004"/>
    <n v="7.7750000000000004"/>
    <e v="#N/A"/>
    <x v="0"/>
    <x v="0"/>
    <x v="0"/>
  </r>
  <r>
    <n v="556"/>
    <n v="0"/>
    <x v="0"/>
    <n v="1"/>
    <x v="1"/>
    <s v="Wright, Mr. George"/>
    <s v="Mr."/>
    <x v="0"/>
    <n v="62"/>
    <x v="6"/>
    <n v="0"/>
    <n v="0"/>
    <x v="1"/>
    <s v="113807"/>
    <n v="26.55"/>
    <e v="#N/A"/>
    <n v="26.55"/>
    <x v="3"/>
    <x v="0"/>
    <x v="0"/>
  </r>
  <r>
    <n v="557"/>
    <n v="1"/>
    <x v="1"/>
    <n v="1"/>
    <x v="1"/>
    <s v="Duff Gordon, Lady. (Lucille Christiana Sutherland) (&quot;Mrs Morgan&quot;)"/>
    <s v="Lady."/>
    <x v="1"/>
    <n v="48"/>
    <x v="5"/>
    <n v="1"/>
    <n v="0"/>
    <x v="0"/>
    <s v="11755"/>
    <n v="39.6"/>
    <n v="39.6"/>
    <e v="#N/A"/>
    <x v="1"/>
    <x v="98"/>
    <x v="1"/>
  </r>
  <r>
    <n v="558"/>
    <n v="0"/>
    <x v="0"/>
    <n v="1"/>
    <x v="1"/>
    <s v="Robbins, Mr. Victor"/>
    <s v="Mr."/>
    <x v="0"/>
    <n v="28"/>
    <x v="0"/>
    <n v="0"/>
    <n v="0"/>
    <x v="1"/>
    <s v="PC 17757"/>
    <n v="227.52500000000001"/>
    <e v="#N/A"/>
    <n v="227.52500000000001"/>
    <x v="1"/>
    <x v="0"/>
    <x v="1"/>
  </r>
  <r>
    <n v="559"/>
    <n v="1"/>
    <x v="1"/>
    <n v="1"/>
    <x v="1"/>
    <s v="Taussig, Mrs. Emil (Tillie Mandelbaum)"/>
    <s v="Mrs."/>
    <x v="1"/>
    <n v="39"/>
    <x v="1"/>
    <n v="1"/>
    <n v="1"/>
    <x v="3"/>
    <s v="110413"/>
    <n v="79.650000000000006"/>
    <n v="79.650000000000006"/>
    <e v="#N/A"/>
    <x v="1"/>
    <x v="45"/>
    <x v="0"/>
  </r>
  <r>
    <n v="560"/>
    <n v="1"/>
    <x v="1"/>
    <n v="3"/>
    <x v="0"/>
    <s v="de Messemaeker, Mrs. Guillaume Joseph (Emma)"/>
    <s v="Mrs."/>
    <x v="1"/>
    <n v="36"/>
    <x v="1"/>
    <n v="1"/>
    <n v="0"/>
    <x v="0"/>
    <s v="345572"/>
    <n v="17.399999999999999"/>
    <n v="17.399999999999999"/>
    <e v="#N/A"/>
    <x v="3"/>
    <x v="0"/>
    <x v="0"/>
  </r>
  <r>
    <n v="561"/>
    <n v="0"/>
    <x v="0"/>
    <n v="3"/>
    <x v="0"/>
    <s v="Morrow, Mr. Thomas Rowan"/>
    <s v="Mr."/>
    <x v="0"/>
    <n v="28"/>
    <x v="0"/>
    <n v="0"/>
    <n v="0"/>
    <x v="1"/>
    <s v="372622"/>
    <n v="7.75"/>
    <e v="#N/A"/>
    <n v="7.75"/>
    <x v="0"/>
    <x v="0"/>
    <x v="2"/>
  </r>
  <r>
    <n v="562"/>
    <n v="0"/>
    <x v="0"/>
    <n v="3"/>
    <x v="0"/>
    <s v="Sivic, Mr. Husein"/>
    <s v="Mr."/>
    <x v="0"/>
    <n v="40"/>
    <x v="5"/>
    <n v="0"/>
    <n v="0"/>
    <x v="1"/>
    <s v="349251"/>
    <n v="7.8958000000000004"/>
    <e v="#N/A"/>
    <n v="7.8958000000000004"/>
    <x v="0"/>
    <x v="0"/>
    <x v="0"/>
  </r>
  <r>
    <n v="563"/>
    <n v="0"/>
    <x v="0"/>
    <n v="2"/>
    <x v="2"/>
    <s v="Norman, Mr. Robert Douglas"/>
    <s v="Mr."/>
    <x v="0"/>
    <n v="28"/>
    <x v="0"/>
    <n v="0"/>
    <n v="0"/>
    <x v="1"/>
    <s v="218629"/>
    <n v="13.5"/>
    <e v="#N/A"/>
    <n v="13.5"/>
    <x v="2"/>
    <x v="0"/>
    <x v="0"/>
  </r>
  <r>
    <n v="564"/>
    <n v="0"/>
    <x v="0"/>
    <n v="3"/>
    <x v="0"/>
    <s v="Simmons, Mr. John"/>
    <s v="Mr."/>
    <x v="0"/>
    <n v="28"/>
    <x v="0"/>
    <n v="0"/>
    <n v="0"/>
    <x v="1"/>
    <s v="SOTON/OQ 392082"/>
    <n v="8.0500000000000007"/>
    <e v="#N/A"/>
    <n v="8.0500000000000007"/>
    <x v="2"/>
    <x v="0"/>
    <x v="0"/>
  </r>
  <r>
    <n v="565"/>
    <n v="0"/>
    <x v="0"/>
    <n v="3"/>
    <x v="0"/>
    <s v="Meanwell, Miss. (Marion Ogden)"/>
    <s v="Miss."/>
    <x v="1"/>
    <n v="28"/>
    <x v="0"/>
    <n v="0"/>
    <n v="0"/>
    <x v="1"/>
    <s v="SOTON/O.Q. 392087"/>
    <n v="8.0500000000000007"/>
    <e v="#N/A"/>
    <n v="8.0500000000000007"/>
    <x v="2"/>
    <x v="0"/>
    <x v="0"/>
  </r>
  <r>
    <n v="566"/>
    <n v="0"/>
    <x v="0"/>
    <n v="3"/>
    <x v="0"/>
    <s v="Davies, Mr. Alfred J"/>
    <s v="Mr."/>
    <x v="0"/>
    <n v="24"/>
    <x v="0"/>
    <n v="2"/>
    <n v="0"/>
    <x v="3"/>
    <s v="A/4 48871"/>
    <n v="24.15"/>
    <e v="#N/A"/>
    <n v="24.15"/>
    <x v="3"/>
    <x v="0"/>
    <x v="0"/>
  </r>
  <r>
    <n v="567"/>
    <n v="0"/>
    <x v="0"/>
    <n v="3"/>
    <x v="0"/>
    <s v="Stoytcheff, Mr. Ilia"/>
    <s v="Mr."/>
    <x v="0"/>
    <n v="19"/>
    <x v="4"/>
    <n v="0"/>
    <n v="0"/>
    <x v="1"/>
    <s v="349205"/>
    <n v="7.8958000000000004"/>
    <e v="#N/A"/>
    <n v="7.8958000000000004"/>
    <x v="0"/>
    <x v="0"/>
    <x v="0"/>
  </r>
  <r>
    <n v="568"/>
    <n v="0"/>
    <x v="0"/>
    <n v="3"/>
    <x v="0"/>
    <s v="Palsson, Mrs. Nils (Alma Cornelia Berglund)"/>
    <s v="Mrs."/>
    <x v="1"/>
    <n v="29"/>
    <x v="0"/>
    <n v="0"/>
    <n v="4"/>
    <x v="2"/>
    <s v="349909"/>
    <n v="21.074999999999999"/>
    <e v="#N/A"/>
    <n v="21.074999999999999"/>
    <x v="3"/>
    <x v="0"/>
    <x v="0"/>
  </r>
  <r>
    <n v="569"/>
    <n v="0"/>
    <x v="0"/>
    <n v="3"/>
    <x v="0"/>
    <s v="Doharr, Mr. Tannous"/>
    <s v="Mr."/>
    <x v="0"/>
    <n v="28"/>
    <x v="0"/>
    <n v="0"/>
    <n v="0"/>
    <x v="1"/>
    <s v="2686"/>
    <n v="7.2291999999999996"/>
    <e v="#N/A"/>
    <n v="7.2291999999999996"/>
    <x v="0"/>
    <x v="0"/>
    <x v="1"/>
  </r>
  <r>
    <n v="570"/>
    <n v="1"/>
    <x v="1"/>
    <n v="3"/>
    <x v="0"/>
    <s v="Jonsson, Mr. Carl"/>
    <s v="Mr."/>
    <x v="0"/>
    <n v="32"/>
    <x v="1"/>
    <n v="0"/>
    <n v="0"/>
    <x v="1"/>
    <s v="350417"/>
    <n v="7.8541999999999996"/>
    <n v="7.8541999999999996"/>
    <e v="#N/A"/>
    <x v="0"/>
    <x v="0"/>
    <x v="0"/>
  </r>
  <r>
    <n v="571"/>
    <n v="1"/>
    <x v="1"/>
    <n v="2"/>
    <x v="2"/>
    <s v="Harris, Mr. George"/>
    <s v="Mr."/>
    <x v="0"/>
    <n v="62"/>
    <x v="6"/>
    <n v="0"/>
    <n v="0"/>
    <x v="1"/>
    <s v="S.W./PP 752"/>
    <n v="10.5"/>
    <n v="10.5"/>
    <e v="#N/A"/>
    <x v="2"/>
    <x v="0"/>
    <x v="0"/>
  </r>
  <r>
    <n v="572"/>
    <n v="1"/>
    <x v="1"/>
    <n v="1"/>
    <x v="1"/>
    <s v="Appleton, Mrs. Edward Dale (Charlotte Lamson)"/>
    <s v="Mrs."/>
    <x v="1"/>
    <n v="53"/>
    <x v="2"/>
    <n v="2"/>
    <n v="0"/>
    <x v="3"/>
    <s v="11769"/>
    <n v="51.479199999999999"/>
    <n v="51.479199999999999"/>
    <e v="#N/A"/>
    <x v="1"/>
    <x v="99"/>
    <x v="0"/>
  </r>
  <r>
    <n v="573"/>
    <n v="1"/>
    <x v="1"/>
    <n v="1"/>
    <x v="1"/>
    <s v="Flynn, Mr. John Irwin (&quot;Irving&quot;)"/>
    <s v="Mr."/>
    <x v="0"/>
    <n v="36"/>
    <x v="1"/>
    <n v="0"/>
    <n v="0"/>
    <x v="1"/>
    <s v="PC 17474"/>
    <n v="26.387499999999999"/>
    <n v="26.387499999999999"/>
    <e v="#N/A"/>
    <x v="3"/>
    <x v="89"/>
    <x v="0"/>
  </r>
  <r>
    <n v="574"/>
    <n v="1"/>
    <x v="1"/>
    <n v="3"/>
    <x v="0"/>
    <s v="Kelly, Miss. Mary"/>
    <s v="Miss."/>
    <x v="1"/>
    <n v="28"/>
    <x v="0"/>
    <n v="0"/>
    <n v="0"/>
    <x v="1"/>
    <s v="14312"/>
    <n v="7.75"/>
    <n v="7.75"/>
    <e v="#N/A"/>
    <x v="0"/>
    <x v="0"/>
    <x v="2"/>
  </r>
  <r>
    <n v="575"/>
    <n v="0"/>
    <x v="0"/>
    <n v="3"/>
    <x v="0"/>
    <s v="Rush, Mr. Alfred George John"/>
    <s v="Mr."/>
    <x v="0"/>
    <n v="16"/>
    <x v="4"/>
    <n v="0"/>
    <n v="0"/>
    <x v="1"/>
    <s v="A/4. 20589"/>
    <n v="8.0500000000000007"/>
    <e v="#N/A"/>
    <n v="8.0500000000000007"/>
    <x v="2"/>
    <x v="0"/>
    <x v="0"/>
  </r>
  <r>
    <n v="576"/>
    <n v="0"/>
    <x v="0"/>
    <n v="3"/>
    <x v="0"/>
    <s v="Patchett, Mr. George"/>
    <s v="Mr."/>
    <x v="0"/>
    <n v="19"/>
    <x v="4"/>
    <n v="0"/>
    <n v="0"/>
    <x v="1"/>
    <s v="358585"/>
    <n v="14.5"/>
    <e v="#N/A"/>
    <n v="14.5"/>
    <x v="2"/>
    <x v="0"/>
    <x v="0"/>
  </r>
  <r>
    <n v="577"/>
    <n v="1"/>
    <x v="1"/>
    <n v="2"/>
    <x v="2"/>
    <s v="Garside, Miss. Ethel"/>
    <s v="Miss."/>
    <x v="1"/>
    <n v="34"/>
    <x v="1"/>
    <n v="0"/>
    <n v="0"/>
    <x v="1"/>
    <s v="243880"/>
    <n v="13"/>
    <n v="13"/>
    <e v="#N/A"/>
    <x v="2"/>
    <x v="0"/>
    <x v="0"/>
  </r>
  <r>
    <n v="578"/>
    <n v="1"/>
    <x v="1"/>
    <n v="1"/>
    <x v="1"/>
    <s v="Silvey, Mrs. William Baird (Alice Munger)"/>
    <s v="Mrs."/>
    <x v="1"/>
    <n v="39"/>
    <x v="1"/>
    <n v="1"/>
    <n v="0"/>
    <x v="0"/>
    <s v="13507"/>
    <n v="55.9"/>
    <n v="55.9"/>
    <e v="#N/A"/>
    <x v="1"/>
    <x v="75"/>
    <x v="0"/>
  </r>
  <r>
    <n v="579"/>
    <n v="0"/>
    <x v="0"/>
    <n v="3"/>
    <x v="0"/>
    <s v="Caram, Mrs. Joseph (Maria Elias)"/>
    <s v="Mrs."/>
    <x v="1"/>
    <n v="28"/>
    <x v="0"/>
    <n v="1"/>
    <n v="0"/>
    <x v="0"/>
    <s v="2689"/>
    <n v="14.458299999999999"/>
    <e v="#N/A"/>
    <n v="14.458299999999999"/>
    <x v="2"/>
    <x v="0"/>
    <x v="1"/>
  </r>
  <r>
    <n v="580"/>
    <n v="1"/>
    <x v="1"/>
    <n v="3"/>
    <x v="0"/>
    <s v="Jussila, Mr. Eiriik"/>
    <s v="Mr."/>
    <x v="0"/>
    <n v="32"/>
    <x v="1"/>
    <n v="0"/>
    <n v="0"/>
    <x v="1"/>
    <s v="STON/O 2. 3101286"/>
    <n v="7.9249999999999998"/>
    <n v="7.9249999999999998"/>
    <e v="#N/A"/>
    <x v="0"/>
    <x v="0"/>
    <x v="0"/>
  </r>
  <r>
    <n v="581"/>
    <n v="1"/>
    <x v="1"/>
    <n v="2"/>
    <x v="2"/>
    <s v="Christy, Miss. Julie Rachel"/>
    <s v="Miss."/>
    <x v="1"/>
    <n v="25"/>
    <x v="0"/>
    <n v="1"/>
    <n v="1"/>
    <x v="3"/>
    <s v="237789"/>
    <n v="30"/>
    <n v="30"/>
    <e v="#N/A"/>
    <x v="1"/>
    <x v="0"/>
    <x v="0"/>
  </r>
  <r>
    <n v="582"/>
    <n v="1"/>
    <x v="1"/>
    <n v="1"/>
    <x v="1"/>
    <s v="Thayer, Mrs. John Borland (Marian Longstreth Morris)"/>
    <s v="Mrs."/>
    <x v="1"/>
    <n v="39"/>
    <x v="1"/>
    <n v="1"/>
    <n v="1"/>
    <x v="3"/>
    <s v="17421"/>
    <n v="110.88330000000001"/>
    <n v="110.88330000000001"/>
    <e v="#N/A"/>
    <x v="1"/>
    <x v="100"/>
    <x v="1"/>
  </r>
  <r>
    <n v="583"/>
    <n v="0"/>
    <x v="0"/>
    <n v="2"/>
    <x v="2"/>
    <s v="Downton, Mr. William James"/>
    <s v="Mr."/>
    <x v="0"/>
    <n v="54"/>
    <x v="2"/>
    <n v="0"/>
    <n v="0"/>
    <x v="1"/>
    <s v="28403"/>
    <n v="26"/>
    <e v="#N/A"/>
    <n v="26"/>
    <x v="3"/>
    <x v="0"/>
    <x v="0"/>
  </r>
  <r>
    <n v="584"/>
    <n v="0"/>
    <x v="0"/>
    <n v="1"/>
    <x v="1"/>
    <s v="Ross, Mr. John Hugo"/>
    <s v="Mr."/>
    <x v="0"/>
    <n v="36"/>
    <x v="1"/>
    <n v="0"/>
    <n v="0"/>
    <x v="1"/>
    <s v="13049"/>
    <n v="40.125"/>
    <e v="#N/A"/>
    <n v="40.125"/>
    <x v="1"/>
    <x v="101"/>
    <x v="1"/>
  </r>
  <r>
    <n v="585"/>
    <n v="0"/>
    <x v="0"/>
    <n v="3"/>
    <x v="0"/>
    <s v="Paulner, Mr. Uscher"/>
    <s v="Mr."/>
    <x v="0"/>
    <n v="28"/>
    <x v="0"/>
    <n v="0"/>
    <n v="0"/>
    <x v="1"/>
    <s v="3411"/>
    <n v="8.7125000000000004"/>
    <e v="#N/A"/>
    <n v="8.7125000000000004"/>
    <x v="2"/>
    <x v="0"/>
    <x v="1"/>
  </r>
  <r>
    <n v="586"/>
    <n v="1"/>
    <x v="1"/>
    <n v="1"/>
    <x v="1"/>
    <s v="Taussig, Miss. Ruth"/>
    <s v="Miss."/>
    <x v="1"/>
    <n v="18"/>
    <x v="4"/>
    <n v="0"/>
    <n v="2"/>
    <x v="3"/>
    <s v="110413"/>
    <n v="79.650000000000006"/>
    <n v="79.650000000000006"/>
    <e v="#N/A"/>
    <x v="1"/>
    <x v="102"/>
    <x v="0"/>
  </r>
  <r>
    <n v="587"/>
    <n v="0"/>
    <x v="0"/>
    <n v="2"/>
    <x v="2"/>
    <s v="Jarvis, Mr. John Denzil"/>
    <s v="Mr."/>
    <x v="0"/>
    <n v="47"/>
    <x v="5"/>
    <n v="0"/>
    <n v="0"/>
    <x v="1"/>
    <s v="237565"/>
    <n v="15"/>
    <e v="#N/A"/>
    <n v="15"/>
    <x v="3"/>
    <x v="0"/>
    <x v="0"/>
  </r>
  <r>
    <n v="588"/>
    <n v="1"/>
    <x v="1"/>
    <n v="1"/>
    <x v="1"/>
    <s v="Frolicher-Stehli, Mr. Maxmillian"/>
    <s v="Mr."/>
    <x v="0"/>
    <n v="60"/>
    <x v="6"/>
    <n v="1"/>
    <n v="1"/>
    <x v="3"/>
    <s v="13567"/>
    <n v="79.2"/>
    <n v="79.2"/>
    <e v="#N/A"/>
    <x v="1"/>
    <x v="103"/>
    <x v="1"/>
  </r>
  <r>
    <n v="589"/>
    <n v="0"/>
    <x v="0"/>
    <n v="3"/>
    <x v="0"/>
    <s v="Gilinski, Mr. Eliezer"/>
    <s v="Mr."/>
    <x v="0"/>
    <n v="22"/>
    <x v="0"/>
    <n v="0"/>
    <n v="0"/>
    <x v="1"/>
    <s v="14973"/>
    <n v="8.0500000000000007"/>
    <e v="#N/A"/>
    <n v="8.0500000000000007"/>
    <x v="2"/>
    <x v="0"/>
    <x v="0"/>
  </r>
  <r>
    <n v="590"/>
    <n v="0"/>
    <x v="0"/>
    <n v="3"/>
    <x v="0"/>
    <s v="Murdlin, Mr. Joseph"/>
    <s v="Mr."/>
    <x v="0"/>
    <n v="28"/>
    <x v="0"/>
    <n v="0"/>
    <n v="0"/>
    <x v="1"/>
    <s v="A./5. 3235"/>
    <n v="8.0500000000000007"/>
    <e v="#N/A"/>
    <n v="8.0500000000000007"/>
    <x v="2"/>
    <x v="0"/>
    <x v="0"/>
  </r>
  <r>
    <n v="591"/>
    <n v="0"/>
    <x v="0"/>
    <n v="3"/>
    <x v="0"/>
    <s v="Rintamaki, Mr. Matti"/>
    <s v="Mr."/>
    <x v="0"/>
    <n v="35"/>
    <x v="1"/>
    <n v="0"/>
    <n v="0"/>
    <x v="1"/>
    <s v="STON/O 2. 3101273"/>
    <n v="7.125"/>
    <e v="#N/A"/>
    <n v="7.125"/>
    <x v="0"/>
    <x v="0"/>
    <x v="0"/>
  </r>
  <r>
    <n v="592"/>
    <n v="1"/>
    <x v="1"/>
    <n v="1"/>
    <x v="1"/>
    <s v="Stephenson, Mrs. Walter Bertram (Martha Eustis)"/>
    <s v="Mrs."/>
    <x v="1"/>
    <n v="52"/>
    <x v="2"/>
    <n v="1"/>
    <n v="0"/>
    <x v="0"/>
    <s v="36947"/>
    <n v="78.2667"/>
    <n v="78.2667"/>
    <e v="#N/A"/>
    <x v="1"/>
    <x v="87"/>
    <x v="1"/>
  </r>
  <r>
    <n v="593"/>
    <n v="0"/>
    <x v="0"/>
    <n v="3"/>
    <x v="0"/>
    <s v="Elsbury, Mr. William James"/>
    <s v="Mr."/>
    <x v="0"/>
    <n v="47"/>
    <x v="5"/>
    <n v="0"/>
    <n v="0"/>
    <x v="1"/>
    <s v="A/5 3902"/>
    <n v="7.25"/>
    <e v="#N/A"/>
    <n v="7.25"/>
    <x v="0"/>
    <x v="0"/>
    <x v="0"/>
  </r>
  <r>
    <n v="594"/>
    <n v="0"/>
    <x v="0"/>
    <n v="3"/>
    <x v="0"/>
    <s v="Bourke, Miss. Mary"/>
    <s v="Miss."/>
    <x v="1"/>
    <n v="28"/>
    <x v="0"/>
    <n v="0"/>
    <n v="2"/>
    <x v="3"/>
    <s v="364848"/>
    <n v="7.75"/>
    <e v="#N/A"/>
    <n v="7.75"/>
    <x v="0"/>
    <x v="0"/>
    <x v="2"/>
  </r>
  <r>
    <n v="595"/>
    <n v="0"/>
    <x v="0"/>
    <n v="2"/>
    <x v="2"/>
    <s v="Chapman, Mr. John Henry"/>
    <s v="Mr."/>
    <x v="0"/>
    <n v="37"/>
    <x v="1"/>
    <n v="1"/>
    <n v="0"/>
    <x v="0"/>
    <s v="SC/AH 29037"/>
    <n v="26"/>
    <e v="#N/A"/>
    <n v="26"/>
    <x v="3"/>
    <x v="0"/>
    <x v="0"/>
  </r>
  <r>
    <n v="596"/>
    <n v="0"/>
    <x v="0"/>
    <n v="3"/>
    <x v="0"/>
    <s v="Van Impe, Mr. Jean Baptiste"/>
    <s v="Mr."/>
    <x v="0"/>
    <n v="36"/>
    <x v="1"/>
    <n v="1"/>
    <n v="1"/>
    <x v="3"/>
    <s v="345773"/>
    <n v="24.15"/>
    <e v="#N/A"/>
    <n v="24.15"/>
    <x v="3"/>
    <x v="0"/>
    <x v="0"/>
  </r>
  <r>
    <n v="597"/>
    <n v="1"/>
    <x v="1"/>
    <n v="2"/>
    <x v="2"/>
    <s v="Leitch, Miss. Jessie Wills"/>
    <s v="Miss."/>
    <x v="1"/>
    <n v="28"/>
    <x v="0"/>
    <n v="0"/>
    <n v="0"/>
    <x v="1"/>
    <s v="248727"/>
    <n v="33"/>
    <n v="33"/>
    <e v="#N/A"/>
    <x v="1"/>
    <x v="0"/>
    <x v="0"/>
  </r>
  <r>
    <n v="598"/>
    <n v="0"/>
    <x v="0"/>
    <n v="3"/>
    <x v="0"/>
    <s v="Johnson, Mr. Alfred"/>
    <s v="Mr."/>
    <x v="0"/>
    <n v="49"/>
    <x v="5"/>
    <n v="0"/>
    <n v="0"/>
    <x v="1"/>
    <s v="LINE"/>
    <n v="0"/>
    <e v="#N/A"/>
    <n v="0"/>
    <x v="0"/>
    <x v="0"/>
    <x v="0"/>
  </r>
  <r>
    <n v="599"/>
    <n v="0"/>
    <x v="0"/>
    <n v="3"/>
    <x v="0"/>
    <s v="Boulos, Mr. Hanna"/>
    <s v="Mr."/>
    <x v="0"/>
    <n v="28"/>
    <x v="0"/>
    <n v="0"/>
    <n v="0"/>
    <x v="1"/>
    <s v="2664"/>
    <n v="7.2249999999999996"/>
    <e v="#N/A"/>
    <n v="7.2249999999999996"/>
    <x v="0"/>
    <x v="0"/>
    <x v="1"/>
  </r>
  <r>
    <n v="600"/>
    <n v="1"/>
    <x v="1"/>
    <n v="1"/>
    <x v="1"/>
    <s v="Duff Gordon, Sir. Cosmo Edmund (&quot;Mr Morgan&quot;)"/>
    <s v="Sir."/>
    <x v="0"/>
    <n v="49"/>
    <x v="5"/>
    <n v="1"/>
    <n v="0"/>
    <x v="0"/>
    <s v="PC 17485"/>
    <n v="56.929200000000002"/>
    <n v="56.929200000000002"/>
    <e v="#N/A"/>
    <x v="1"/>
    <x v="104"/>
    <x v="1"/>
  </r>
  <r>
    <n v="601"/>
    <n v="1"/>
    <x v="1"/>
    <n v="2"/>
    <x v="2"/>
    <s v="Jacobsohn, Mrs. Sidney Samuel (Amy Frances Christy)"/>
    <s v="Mrs."/>
    <x v="1"/>
    <n v="24"/>
    <x v="0"/>
    <n v="2"/>
    <n v="1"/>
    <x v="6"/>
    <s v="243847"/>
    <n v="27"/>
    <n v="27"/>
    <e v="#N/A"/>
    <x v="3"/>
    <x v="0"/>
    <x v="0"/>
  </r>
  <r>
    <n v="602"/>
    <n v="0"/>
    <x v="0"/>
    <n v="3"/>
    <x v="0"/>
    <s v="Slabenoff, Mr. Petco"/>
    <s v="Mr."/>
    <x v="0"/>
    <n v="28"/>
    <x v="0"/>
    <n v="0"/>
    <n v="0"/>
    <x v="1"/>
    <s v="349214"/>
    <n v="7.8958000000000004"/>
    <e v="#N/A"/>
    <n v="7.8958000000000004"/>
    <x v="0"/>
    <x v="0"/>
    <x v="0"/>
  </r>
  <r>
    <n v="603"/>
    <n v="0"/>
    <x v="0"/>
    <n v="1"/>
    <x v="1"/>
    <s v="Harrington, Mr. Charles H"/>
    <s v="Mr."/>
    <x v="0"/>
    <n v="28"/>
    <x v="0"/>
    <n v="0"/>
    <n v="0"/>
    <x v="1"/>
    <s v="113796"/>
    <n v="42.4"/>
    <e v="#N/A"/>
    <n v="42.4"/>
    <x v="1"/>
    <x v="0"/>
    <x v="0"/>
  </r>
  <r>
    <n v="604"/>
    <n v="0"/>
    <x v="0"/>
    <n v="3"/>
    <x v="0"/>
    <s v="Torber, Mr. Ernst William"/>
    <s v="Mr."/>
    <x v="0"/>
    <n v="44"/>
    <x v="5"/>
    <n v="0"/>
    <n v="0"/>
    <x v="1"/>
    <s v="364511"/>
    <n v="8.0500000000000007"/>
    <e v="#N/A"/>
    <n v="8.0500000000000007"/>
    <x v="2"/>
    <x v="0"/>
    <x v="0"/>
  </r>
  <r>
    <n v="605"/>
    <n v="1"/>
    <x v="1"/>
    <n v="1"/>
    <x v="1"/>
    <s v="Homer, Mr. Harry (&quot;Mr E Haven&quot;)"/>
    <s v="Mr."/>
    <x v="0"/>
    <n v="35"/>
    <x v="1"/>
    <n v="0"/>
    <n v="0"/>
    <x v="1"/>
    <s v="111426"/>
    <n v="26.55"/>
    <n v="26.55"/>
    <e v="#N/A"/>
    <x v="3"/>
    <x v="0"/>
    <x v="1"/>
  </r>
  <r>
    <n v="606"/>
    <n v="0"/>
    <x v="0"/>
    <n v="3"/>
    <x v="0"/>
    <s v="Lindell, Mr. Edvard Bengtsson"/>
    <s v="Mr."/>
    <x v="0"/>
    <n v="36"/>
    <x v="1"/>
    <n v="1"/>
    <n v="0"/>
    <x v="0"/>
    <s v="349910"/>
    <n v="15.55"/>
    <e v="#N/A"/>
    <n v="15.55"/>
    <x v="3"/>
    <x v="0"/>
    <x v="0"/>
  </r>
  <r>
    <n v="607"/>
    <n v="0"/>
    <x v="0"/>
    <n v="3"/>
    <x v="0"/>
    <s v="Karaic, Mr. Milan"/>
    <s v="Mr."/>
    <x v="0"/>
    <n v="30"/>
    <x v="1"/>
    <n v="0"/>
    <n v="0"/>
    <x v="1"/>
    <s v="349246"/>
    <n v="7.8958000000000004"/>
    <e v="#N/A"/>
    <n v="7.8958000000000004"/>
    <x v="0"/>
    <x v="0"/>
    <x v="0"/>
  </r>
  <r>
    <n v="608"/>
    <n v="1"/>
    <x v="1"/>
    <n v="1"/>
    <x v="1"/>
    <s v="Daniel, Mr. Robert Williams"/>
    <s v="Mr."/>
    <x v="0"/>
    <n v="27"/>
    <x v="0"/>
    <n v="0"/>
    <n v="0"/>
    <x v="1"/>
    <s v="113804"/>
    <n v="30.5"/>
    <n v="30.5"/>
    <e v="#N/A"/>
    <x v="1"/>
    <x v="0"/>
    <x v="0"/>
  </r>
  <r>
    <n v="609"/>
    <n v="1"/>
    <x v="1"/>
    <n v="2"/>
    <x v="2"/>
    <s v="Laroche, Mrs. Joseph (Juliette Marie Louise Lafargue)"/>
    <s v="Mrs."/>
    <x v="1"/>
    <n v="22"/>
    <x v="0"/>
    <n v="1"/>
    <n v="2"/>
    <x v="6"/>
    <s v="SC/Paris 2123"/>
    <n v="41.5792"/>
    <n v="41.5792"/>
    <e v="#N/A"/>
    <x v="1"/>
    <x v="0"/>
    <x v="1"/>
  </r>
  <r>
    <n v="610"/>
    <n v="1"/>
    <x v="1"/>
    <n v="1"/>
    <x v="1"/>
    <s v="Shutes, Miss. Elizabeth W"/>
    <s v="Miss."/>
    <x v="1"/>
    <n v="40"/>
    <x v="5"/>
    <n v="0"/>
    <n v="0"/>
    <x v="1"/>
    <s v="PC 17582"/>
    <n v="153.46250000000001"/>
    <n v="153.46250000000001"/>
    <e v="#N/A"/>
    <x v="1"/>
    <x v="47"/>
    <x v="0"/>
  </r>
  <r>
    <n v="611"/>
    <n v="0"/>
    <x v="0"/>
    <n v="3"/>
    <x v="0"/>
    <s v="Andersson, Mrs. Anders Johan (Alfrida Konstantia Brogren)"/>
    <s v="Mrs."/>
    <x v="1"/>
    <n v="39"/>
    <x v="1"/>
    <n v="1"/>
    <n v="5"/>
    <x v="4"/>
    <s v="347082"/>
    <n v="31.274999999999999"/>
    <e v="#N/A"/>
    <n v="31.274999999999999"/>
    <x v="1"/>
    <x v="0"/>
    <x v="0"/>
  </r>
  <r>
    <n v="612"/>
    <n v="0"/>
    <x v="0"/>
    <n v="3"/>
    <x v="0"/>
    <s v="Jardin, Mr. Jose Neto"/>
    <s v="Mr."/>
    <x v="0"/>
    <n v="28"/>
    <x v="0"/>
    <n v="0"/>
    <n v="0"/>
    <x v="1"/>
    <s v="SOTON/O.Q. 3101305"/>
    <n v="7.05"/>
    <e v="#N/A"/>
    <n v="7.05"/>
    <x v="0"/>
    <x v="0"/>
    <x v="0"/>
  </r>
  <r>
    <n v="613"/>
    <n v="1"/>
    <x v="1"/>
    <n v="3"/>
    <x v="0"/>
    <s v="Murphy, Miss. Margaret Jane"/>
    <s v="Miss."/>
    <x v="1"/>
    <n v="28"/>
    <x v="0"/>
    <n v="1"/>
    <n v="0"/>
    <x v="0"/>
    <s v="367230"/>
    <n v="15.5"/>
    <n v="15.5"/>
    <e v="#N/A"/>
    <x v="3"/>
    <x v="0"/>
    <x v="2"/>
  </r>
  <r>
    <n v="614"/>
    <n v="0"/>
    <x v="0"/>
    <n v="3"/>
    <x v="0"/>
    <s v="Horgan, Mr. John"/>
    <s v="Mr."/>
    <x v="0"/>
    <n v="28"/>
    <x v="0"/>
    <n v="0"/>
    <n v="0"/>
    <x v="1"/>
    <s v="370377"/>
    <n v="7.75"/>
    <e v="#N/A"/>
    <n v="7.75"/>
    <x v="0"/>
    <x v="0"/>
    <x v="2"/>
  </r>
  <r>
    <n v="615"/>
    <n v="0"/>
    <x v="0"/>
    <n v="3"/>
    <x v="0"/>
    <s v="Brocklebank, Mr. William Alfred"/>
    <s v="Mr."/>
    <x v="0"/>
    <n v="35"/>
    <x v="1"/>
    <n v="0"/>
    <n v="0"/>
    <x v="1"/>
    <s v="364512"/>
    <n v="8.0500000000000007"/>
    <e v="#N/A"/>
    <n v="8.0500000000000007"/>
    <x v="2"/>
    <x v="0"/>
    <x v="0"/>
  </r>
  <r>
    <n v="616"/>
    <n v="1"/>
    <x v="1"/>
    <n v="2"/>
    <x v="2"/>
    <s v="Herman, Miss. Alice"/>
    <s v="Miss."/>
    <x v="1"/>
    <n v="24"/>
    <x v="0"/>
    <n v="1"/>
    <n v="2"/>
    <x v="6"/>
    <s v="220845"/>
    <n v="65"/>
    <n v="65"/>
    <e v="#N/A"/>
    <x v="1"/>
    <x v="0"/>
    <x v="0"/>
  </r>
  <r>
    <n v="617"/>
    <n v="0"/>
    <x v="0"/>
    <n v="3"/>
    <x v="0"/>
    <s v="Danbom, Mr. Ernst Gilbert"/>
    <s v="Mr."/>
    <x v="0"/>
    <n v="34"/>
    <x v="1"/>
    <n v="1"/>
    <n v="1"/>
    <x v="3"/>
    <s v="347080"/>
    <n v="14.4"/>
    <e v="#N/A"/>
    <n v="14.4"/>
    <x v="2"/>
    <x v="0"/>
    <x v="0"/>
  </r>
  <r>
    <n v="618"/>
    <n v="0"/>
    <x v="0"/>
    <n v="3"/>
    <x v="0"/>
    <s v="Lobb, Mrs. William Arthur (Cordelia K Stanlick)"/>
    <s v="Mrs."/>
    <x v="1"/>
    <n v="26"/>
    <x v="0"/>
    <n v="1"/>
    <n v="0"/>
    <x v="0"/>
    <s v="A/5. 3336"/>
    <n v="16.100000000000001"/>
    <e v="#N/A"/>
    <n v="16.100000000000001"/>
    <x v="3"/>
    <x v="0"/>
    <x v="0"/>
  </r>
  <r>
    <n v="619"/>
    <n v="1"/>
    <x v="1"/>
    <n v="2"/>
    <x v="2"/>
    <s v="Becker, Miss. Marion Louise"/>
    <s v="Miss."/>
    <x v="1"/>
    <n v="4"/>
    <x v="3"/>
    <n v="2"/>
    <n v="1"/>
    <x v="6"/>
    <s v="230136"/>
    <n v="39"/>
    <n v="39"/>
    <e v="#N/A"/>
    <x v="1"/>
    <x v="33"/>
    <x v="0"/>
  </r>
  <r>
    <n v="620"/>
    <n v="0"/>
    <x v="0"/>
    <n v="2"/>
    <x v="2"/>
    <s v="Gavey, Mr. Lawrence"/>
    <s v="Mr."/>
    <x v="0"/>
    <n v="26"/>
    <x v="0"/>
    <n v="0"/>
    <n v="0"/>
    <x v="1"/>
    <s v="31028"/>
    <n v="10.5"/>
    <e v="#N/A"/>
    <n v="10.5"/>
    <x v="2"/>
    <x v="0"/>
    <x v="0"/>
  </r>
  <r>
    <n v="621"/>
    <n v="0"/>
    <x v="0"/>
    <n v="3"/>
    <x v="0"/>
    <s v="Yasbeck, Mr. Antoni"/>
    <s v="Mr."/>
    <x v="0"/>
    <n v="27"/>
    <x v="0"/>
    <n v="1"/>
    <n v="0"/>
    <x v="0"/>
    <s v="2659"/>
    <n v="14.4542"/>
    <e v="#N/A"/>
    <n v="14.4542"/>
    <x v="2"/>
    <x v="0"/>
    <x v="1"/>
  </r>
  <r>
    <n v="622"/>
    <n v="1"/>
    <x v="1"/>
    <n v="1"/>
    <x v="1"/>
    <s v="Kimball, Mr. Edwin Nelson Jr"/>
    <s v="Mr."/>
    <x v="0"/>
    <n v="42"/>
    <x v="5"/>
    <n v="1"/>
    <n v="0"/>
    <x v="0"/>
    <s v="11753"/>
    <n v="52.554200000000002"/>
    <n v="52.554200000000002"/>
    <e v="#N/A"/>
    <x v="1"/>
    <x v="105"/>
    <x v="0"/>
  </r>
  <r>
    <n v="623"/>
    <n v="1"/>
    <x v="1"/>
    <n v="3"/>
    <x v="0"/>
    <s v="Nakid, Mr. Sahid"/>
    <s v="Mr."/>
    <x v="0"/>
    <n v="20"/>
    <x v="0"/>
    <n v="1"/>
    <n v="1"/>
    <x v="3"/>
    <s v="2653"/>
    <n v="15.7417"/>
    <n v="15.7417"/>
    <e v="#N/A"/>
    <x v="3"/>
    <x v="0"/>
    <x v="1"/>
  </r>
  <r>
    <n v="624"/>
    <n v="0"/>
    <x v="0"/>
    <n v="3"/>
    <x v="0"/>
    <s v="Hansen, Mr. Henry Damsgaard"/>
    <s v="Mr."/>
    <x v="0"/>
    <n v="21"/>
    <x v="0"/>
    <n v="0"/>
    <n v="0"/>
    <x v="1"/>
    <s v="350029"/>
    <n v="7.8541999999999996"/>
    <e v="#N/A"/>
    <n v="7.8541999999999996"/>
    <x v="0"/>
    <x v="0"/>
    <x v="0"/>
  </r>
  <r>
    <n v="625"/>
    <n v="0"/>
    <x v="0"/>
    <n v="3"/>
    <x v="0"/>
    <s v="Bowen, Mr. David John &quot;Dai&quot;"/>
    <s v="Mr."/>
    <x v="0"/>
    <n v="21"/>
    <x v="0"/>
    <n v="0"/>
    <n v="0"/>
    <x v="1"/>
    <s v="54636"/>
    <n v="16.100000000000001"/>
    <e v="#N/A"/>
    <n v="16.100000000000001"/>
    <x v="3"/>
    <x v="0"/>
    <x v="0"/>
  </r>
  <r>
    <n v="626"/>
    <n v="0"/>
    <x v="0"/>
    <n v="1"/>
    <x v="1"/>
    <s v="Sutton, Mr. Frederick"/>
    <s v="Mr."/>
    <x v="0"/>
    <n v="61"/>
    <x v="6"/>
    <n v="0"/>
    <n v="0"/>
    <x v="1"/>
    <s v="36963"/>
    <n v="32.320799999999998"/>
    <e v="#N/A"/>
    <n v="32.320799999999998"/>
    <x v="1"/>
    <x v="106"/>
    <x v="0"/>
  </r>
  <r>
    <n v="627"/>
    <n v="0"/>
    <x v="0"/>
    <n v="2"/>
    <x v="2"/>
    <s v="Kirkland, Rev. Charles Leonard"/>
    <s v="Rev."/>
    <x v="0"/>
    <n v="57"/>
    <x v="2"/>
    <n v="0"/>
    <n v="0"/>
    <x v="1"/>
    <s v="219533"/>
    <n v="12.35"/>
    <e v="#N/A"/>
    <n v="12.35"/>
    <x v="2"/>
    <x v="0"/>
    <x v="2"/>
  </r>
  <r>
    <n v="628"/>
    <n v="1"/>
    <x v="1"/>
    <n v="1"/>
    <x v="1"/>
    <s v="Longley, Miss. Gretchen Fiske"/>
    <s v="Miss."/>
    <x v="1"/>
    <n v="21"/>
    <x v="0"/>
    <n v="0"/>
    <n v="0"/>
    <x v="1"/>
    <s v="13502"/>
    <n v="77.958299999999994"/>
    <n v="77.958299999999994"/>
    <e v="#N/A"/>
    <x v="1"/>
    <x v="107"/>
    <x v="0"/>
  </r>
  <r>
    <n v="629"/>
    <n v="0"/>
    <x v="0"/>
    <n v="3"/>
    <x v="0"/>
    <s v="Bostandyeff, Mr. Guentcho"/>
    <s v="Mr."/>
    <x v="0"/>
    <n v="26"/>
    <x v="0"/>
    <n v="0"/>
    <n v="0"/>
    <x v="1"/>
    <s v="349224"/>
    <n v="7.8958000000000004"/>
    <e v="#N/A"/>
    <n v="7.8958000000000004"/>
    <x v="0"/>
    <x v="0"/>
    <x v="0"/>
  </r>
  <r>
    <n v="630"/>
    <n v="0"/>
    <x v="0"/>
    <n v="3"/>
    <x v="0"/>
    <s v="O'Connell, Mr. Patrick D"/>
    <s v="Mr."/>
    <x v="0"/>
    <n v="28"/>
    <x v="0"/>
    <n v="0"/>
    <n v="0"/>
    <x v="1"/>
    <s v="334912"/>
    <n v="7.7332999999999998"/>
    <e v="#N/A"/>
    <n v="7.7332999999999998"/>
    <x v="0"/>
    <x v="0"/>
    <x v="2"/>
  </r>
  <r>
    <n v="631"/>
    <n v="1"/>
    <x v="1"/>
    <n v="1"/>
    <x v="1"/>
    <s v="Barkworth, Mr. Algernon Henry Wilson"/>
    <s v="Mr."/>
    <x v="0"/>
    <n v="80"/>
    <x v="7"/>
    <n v="0"/>
    <n v="0"/>
    <x v="1"/>
    <s v="27042"/>
    <n v="30"/>
    <n v="30"/>
    <e v="#N/A"/>
    <x v="1"/>
    <x v="108"/>
    <x v="0"/>
  </r>
  <r>
    <n v="632"/>
    <n v="0"/>
    <x v="0"/>
    <n v="3"/>
    <x v="0"/>
    <s v="Lundahl, Mr. Johan Svensson"/>
    <s v="Mr."/>
    <x v="0"/>
    <n v="51"/>
    <x v="2"/>
    <n v="0"/>
    <n v="0"/>
    <x v="1"/>
    <s v="347743"/>
    <n v="7.0541999999999998"/>
    <e v="#N/A"/>
    <n v="7.0541999999999998"/>
    <x v="0"/>
    <x v="0"/>
    <x v="0"/>
  </r>
  <r>
    <n v="633"/>
    <n v="1"/>
    <x v="1"/>
    <n v="1"/>
    <x v="1"/>
    <s v="Stahelin-Maeglin, Dr. Max"/>
    <s v="Dr."/>
    <x v="0"/>
    <n v="32"/>
    <x v="1"/>
    <n v="0"/>
    <n v="0"/>
    <x v="1"/>
    <s v="13214"/>
    <n v="30.5"/>
    <n v="30.5"/>
    <e v="#N/A"/>
    <x v="1"/>
    <x v="109"/>
    <x v="1"/>
  </r>
  <r>
    <n v="634"/>
    <n v="0"/>
    <x v="0"/>
    <n v="1"/>
    <x v="1"/>
    <s v="Parr, Mr. William Henry Marsh"/>
    <s v="Mr."/>
    <x v="0"/>
    <n v="28"/>
    <x v="0"/>
    <n v="0"/>
    <n v="0"/>
    <x v="1"/>
    <s v="112052"/>
    <n v="0"/>
    <e v="#N/A"/>
    <n v="0"/>
    <x v="0"/>
    <x v="0"/>
    <x v="0"/>
  </r>
  <r>
    <n v="635"/>
    <n v="0"/>
    <x v="0"/>
    <n v="3"/>
    <x v="0"/>
    <s v="Skoog, Miss. Mabel"/>
    <s v="Miss."/>
    <x v="1"/>
    <n v="9"/>
    <x v="3"/>
    <n v="3"/>
    <n v="2"/>
    <x v="5"/>
    <s v="347088"/>
    <n v="27.9"/>
    <e v="#N/A"/>
    <n v="27.9"/>
    <x v="3"/>
    <x v="0"/>
    <x v="0"/>
  </r>
  <r>
    <n v="636"/>
    <n v="1"/>
    <x v="1"/>
    <n v="2"/>
    <x v="2"/>
    <s v="Davis, Miss. Mary"/>
    <s v="Miss."/>
    <x v="1"/>
    <n v="28"/>
    <x v="0"/>
    <n v="0"/>
    <n v="0"/>
    <x v="1"/>
    <s v="237668"/>
    <n v="13"/>
    <n v="13"/>
    <e v="#N/A"/>
    <x v="2"/>
    <x v="0"/>
    <x v="0"/>
  </r>
  <r>
    <n v="637"/>
    <n v="0"/>
    <x v="0"/>
    <n v="3"/>
    <x v="0"/>
    <s v="Leinonen, Mr. Antti Gustaf"/>
    <s v="Mr."/>
    <x v="0"/>
    <n v="32"/>
    <x v="1"/>
    <n v="0"/>
    <n v="0"/>
    <x v="1"/>
    <s v="STON/O 2. 3101292"/>
    <n v="7.9249999999999998"/>
    <e v="#N/A"/>
    <n v="7.9249999999999998"/>
    <x v="0"/>
    <x v="0"/>
    <x v="0"/>
  </r>
  <r>
    <n v="638"/>
    <n v="0"/>
    <x v="0"/>
    <n v="2"/>
    <x v="2"/>
    <s v="Collyer, Mr. Harvey"/>
    <s v="Mr."/>
    <x v="0"/>
    <n v="31"/>
    <x v="1"/>
    <n v="1"/>
    <n v="1"/>
    <x v="3"/>
    <s v="C.A. 31921"/>
    <n v="26.25"/>
    <e v="#N/A"/>
    <n v="26.25"/>
    <x v="3"/>
    <x v="0"/>
    <x v="0"/>
  </r>
  <r>
    <n v="639"/>
    <n v="0"/>
    <x v="0"/>
    <n v="3"/>
    <x v="0"/>
    <s v="Panula, Mrs. Juha (Maria Emilia Ojala)"/>
    <s v="Mrs."/>
    <x v="1"/>
    <n v="41"/>
    <x v="5"/>
    <n v="0"/>
    <n v="5"/>
    <x v="5"/>
    <s v="3101295"/>
    <n v="39.6875"/>
    <e v="#N/A"/>
    <n v="39.6875"/>
    <x v="1"/>
    <x v="0"/>
    <x v="0"/>
  </r>
  <r>
    <n v="640"/>
    <n v="0"/>
    <x v="0"/>
    <n v="3"/>
    <x v="0"/>
    <s v="Thorneycroft, Mr. Percival"/>
    <s v="Mr."/>
    <x v="0"/>
    <n v="28"/>
    <x v="0"/>
    <n v="1"/>
    <n v="0"/>
    <x v="0"/>
    <s v="376564"/>
    <n v="16.100000000000001"/>
    <e v="#N/A"/>
    <n v="16.100000000000001"/>
    <x v="3"/>
    <x v="0"/>
    <x v="0"/>
  </r>
  <r>
    <n v="641"/>
    <n v="0"/>
    <x v="0"/>
    <n v="3"/>
    <x v="0"/>
    <s v="Jensen, Mr. Hans Peder"/>
    <s v="Mr."/>
    <x v="0"/>
    <n v="20"/>
    <x v="0"/>
    <n v="0"/>
    <n v="0"/>
    <x v="1"/>
    <s v="350050"/>
    <n v="7.8541999999999996"/>
    <e v="#N/A"/>
    <n v="7.8541999999999996"/>
    <x v="0"/>
    <x v="0"/>
    <x v="0"/>
  </r>
  <r>
    <n v="642"/>
    <n v="1"/>
    <x v="1"/>
    <n v="1"/>
    <x v="1"/>
    <s v="Sagesser, Mlle. Emma"/>
    <s v="Mlle."/>
    <x v="1"/>
    <n v="24"/>
    <x v="0"/>
    <n v="0"/>
    <n v="0"/>
    <x v="1"/>
    <s v="PC 17477"/>
    <n v="69.3"/>
    <n v="69.3"/>
    <e v="#N/A"/>
    <x v="1"/>
    <x v="70"/>
    <x v="1"/>
  </r>
  <r>
    <n v="643"/>
    <n v="0"/>
    <x v="0"/>
    <n v="3"/>
    <x v="0"/>
    <s v="Skoog, Miss. Margit Elizabeth"/>
    <s v="Miss."/>
    <x v="1"/>
    <n v="2"/>
    <x v="3"/>
    <n v="3"/>
    <n v="2"/>
    <x v="5"/>
    <s v="347088"/>
    <n v="27.9"/>
    <e v="#N/A"/>
    <n v="27.9"/>
    <x v="3"/>
    <x v="0"/>
    <x v="0"/>
  </r>
  <r>
    <n v="644"/>
    <n v="1"/>
    <x v="1"/>
    <n v="3"/>
    <x v="0"/>
    <s v="Foo, Mr. Choong"/>
    <s v="Mr."/>
    <x v="0"/>
    <n v="28"/>
    <x v="0"/>
    <n v="0"/>
    <n v="0"/>
    <x v="1"/>
    <s v="1601"/>
    <n v="56.495800000000003"/>
    <n v="56.495800000000003"/>
    <e v="#N/A"/>
    <x v="1"/>
    <x v="0"/>
    <x v="0"/>
  </r>
  <r>
    <n v="645"/>
    <n v="1"/>
    <x v="1"/>
    <n v="3"/>
    <x v="0"/>
    <s v="Baclini, Miss. Eugenie"/>
    <s v="Miss."/>
    <x v="1"/>
    <n v="0.75"/>
    <x v="3"/>
    <n v="2"/>
    <n v="1"/>
    <x v="6"/>
    <s v="2666"/>
    <n v="19.258299999999998"/>
    <n v="19.258299999999998"/>
    <e v="#N/A"/>
    <x v="3"/>
    <x v="0"/>
    <x v="1"/>
  </r>
  <r>
    <n v="646"/>
    <n v="1"/>
    <x v="1"/>
    <n v="1"/>
    <x v="1"/>
    <s v="Harper, Mr. Henry Sleeper"/>
    <s v="Mr."/>
    <x v="0"/>
    <n v="48"/>
    <x v="5"/>
    <n v="1"/>
    <n v="0"/>
    <x v="0"/>
    <s v="PC 17572"/>
    <n v="76.729200000000006"/>
    <n v="76.729200000000006"/>
    <e v="#N/A"/>
    <x v="1"/>
    <x v="10"/>
    <x v="1"/>
  </r>
  <r>
    <n v="647"/>
    <n v="0"/>
    <x v="0"/>
    <n v="3"/>
    <x v="0"/>
    <s v="Cor, Mr. Liudevit"/>
    <s v="Mr."/>
    <x v="0"/>
    <n v="19"/>
    <x v="4"/>
    <n v="0"/>
    <n v="0"/>
    <x v="1"/>
    <s v="349231"/>
    <n v="7.8958000000000004"/>
    <e v="#N/A"/>
    <n v="7.8958000000000004"/>
    <x v="0"/>
    <x v="0"/>
    <x v="0"/>
  </r>
  <r>
    <n v="648"/>
    <n v="1"/>
    <x v="1"/>
    <n v="1"/>
    <x v="1"/>
    <s v="Simonius-Blumer, Col. Oberst Alfons"/>
    <s v="Col."/>
    <x v="0"/>
    <n v="56"/>
    <x v="2"/>
    <n v="0"/>
    <n v="0"/>
    <x v="1"/>
    <s v="13213"/>
    <n v="35.5"/>
    <n v="35.5"/>
    <e v="#N/A"/>
    <x v="1"/>
    <x v="110"/>
    <x v="1"/>
  </r>
  <r>
    <n v="649"/>
    <n v="0"/>
    <x v="0"/>
    <n v="3"/>
    <x v="0"/>
    <s v="Willey, Mr. Edward"/>
    <s v="Mr."/>
    <x v="0"/>
    <n v="28"/>
    <x v="0"/>
    <n v="0"/>
    <n v="0"/>
    <x v="1"/>
    <s v="S.O./P.P. 751"/>
    <n v="7.55"/>
    <e v="#N/A"/>
    <n v="7.55"/>
    <x v="0"/>
    <x v="0"/>
    <x v="0"/>
  </r>
  <r>
    <n v="650"/>
    <n v="1"/>
    <x v="1"/>
    <n v="3"/>
    <x v="0"/>
    <s v="Stanley, Miss. Amy Zillah Elsie"/>
    <s v="Miss."/>
    <x v="1"/>
    <n v="23"/>
    <x v="0"/>
    <n v="0"/>
    <n v="0"/>
    <x v="1"/>
    <s v="CA. 2314"/>
    <n v="7.55"/>
    <n v="7.55"/>
    <e v="#N/A"/>
    <x v="0"/>
    <x v="0"/>
    <x v="0"/>
  </r>
  <r>
    <n v="651"/>
    <n v="0"/>
    <x v="0"/>
    <n v="3"/>
    <x v="0"/>
    <s v="Mitkoff, Mr. Mito"/>
    <s v="Mr."/>
    <x v="0"/>
    <n v="28"/>
    <x v="0"/>
    <n v="0"/>
    <n v="0"/>
    <x v="1"/>
    <s v="349221"/>
    <n v="7.8958000000000004"/>
    <e v="#N/A"/>
    <n v="7.8958000000000004"/>
    <x v="0"/>
    <x v="0"/>
    <x v="0"/>
  </r>
  <r>
    <n v="652"/>
    <n v="1"/>
    <x v="1"/>
    <n v="2"/>
    <x v="2"/>
    <s v="Doling, Miss. Elsie"/>
    <s v="Miss."/>
    <x v="1"/>
    <n v="18"/>
    <x v="4"/>
    <n v="0"/>
    <n v="1"/>
    <x v="0"/>
    <s v="231919"/>
    <n v="23"/>
    <n v="23"/>
    <e v="#N/A"/>
    <x v="3"/>
    <x v="0"/>
    <x v="0"/>
  </r>
  <r>
    <n v="653"/>
    <n v="0"/>
    <x v="0"/>
    <n v="3"/>
    <x v="0"/>
    <s v="Kalvik, Mr. Johannes Halvorsen"/>
    <s v="Mr."/>
    <x v="0"/>
    <n v="21"/>
    <x v="0"/>
    <n v="0"/>
    <n v="0"/>
    <x v="1"/>
    <s v="8475"/>
    <n v="8.4332999999999991"/>
    <e v="#N/A"/>
    <n v="8.4332999999999991"/>
    <x v="2"/>
    <x v="0"/>
    <x v="0"/>
  </r>
  <r>
    <n v="654"/>
    <n v="1"/>
    <x v="1"/>
    <n v="3"/>
    <x v="0"/>
    <s v="O'Leary, Miss. Hanora &quot;Norah&quot;"/>
    <s v="Miss."/>
    <x v="1"/>
    <n v="28"/>
    <x v="0"/>
    <n v="0"/>
    <n v="0"/>
    <x v="1"/>
    <s v="330919"/>
    <n v="7.8292000000000002"/>
    <n v="7.8292000000000002"/>
    <e v="#N/A"/>
    <x v="0"/>
    <x v="0"/>
    <x v="2"/>
  </r>
  <r>
    <n v="655"/>
    <n v="0"/>
    <x v="0"/>
    <n v="3"/>
    <x v="0"/>
    <s v="Hegarty, Miss. Hanora &quot;Nora&quot;"/>
    <s v="Miss."/>
    <x v="1"/>
    <n v="18"/>
    <x v="4"/>
    <n v="0"/>
    <n v="0"/>
    <x v="1"/>
    <s v="365226"/>
    <n v="6.75"/>
    <e v="#N/A"/>
    <n v="6.75"/>
    <x v="0"/>
    <x v="0"/>
    <x v="2"/>
  </r>
  <r>
    <n v="656"/>
    <n v="0"/>
    <x v="0"/>
    <n v="2"/>
    <x v="2"/>
    <s v="Hickman, Mr. Leonard Mark"/>
    <s v="Mr."/>
    <x v="0"/>
    <n v="24"/>
    <x v="0"/>
    <n v="2"/>
    <n v="0"/>
    <x v="3"/>
    <s v="S.O.C. 14879"/>
    <n v="73.5"/>
    <e v="#N/A"/>
    <n v="73.5"/>
    <x v="1"/>
    <x v="0"/>
    <x v="0"/>
  </r>
  <r>
    <n v="657"/>
    <n v="0"/>
    <x v="0"/>
    <n v="3"/>
    <x v="0"/>
    <s v="Radeff, Mr. Alexander"/>
    <s v="Mr."/>
    <x v="0"/>
    <n v="28"/>
    <x v="0"/>
    <n v="0"/>
    <n v="0"/>
    <x v="1"/>
    <s v="349223"/>
    <n v="7.8958000000000004"/>
    <e v="#N/A"/>
    <n v="7.8958000000000004"/>
    <x v="0"/>
    <x v="0"/>
    <x v="0"/>
  </r>
  <r>
    <n v="658"/>
    <n v="0"/>
    <x v="0"/>
    <n v="3"/>
    <x v="0"/>
    <s v="Bourke, Mrs. John (Catherine)"/>
    <s v="Mrs."/>
    <x v="1"/>
    <n v="32"/>
    <x v="1"/>
    <n v="1"/>
    <n v="1"/>
    <x v="3"/>
    <s v="364849"/>
    <n v="15.5"/>
    <e v="#N/A"/>
    <n v="15.5"/>
    <x v="3"/>
    <x v="0"/>
    <x v="2"/>
  </r>
  <r>
    <n v="659"/>
    <n v="0"/>
    <x v="0"/>
    <n v="2"/>
    <x v="2"/>
    <s v="Eitemiller, Mr. George Floyd"/>
    <s v="Mr."/>
    <x v="0"/>
    <n v="23"/>
    <x v="0"/>
    <n v="0"/>
    <n v="0"/>
    <x v="1"/>
    <s v="29751"/>
    <n v="13"/>
    <e v="#N/A"/>
    <n v="13"/>
    <x v="2"/>
    <x v="0"/>
    <x v="0"/>
  </r>
  <r>
    <n v="660"/>
    <n v="0"/>
    <x v="0"/>
    <n v="1"/>
    <x v="1"/>
    <s v="Newell, Mr. Arthur Webster"/>
    <s v="Mr."/>
    <x v="0"/>
    <n v="58"/>
    <x v="2"/>
    <n v="0"/>
    <n v="2"/>
    <x v="3"/>
    <s v="35273"/>
    <n v="113.27500000000001"/>
    <e v="#N/A"/>
    <n v="113.27500000000001"/>
    <x v="1"/>
    <x v="111"/>
    <x v="1"/>
  </r>
  <r>
    <n v="661"/>
    <n v="1"/>
    <x v="1"/>
    <n v="1"/>
    <x v="1"/>
    <s v="Frauenthal, Dr. Henry William"/>
    <s v="Dr."/>
    <x v="0"/>
    <n v="50"/>
    <x v="2"/>
    <n v="2"/>
    <n v="0"/>
    <x v="3"/>
    <s v="PC 17611"/>
    <n v="133.65"/>
    <n v="133.65"/>
    <e v="#N/A"/>
    <x v="1"/>
    <x v="0"/>
    <x v="0"/>
  </r>
  <r>
    <n v="662"/>
    <n v="0"/>
    <x v="0"/>
    <n v="3"/>
    <x v="0"/>
    <s v="Badt, Mr. Mohamed"/>
    <s v="Mr."/>
    <x v="0"/>
    <n v="40"/>
    <x v="5"/>
    <n v="0"/>
    <n v="0"/>
    <x v="1"/>
    <s v="2623"/>
    <n v="7.2249999999999996"/>
    <e v="#N/A"/>
    <n v="7.2249999999999996"/>
    <x v="0"/>
    <x v="0"/>
    <x v="1"/>
  </r>
  <r>
    <n v="663"/>
    <n v="0"/>
    <x v="0"/>
    <n v="1"/>
    <x v="1"/>
    <s v="Colley, Mr. Edward Pomeroy"/>
    <s v="Mr."/>
    <x v="0"/>
    <n v="47"/>
    <x v="5"/>
    <n v="0"/>
    <n v="0"/>
    <x v="1"/>
    <s v="5727"/>
    <n v="25.587499999999999"/>
    <e v="#N/A"/>
    <n v="25.587499999999999"/>
    <x v="3"/>
    <x v="112"/>
    <x v="0"/>
  </r>
  <r>
    <n v="664"/>
    <n v="0"/>
    <x v="0"/>
    <n v="3"/>
    <x v="0"/>
    <s v="Coleff, Mr. Peju"/>
    <s v="Mr."/>
    <x v="0"/>
    <n v="36"/>
    <x v="1"/>
    <n v="0"/>
    <n v="0"/>
    <x v="1"/>
    <s v="349210"/>
    <n v="7.4958"/>
    <e v="#N/A"/>
    <n v="7.4958"/>
    <x v="0"/>
    <x v="0"/>
    <x v="0"/>
  </r>
  <r>
    <n v="665"/>
    <n v="1"/>
    <x v="1"/>
    <n v="3"/>
    <x v="0"/>
    <s v="Lindqvist, Mr. Eino William"/>
    <s v="Mr."/>
    <x v="0"/>
    <n v="20"/>
    <x v="0"/>
    <n v="1"/>
    <n v="0"/>
    <x v="0"/>
    <s v="STON/O 2. 3101285"/>
    <n v="7.9249999999999998"/>
    <n v="7.9249999999999998"/>
    <e v="#N/A"/>
    <x v="0"/>
    <x v="0"/>
    <x v="0"/>
  </r>
  <r>
    <n v="666"/>
    <n v="0"/>
    <x v="0"/>
    <n v="2"/>
    <x v="2"/>
    <s v="Hickman, Mr. Lewis"/>
    <s v="Mr."/>
    <x v="0"/>
    <n v="32"/>
    <x v="1"/>
    <n v="2"/>
    <n v="0"/>
    <x v="3"/>
    <s v="S.O.C. 14879"/>
    <n v="73.5"/>
    <e v="#N/A"/>
    <n v="73.5"/>
    <x v="1"/>
    <x v="0"/>
    <x v="0"/>
  </r>
  <r>
    <n v="667"/>
    <n v="0"/>
    <x v="0"/>
    <n v="2"/>
    <x v="2"/>
    <s v="Butler, Mr. Reginald Fenton"/>
    <s v="Mr."/>
    <x v="0"/>
    <n v="25"/>
    <x v="0"/>
    <n v="0"/>
    <n v="0"/>
    <x v="1"/>
    <s v="234686"/>
    <n v="13"/>
    <e v="#N/A"/>
    <n v="13"/>
    <x v="2"/>
    <x v="0"/>
    <x v="0"/>
  </r>
  <r>
    <n v="668"/>
    <n v="0"/>
    <x v="0"/>
    <n v="3"/>
    <x v="0"/>
    <s v="Rommetvedt, Mr. Knud Paust"/>
    <s v="Mr."/>
    <x v="0"/>
    <n v="28"/>
    <x v="0"/>
    <n v="0"/>
    <n v="0"/>
    <x v="1"/>
    <s v="312993"/>
    <n v="7.7750000000000004"/>
    <e v="#N/A"/>
    <n v="7.7750000000000004"/>
    <x v="0"/>
    <x v="0"/>
    <x v="0"/>
  </r>
  <r>
    <n v="669"/>
    <n v="0"/>
    <x v="0"/>
    <n v="3"/>
    <x v="0"/>
    <s v="Cook, Mr. Jacob"/>
    <s v="Mr."/>
    <x v="0"/>
    <n v="43"/>
    <x v="5"/>
    <n v="0"/>
    <n v="0"/>
    <x v="1"/>
    <s v="A/5 3536"/>
    <n v="8.0500000000000007"/>
    <e v="#N/A"/>
    <n v="8.0500000000000007"/>
    <x v="2"/>
    <x v="0"/>
    <x v="0"/>
  </r>
  <r>
    <n v="670"/>
    <n v="1"/>
    <x v="1"/>
    <n v="1"/>
    <x v="1"/>
    <s v="Taylor, Mrs. Elmer Zebley (Juliet Cummins Wright)"/>
    <s v="Mrs."/>
    <x v="1"/>
    <n v="28"/>
    <x v="0"/>
    <n v="1"/>
    <n v="0"/>
    <x v="0"/>
    <s v="19996"/>
    <n v="52"/>
    <n v="52"/>
    <e v="#N/A"/>
    <x v="1"/>
    <x v="113"/>
    <x v="0"/>
  </r>
  <r>
    <n v="671"/>
    <n v="1"/>
    <x v="1"/>
    <n v="2"/>
    <x v="2"/>
    <s v="Brown, Mrs. Thomas William Solomon (Elizabeth Catherine Ford)"/>
    <s v="Mrs."/>
    <x v="1"/>
    <n v="40"/>
    <x v="5"/>
    <n v="1"/>
    <n v="1"/>
    <x v="3"/>
    <s v="29750"/>
    <n v="39"/>
    <n v="39"/>
    <e v="#N/A"/>
    <x v="1"/>
    <x v="0"/>
    <x v="0"/>
  </r>
  <r>
    <n v="672"/>
    <n v="0"/>
    <x v="0"/>
    <n v="1"/>
    <x v="1"/>
    <s v="Davidson, Mr. Thornton"/>
    <s v="Mr."/>
    <x v="0"/>
    <n v="31"/>
    <x v="1"/>
    <n v="1"/>
    <n v="0"/>
    <x v="0"/>
    <s v="F.C. 12750"/>
    <n v="52"/>
    <e v="#N/A"/>
    <n v="52"/>
    <x v="1"/>
    <x v="114"/>
    <x v="0"/>
  </r>
  <r>
    <n v="673"/>
    <n v="0"/>
    <x v="0"/>
    <n v="2"/>
    <x v="2"/>
    <s v="Mitchell, Mr. Henry Michael"/>
    <s v="Mr."/>
    <x v="0"/>
    <n v="70"/>
    <x v="7"/>
    <n v="0"/>
    <n v="0"/>
    <x v="1"/>
    <s v="C.A. 24580"/>
    <n v="10.5"/>
    <e v="#N/A"/>
    <n v="10.5"/>
    <x v="2"/>
    <x v="0"/>
    <x v="0"/>
  </r>
  <r>
    <n v="674"/>
    <n v="1"/>
    <x v="1"/>
    <n v="2"/>
    <x v="2"/>
    <s v="Wilhelms, Mr. Charles"/>
    <s v="Mr."/>
    <x v="0"/>
    <n v="31"/>
    <x v="1"/>
    <n v="0"/>
    <n v="0"/>
    <x v="1"/>
    <s v="244270"/>
    <n v="13"/>
    <n v="13"/>
    <e v="#N/A"/>
    <x v="2"/>
    <x v="0"/>
    <x v="0"/>
  </r>
  <r>
    <n v="675"/>
    <n v="0"/>
    <x v="0"/>
    <n v="2"/>
    <x v="2"/>
    <s v="Watson, Mr. Ennis Hastings"/>
    <s v="Mr."/>
    <x v="0"/>
    <n v="28"/>
    <x v="0"/>
    <n v="0"/>
    <n v="0"/>
    <x v="1"/>
    <s v="239856"/>
    <n v="0"/>
    <e v="#N/A"/>
    <n v="0"/>
    <x v="0"/>
    <x v="0"/>
    <x v="0"/>
  </r>
  <r>
    <n v="676"/>
    <n v="0"/>
    <x v="0"/>
    <n v="3"/>
    <x v="0"/>
    <s v="Edvardsson, Mr. Gustaf Hjalmar"/>
    <s v="Mr."/>
    <x v="0"/>
    <n v="18"/>
    <x v="4"/>
    <n v="0"/>
    <n v="0"/>
    <x v="1"/>
    <s v="349912"/>
    <n v="7.7750000000000004"/>
    <e v="#N/A"/>
    <n v="7.7750000000000004"/>
    <x v="0"/>
    <x v="0"/>
    <x v="0"/>
  </r>
  <r>
    <n v="677"/>
    <n v="0"/>
    <x v="0"/>
    <n v="3"/>
    <x v="0"/>
    <s v="Sawyer, Mr. Frederick Charles"/>
    <s v="Mr."/>
    <x v="0"/>
    <n v="24.5"/>
    <x v="0"/>
    <n v="0"/>
    <n v="0"/>
    <x v="1"/>
    <s v="342826"/>
    <n v="8.0500000000000007"/>
    <e v="#N/A"/>
    <n v="8.0500000000000007"/>
    <x v="2"/>
    <x v="0"/>
    <x v="0"/>
  </r>
  <r>
    <n v="678"/>
    <n v="1"/>
    <x v="1"/>
    <n v="3"/>
    <x v="0"/>
    <s v="Turja, Miss. Anna Sofia"/>
    <s v="Miss."/>
    <x v="1"/>
    <n v="18"/>
    <x v="4"/>
    <n v="0"/>
    <n v="0"/>
    <x v="1"/>
    <s v="4138"/>
    <n v="9.8416999999999994"/>
    <n v="9.8416999999999994"/>
    <e v="#N/A"/>
    <x v="2"/>
    <x v="0"/>
    <x v="0"/>
  </r>
  <r>
    <n v="679"/>
    <n v="0"/>
    <x v="0"/>
    <n v="3"/>
    <x v="0"/>
    <s v="Goodwin, Mrs. Frederick (Augusta Tyler)"/>
    <s v="Mrs."/>
    <x v="1"/>
    <n v="43"/>
    <x v="5"/>
    <n v="1"/>
    <n v="6"/>
    <x v="7"/>
    <s v="CA 2144"/>
    <n v="46.9"/>
    <e v="#N/A"/>
    <n v="46.9"/>
    <x v="1"/>
    <x v="0"/>
    <x v="0"/>
  </r>
  <r>
    <n v="680"/>
    <n v="1"/>
    <x v="1"/>
    <n v="1"/>
    <x v="1"/>
    <s v="Cardeza, Mr. Thomas Drake Martinez"/>
    <s v="Mr."/>
    <x v="0"/>
    <n v="36"/>
    <x v="1"/>
    <n v="0"/>
    <n v="1"/>
    <x v="0"/>
    <s v="PC 17755"/>
    <n v="512.32920000000001"/>
    <n v="512.32920000000001"/>
    <e v="#N/A"/>
    <x v="1"/>
    <x v="115"/>
    <x v="1"/>
  </r>
  <r>
    <n v="681"/>
    <n v="0"/>
    <x v="0"/>
    <n v="3"/>
    <x v="0"/>
    <s v="Peters, Miss. Katie"/>
    <s v="Miss."/>
    <x v="1"/>
    <n v="28"/>
    <x v="0"/>
    <n v="0"/>
    <n v="0"/>
    <x v="1"/>
    <s v="330935"/>
    <n v="8.1374999999999993"/>
    <e v="#N/A"/>
    <n v="8.1374999999999993"/>
    <x v="2"/>
    <x v="0"/>
    <x v="2"/>
  </r>
  <r>
    <n v="682"/>
    <n v="1"/>
    <x v="1"/>
    <n v="1"/>
    <x v="1"/>
    <s v="Hassab, Mr. Hammad"/>
    <s v="Mr."/>
    <x v="0"/>
    <n v="27"/>
    <x v="0"/>
    <n v="0"/>
    <n v="0"/>
    <x v="1"/>
    <s v="PC 17572"/>
    <n v="76.729200000000006"/>
    <n v="76.729200000000006"/>
    <e v="#N/A"/>
    <x v="1"/>
    <x v="116"/>
    <x v="1"/>
  </r>
  <r>
    <n v="683"/>
    <n v="0"/>
    <x v="0"/>
    <n v="3"/>
    <x v="0"/>
    <s v="Olsvigen, Mr. Thor Anderson"/>
    <s v="Mr."/>
    <x v="0"/>
    <n v="20"/>
    <x v="0"/>
    <n v="0"/>
    <n v="0"/>
    <x v="1"/>
    <s v="6563"/>
    <n v="9.2249999999999996"/>
    <e v="#N/A"/>
    <n v="9.2249999999999996"/>
    <x v="2"/>
    <x v="0"/>
    <x v="0"/>
  </r>
  <r>
    <n v="684"/>
    <n v="0"/>
    <x v="0"/>
    <n v="3"/>
    <x v="0"/>
    <s v="Goodwin, Mr. Charles Edward"/>
    <s v="Mr."/>
    <x v="0"/>
    <n v="14"/>
    <x v="4"/>
    <n v="5"/>
    <n v="2"/>
    <x v="7"/>
    <s v="CA 2144"/>
    <n v="46.9"/>
    <e v="#N/A"/>
    <n v="46.9"/>
    <x v="1"/>
    <x v="0"/>
    <x v="0"/>
  </r>
  <r>
    <n v="685"/>
    <n v="0"/>
    <x v="0"/>
    <n v="2"/>
    <x v="2"/>
    <s v="Brown, Mr. Thomas William Solomon"/>
    <s v="Mr."/>
    <x v="0"/>
    <n v="60"/>
    <x v="6"/>
    <n v="1"/>
    <n v="1"/>
    <x v="3"/>
    <s v="29750"/>
    <n v="39"/>
    <e v="#N/A"/>
    <n v="39"/>
    <x v="1"/>
    <x v="0"/>
    <x v="0"/>
  </r>
  <r>
    <n v="686"/>
    <n v="0"/>
    <x v="0"/>
    <n v="2"/>
    <x v="2"/>
    <s v="Laroche, Mr. Joseph Philippe Lemercier"/>
    <s v="Mr."/>
    <x v="0"/>
    <n v="25"/>
    <x v="0"/>
    <n v="1"/>
    <n v="2"/>
    <x v="6"/>
    <s v="SC/Paris 2123"/>
    <n v="41.5792"/>
    <e v="#N/A"/>
    <n v="41.5792"/>
    <x v="1"/>
    <x v="0"/>
    <x v="1"/>
  </r>
  <r>
    <n v="687"/>
    <n v="0"/>
    <x v="0"/>
    <n v="3"/>
    <x v="0"/>
    <s v="Panula, Mr. Jaako Arnold"/>
    <s v="Mr."/>
    <x v="0"/>
    <n v="14"/>
    <x v="4"/>
    <n v="4"/>
    <n v="1"/>
    <x v="5"/>
    <s v="3101295"/>
    <n v="39.6875"/>
    <e v="#N/A"/>
    <n v="39.6875"/>
    <x v="1"/>
    <x v="0"/>
    <x v="0"/>
  </r>
  <r>
    <n v="688"/>
    <n v="0"/>
    <x v="0"/>
    <n v="3"/>
    <x v="0"/>
    <s v="Dakic, Mr. Branko"/>
    <s v="Mr."/>
    <x v="0"/>
    <n v="19"/>
    <x v="4"/>
    <n v="0"/>
    <n v="0"/>
    <x v="1"/>
    <s v="349228"/>
    <n v="10.1708"/>
    <e v="#N/A"/>
    <n v="10.1708"/>
    <x v="2"/>
    <x v="0"/>
    <x v="0"/>
  </r>
  <r>
    <n v="689"/>
    <n v="0"/>
    <x v="0"/>
    <n v="3"/>
    <x v="0"/>
    <s v="Fischer, Mr. Eberhard Thelander"/>
    <s v="Mr."/>
    <x v="0"/>
    <n v="18"/>
    <x v="4"/>
    <n v="0"/>
    <n v="0"/>
    <x v="1"/>
    <s v="350036"/>
    <n v="7.7957999999999998"/>
    <e v="#N/A"/>
    <n v="7.7957999999999998"/>
    <x v="0"/>
    <x v="0"/>
    <x v="0"/>
  </r>
  <r>
    <n v="690"/>
    <n v="1"/>
    <x v="1"/>
    <n v="1"/>
    <x v="1"/>
    <s v="Madill, Miss. Georgette Alexandra"/>
    <s v="Miss."/>
    <x v="1"/>
    <n v="15"/>
    <x v="4"/>
    <n v="0"/>
    <n v="1"/>
    <x v="0"/>
    <s v="24160"/>
    <n v="211.33750000000001"/>
    <n v="211.33750000000001"/>
    <e v="#N/A"/>
    <x v="1"/>
    <x v="117"/>
    <x v="0"/>
  </r>
  <r>
    <n v="691"/>
    <n v="1"/>
    <x v="1"/>
    <n v="1"/>
    <x v="1"/>
    <s v="Dick, Mr. Albert Adrian"/>
    <s v="Mr."/>
    <x v="0"/>
    <n v="31"/>
    <x v="1"/>
    <n v="1"/>
    <n v="0"/>
    <x v="0"/>
    <s v="17474"/>
    <n v="57"/>
    <n v="57"/>
    <e v="#N/A"/>
    <x v="1"/>
    <x v="118"/>
    <x v="0"/>
  </r>
  <r>
    <n v="692"/>
    <n v="1"/>
    <x v="1"/>
    <n v="3"/>
    <x v="0"/>
    <s v="Karun, Miss. Manca"/>
    <s v="Miss."/>
    <x v="1"/>
    <n v="4"/>
    <x v="3"/>
    <n v="0"/>
    <n v="1"/>
    <x v="0"/>
    <s v="349256"/>
    <n v="13.416700000000001"/>
    <n v="13.416700000000001"/>
    <e v="#N/A"/>
    <x v="2"/>
    <x v="0"/>
    <x v="1"/>
  </r>
  <r>
    <n v="693"/>
    <n v="1"/>
    <x v="1"/>
    <n v="3"/>
    <x v="0"/>
    <s v="Lam, Mr. Ali"/>
    <s v="Mr."/>
    <x v="0"/>
    <n v="28"/>
    <x v="0"/>
    <n v="0"/>
    <n v="0"/>
    <x v="1"/>
    <s v="1601"/>
    <n v="56.495800000000003"/>
    <n v="56.495800000000003"/>
    <e v="#N/A"/>
    <x v="1"/>
    <x v="0"/>
    <x v="0"/>
  </r>
  <r>
    <n v="694"/>
    <n v="0"/>
    <x v="0"/>
    <n v="3"/>
    <x v="0"/>
    <s v="Saad, Mr. Khalil"/>
    <s v="Mr."/>
    <x v="0"/>
    <n v="25"/>
    <x v="0"/>
    <n v="0"/>
    <n v="0"/>
    <x v="1"/>
    <s v="2672"/>
    <n v="7.2249999999999996"/>
    <e v="#N/A"/>
    <n v="7.2249999999999996"/>
    <x v="0"/>
    <x v="0"/>
    <x v="1"/>
  </r>
  <r>
    <n v="695"/>
    <n v="0"/>
    <x v="0"/>
    <n v="1"/>
    <x v="1"/>
    <s v="Weir, Col. John"/>
    <s v="Col."/>
    <x v="0"/>
    <n v="60"/>
    <x v="6"/>
    <n v="0"/>
    <n v="0"/>
    <x v="1"/>
    <s v="113800"/>
    <n v="26.55"/>
    <e v="#N/A"/>
    <n v="26.55"/>
    <x v="3"/>
    <x v="0"/>
    <x v="0"/>
  </r>
  <r>
    <n v="696"/>
    <n v="0"/>
    <x v="0"/>
    <n v="2"/>
    <x v="2"/>
    <s v="Chapman, Mr. Charles Henry"/>
    <s v="Mr."/>
    <x v="0"/>
    <n v="52"/>
    <x v="2"/>
    <n v="0"/>
    <n v="0"/>
    <x v="1"/>
    <s v="248731"/>
    <n v="13.5"/>
    <e v="#N/A"/>
    <n v="13.5"/>
    <x v="2"/>
    <x v="0"/>
    <x v="0"/>
  </r>
  <r>
    <n v="697"/>
    <n v="0"/>
    <x v="0"/>
    <n v="3"/>
    <x v="0"/>
    <s v="Kelly, Mr. James"/>
    <s v="Mr."/>
    <x v="0"/>
    <n v="44"/>
    <x v="5"/>
    <n v="0"/>
    <n v="0"/>
    <x v="1"/>
    <s v="363592"/>
    <n v="8.0500000000000007"/>
    <e v="#N/A"/>
    <n v="8.0500000000000007"/>
    <x v="2"/>
    <x v="0"/>
    <x v="0"/>
  </r>
  <r>
    <n v="698"/>
    <n v="1"/>
    <x v="1"/>
    <n v="3"/>
    <x v="0"/>
    <s v="Mullens, Miss. Katherine &quot;Katie&quot;"/>
    <s v="Miss."/>
    <x v="1"/>
    <n v="28"/>
    <x v="0"/>
    <n v="0"/>
    <n v="0"/>
    <x v="1"/>
    <s v="35852"/>
    <n v="7.7332999999999998"/>
    <n v="7.7332999999999998"/>
    <e v="#N/A"/>
    <x v="0"/>
    <x v="0"/>
    <x v="2"/>
  </r>
  <r>
    <n v="699"/>
    <n v="0"/>
    <x v="0"/>
    <n v="1"/>
    <x v="1"/>
    <s v="Thayer, Mr. John Borland"/>
    <s v="Mr."/>
    <x v="0"/>
    <n v="49"/>
    <x v="5"/>
    <n v="1"/>
    <n v="1"/>
    <x v="3"/>
    <s v="17421"/>
    <n v="110.88330000000001"/>
    <e v="#N/A"/>
    <n v="110.88330000000001"/>
    <x v="1"/>
    <x v="100"/>
    <x v="1"/>
  </r>
  <r>
    <n v="700"/>
    <n v="0"/>
    <x v="0"/>
    <n v="3"/>
    <x v="0"/>
    <s v="Humblen, Mr. Adolf Mathias Nicolai Olsen"/>
    <s v="Mr."/>
    <x v="0"/>
    <n v="42"/>
    <x v="5"/>
    <n v="0"/>
    <n v="0"/>
    <x v="1"/>
    <s v="348121"/>
    <n v="7.65"/>
    <e v="#N/A"/>
    <n v="7.65"/>
    <x v="0"/>
    <x v="119"/>
    <x v="0"/>
  </r>
  <r>
    <n v="701"/>
    <n v="1"/>
    <x v="1"/>
    <n v="1"/>
    <x v="1"/>
    <s v="Astor, Mrs. John Jacob (Madeleine Talmadge Force)"/>
    <s v="Mrs."/>
    <x v="1"/>
    <n v="18"/>
    <x v="4"/>
    <n v="1"/>
    <n v="0"/>
    <x v="0"/>
    <s v="PC 17757"/>
    <n v="227.52500000000001"/>
    <n v="227.52500000000001"/>
    <e v="#N/A"/>
    <x v="1"/>
    <x v="120"/>
    <x v="1"/>
  </r>
  <r>
    <n v="702"/>
    <n v="1"/>
    <x v="1"/>
    <n v="1"/>
    <x v="1"/>
    <s v="Silverthorne, Mr. Spencer Victor"/>
    <s v="Mr."/>
    <x v="0"/>
    <n v="35"/>
    <x v="1"/>
    <n v="0"/>
    <n v="0"/>
    <x v="1"/>
    <s v="PC 17475"/>
    <n v="26.287500000000001"/>
    <n v="26.287500000000001"/>
    <e v="#N/A"/>
    <x v="3"/>
    <x v="121"/>
    <x v="0"/>
  </r>
  <r>
    <n v="703"/>
    <n v="0"/>
    <x v="0"/>
    <n v="3"/>
    <x v="0"/>
    <s v="Barbara, Miss. Saiide"/>
    <s v="Miss."/>
    <x v="1"/>
    <n v="18"/>
    <x v="4"/>
    <n v="0"/>
    <n v="1"/>
    <x v="0"/>
    <s v="2691"/>
    <n v="14.4542"/>
    <e v="#N/A"/>
    <n v="14.4542"/>
    <x v="2"/>
    <x v="0"/>
    <x v="1"/>
  </r>
  <r>
    <n v="704"/>
    <n v="0"/>
    <x v="0"/>
    <n v="3"/>
    <x v="0"/>
    <s v="Gallagher, Mr. Martin"/>
    <s v="Mr."/>
    <x v="0"/>
    <n v="25"/>
    <x v="0"/>
    <n v="0"/>
    <n v="0"/>
    <x v="1"/>
    <s v="36864"/>
    <n v="7.7416999999999998"/>
    <e v="#N/A"/>
    <n v="7.7416999999999998"/>
    <x v="0"/>
    <x v="0"/>
    <x v="2"/>
  </r>
  <r>
    <n v="705"/>
    <n v="0"/>
    <x v="0"/>
    <n v="3"/>
    <x v="0"/>
    <s v="Hansen, Mr. Henrik Juul"/>
    <s v="Mr."/>
    <x v="0"/>
    <n v="26"/>
    <x v="0"/>
    <n v="1"/>
    <n v="0"/>
    <x v="0"/>
    <s v="350025"/>
    <n v="7.8541999999999996"/>
    <e v="#N/A"/>
    <n v="7.8541999999999996"/>
    <x v="0"/>
    <x v="0"/>
    <x v="0"/>
  </r>
  <r>
    <n v="706"/>
    <n v="0"/>
    <x v="0"/>
    <n v="2"/>
    <x v="2"/>
    <s v="Morley, Mr. Henry Samuel (&quot;Mr Henry Marshall&quot;)"/>
    <s v="Mr."/>
    <x v="0"/>
    <n v="39"/>
    <x v="1"/>
    <n v="0"/>
    <n v="0"/>
    <x v="1"/>
    <s v="250655"/>
    <n v="26"/>
    <e v="#N/A"/>
    <n v="26"/>
    <x v="3"/>
    <x v="0"/>
    <x v="0"/>
  </r>
  <r>
    <n v="707"/>
    <n v="1"/>
    <x v="1"/>
    <n v="2"/>
    <x v="2"/>
    <s v="Kelly, Mrs. Florence &quot;Fannie&quot;"/>
    <s v="Mrs."/>
    <x v="1"/>
    <n v="45"/>
    <x v="5"/>
    <n v="0"/>
    <n v="0"/>
    <x v="1"/>
    <s v="223596"/>
    <n v="13.5"/>
    <n v="13.5"/>
    <e v="#N/A"/>
    <x v="2"/>
    <x v="0"/>
    <x v="0"/>
  </r>
  <r>
    <n v="708"/>
    <n v="1"/>
    <x v="1"/>
    <n v="1"/>
    <x v="1"/>
    <s v="Calderhead, Mr. Edward Pennington"/>
    <s v="Mr."/>
    <x v="0"/>
    <n v="42"/>
    <x v="5"/>
    <n v="0"/>
    <n v="0"/>
    <x v="1"/>
    <s v="PC 17476"/>
    <n v="26.287500000000001"/>
    <n v="26.287500000000001"/>
    <e v="#N/A"/>
    <x v="3"/>
    <x v="121"/>
    <x v="0"/>
  </r>
  <r>
    <n v="709"/>
    <n v="1"/>
    <x v="1"/>
    <n v="1"/>
    <x v="1"/>
    <s v="Cleaver, Miss. Alice"/>
    <s v="Miss."/>
    <x v="1"/>
    <n v="22"/>
    <x v="0"/>
    <n v="0"/>
    <n v="0"/>
    <x v="1"/>
    <s v="113781"/>
    <n v="151.55000000000001"/>
    <n v="151.55000000000001"/>
    <e v="#N/A"/>
    <x v="1"/>
    <x v="0"/>
    <x v="0"/>
  </r>
  <r>
    <n v="710"/>
    <n v="1"/>
    <x v="1"/>
    <n v="3"/>
    <x v="0"/>
    <s v="Moubarek, Master. Halim Gonios (&quot;William George&quot;)"/>
    <s v="Master."/>
    <x v="0"/>
    <n v="28"/>
    <x v="0"/>
    <n v="1"/>
    <n v="1"/>
    <x v="3"/>
    <s v="2661"/>
    <n v="15.245799999999999"/>
    <n v="15.245799999999999"/>
    <e v="#N/A"/>
    <x v="3"/>
    <x v="0"/>
    <x v="1"/>
  </r>
  <r>
    <n v="711"/>
    <n v="1"/>
    <x v="1"/>
    <n v="1"/>
    <x v="1"/>
    <s v="Mayne, Mlle. Berthe Antonine (&quot;Mrs de Villiers&quot;)"/>
    <s v="Mlle."/>
    <x v="1"/>
    <n v="24"/>
    <x v="0"/>
    <n v="0"/>
    <n v="0"/>
    <x v="1"/>
    <s v="PC 17482"/>
    <n v="49.504199999999997"/>
    <n v="49.504199999999997"/>
    <e v="#N/A"/>
    <x v="1"/>
    <x v="122"/>
    <x v="1"/>
  </r>
  <r>
    <n v="712"/>
    <n v="0"/>
    <x v="0"/>
    <n v="1"/>
    <x v="1"/>
    <s v="Klaber, Mr. Herman"/>
    <s v="Mr."/>
    <x v="0"/>
    <n v="28"/>
    <x v="0"/>
    <n v="0"/>
    <n v="0"/>
    <x v="1"/>
    <s v="113028"/>
    <n v="26.55"/>
    <e v="#N/A"/>
    <n v="26.55"/>
    <x v="3"/>
    <x v="64"/>
    <x v="0"/>
  </r>
  <r>
    <n v="713"/>
    <n v="1"/>
    <x v="1"/>
    <n v="1"/>
    <x v="1"/>
    <s v="Taylor, Mr. Elmer Zebley"/>
    <s v="Mr."/>
    <x v="0"/>
    <n v="48"/>
    <x v="5"/>
    <n v="1"/>
    <n v="0"/>
    <x v="0"/>
    <s v="19996"/>
    <n v="52"/>
    <n v="52"/>
    <e v="#N/A"/>
    <x v="1"/>
    <x v="113"/>
    <x v="0"/>
  </r>
  <r>
    <n v="714"/>
    <n v="0"/>
    <x v="0"/>
    <n v="3"/>
    <x v="0"/>
    <s v="Larsson, Mr. August Viktor"/>
    <s v="Mr."/>
    <x v="0"/>
    <n v="29"/>
    <x v="0"/>
    <n v="0"/>
    <n v="0"/>
    <x v="1"/>
    <s v="7545"/>
    <n v="9.4832999999999998"/>
    <e v="#N/A"/>
    <n v="9.4832999999999998"/>
    <x v="2"/>
    <x v="0"/>
    <x v="0"/>
  </r>
  <r>
    <n v="715"/>
    <n v="0"/>
    <x v="0"/>
    <n v="2"/>
    <x v="2"/>
    <s v="Greenberg, Mr. Samuel"/>
    <s v="Mr."/>
    <x v="0"/>
    <n v="52"/>
    <x v="2"/>
    <n v="0"/>
    <n v="0"/>
    <x v="1"/>
    <s v="250647"/>
    <n v="13"/>
    <e v="#N/A"/>
    <n v="13"/>
    <x v="2"/>
    <x v="0"/>
    <x v="0"/>
  </r>
  <r>
    <n v="716"/>
    <n v="0"/>
    <x v="0"/>
    <n v="3"/>
    <x v="0"/>
    <s v="Soholt, Mr. Peter Andreas Lauritz Andersen"/>
    <s v="Mr."/>
    <x v="0"/>
    <n v="19"/>
    <x v="4"/>
    <n v="0"/>
    <n v="0"/>
    <x v="1"/>
    <s v="348124"/>
    <n v="7.65"/>
    <e v="#N/A"/>
    <n v="7.65"/>
    <x v="0"/>
    <x v="16"/>
    <x v="0"/>
  </r>
  <r>
    <n v="717"/>
    <n v="1"/>
    <x v="1"/>
    <n v="1"/>
    <x v="1"/>
    <s v="Endres, Miss. Caroline Louise"/>
    <s v="Miss."/>
    <x v="1"/>
    <n v="38"/>
    <x v="1"/>
    <n v="0"/>
    <n v="0"/>
    <x v="1"/>
    <s v="PC 17757"/>
    <n v="227.52500000000001"/>
    <n v="227.52500000000001"/>
    <e v="#N/A"/>
    <x v="1"/>
    <x v="123"/>
    <x v="1"/>
  </r>
  <r>
    <n v="718"/>
    <n v="1"/>
    <x v="1"/>
    <n v="2"/>
    <x v="2"/>
    <s v="Troutt, Miss. Edwina Celia &quot;Winnie&quot;"/>
    <s v="Miss."/>
    <x v="1"/>
    <n v="27"/>
    <x v="0"/>
    <n v="0"/>
    <n v="0"/>
    <x v="1"/>
    <s v="34218"/>
    <n v="10.5"/>
    <n v="10.5"/>
    <e v="#N/A"/>
    <x v="2"/>
    <x v="23"/>
    <x v="0"/>
  </r>
  <r>
    <n v="719"/>
    <n v="0"/>
    <x v="0"/>
    <n v="3"/>
    <x v="0"/>
    <s v="McEvoy, Mr. Michael"/>
    <s v="Mr."/>
    <x v="0"/>
    <n v="28"/>
    <x v="0"/>
    <n v="0"/>
    <n v="0"/>
    <x v="1"/>
    <s v="36568"/>
    <n v="15.5"/>
    <e v="#N/A"/>
    <n v="15.5"/>
    <x v="3"/>
    <x v="0"/>
    <x v="2"/>
  </r>
  <r>
    <n v="720"/>
    <n v="0"/>
    <x v="0"/>
    <n v="3"/>
    <x v="0"/>
    <s v="Johnson, Mr. Malkolm Joackim"/>
    <s v="Mr."/>
    <x v="0"/>
    <n v="33"/>
    <x v="1"/>
    <n v="0"/>
    <n v="0"/>
    <x v="1"/>
    <s v="347062"/>
    <n v="7.7750000000000004"/>
    <e v="#N/A"/>
    <n v="7.7750000000000004"/>
    <x v="0"/>
    <x v="0"/>
    <x v="0"/>
  </r>
  <r>
    <n v="721"/>
    <n v="1"/>
    <x v="1"/>
    <n v="2"/>
    <x v="2"/>
    <s v="Harper, Miss. Annie Jessie &quot;Nina&quot;"/>
    <s v="Miss."/>
    <x v="1"/>
    <n v="6"/>
    <x v="3"/>
    <n v="0"/>
    <n v="1"/>
    <x v="0"/>
    <s v="248727"/>
    <n v="33"/>
    <n v="33"/>
    <e v="#N/A"/>
    <x v="1"/>
    <x v="0"/>
    <x v="0"/>
  </r>
  <r>
    <n v="722"/>
    <n v="0"/>
    <x v="0"/>
    <n v="3"/>
    <x v="0"/>
    <s v="Jensen, Mr. Svend Lauritz"/>
    <s v="Mr."/>
    <x v="0"/>
    <n v="17"/>
    <x v="4"/>
    <n v="1"/>
    <n v="0"/>
    <x v="0"/>
    <s v="350048"/>
    <n v="7.0541999999999998"/>
    <e v="#N/A"/>
    <n v="7.0541999999999998"/>
    <x v="0"/>
    <x v="0"/>
    <x v="0"/>
  </r>
  <r>
    <n v="723"/>
    <n v="0"/>
    <x v="0"/>
    <n v="2"/>
    <x v="2"/>
    <s v="Gillespie, Mr. William Henry"/>
    <s v="Mr."/>
    <x v="0"/>
    <n v="34"/>
    <x v="1"/>
    <n v="0"/>
    <n v="0"/>
    <x v="1"/>
    <s v="12233"/>
    <n v="13"/>
    <e v="#N/A"/>
    <n v="13"/>
    <x v="2"/>
    <x v="0"/>
    <x v="0"/>
  </r>
  <r>
    <n v="724"/>
    <n v="0"/>
    <x v="0"/>
    <n v="2"/>
    <x v="2"/>
    <s v="Hodges, Mr. Henry Price"/>
    <s v="Mr."/>
    <x v="0"/>
    <n v="50"/>
    <x v="2"/>
    <n v="0"/>
    <n v="0"/>
    <x v="1"/>
    <s v="250643"/>
    <n v="13"/>
    <e v="#N/A"/>
    <n v="13"/>
    <x v="2"/>
    <x v="0"/>
    <x v="0"/>
  </r>
  <r>
    <n v="725"/>
    <n v="1"/>
    <x v="1"/>
    <n v="1"/>
    <x v="1"/>
    <s v="Chambers, Mr. Norman Campbell"/>
    <s v="Mr."/>
    <x v="0"/>
    <n v="27"/>
    <x v="0"/>
    <n v="1"/>
    <n v="0"/>
    <x v="0"/>
    <s v="113806"/>
    <n v="53.1"/>
    <n v="53.1"/>
    <e v="#N/A"/>
    <x v="1"/>
    <x v="124"/>
    <x v="0"/>
  </r>
  <r>
    <n v="726"/>
    <n v="0"/>
    <x v="0"/>
    <n v="3"/>
    <x v="0"/>
    <s v="Oreskovic, Mr. Luka"/>
    <s v="Mr."/>
    <x v="0"/>
    <n v="20"/>
    <x v="0"/>
    <n v="0"/>
    <n v="0"/>
    <x v="1"/>
    <s v="315094"/>
    <n v="8.6624999999999996"/>
    <e v="#N/A"/>
    <n v="8.6624999999999996"/>
    <x v="2"/>
    <x v="0"/>
    <x v="0"/>
  </r>
  <r>
    <n v="727"/>
    <n v="1"/>
    <x v="1"/>
    <n v="2"/>
    <x v="2"/>
    <s v="Renouf, Mrs. Peter Henry (Lillian Jefferys)"/>
    <s v="Mrs."/>
    <x v="1"/>
    <n v="30"/>
    <x v="1"/>
    <n v="3"/>
    <n v="0"/>
    <x v="6"/>
    <s v="31027"/>
    <n v="21"/>
    <n v="21"/>
    <e v="#N/A"/>
    <x v="3"/>
    <x v="0"/>
    <x v="0"/>
  </r>
  <r>
    <n v="728"/>
    <n v="1"/>
    <x v="1"/>
    <n v="3"/>
    <x v="0"/>
    <s v="Mannion, Miss. Margareth"/>
    <s v="Miss."/>
    <x v="1"/>
    <n v="28"/>
    <x v="0"/>
    <n v="0"/>
    <n v="0"/>
    <x v="1"/>
    <s v="36866"/>
    <n v="7.7374999999999998"/>
    <n v="7.7374999999999998"/>
    <e v="#N/A"/>
    <x v="0"/>
    <x v="0"/>
    <x v="2"/>
  </r>
  <r>
    <n v="729"/>
    <n v="0"/>
    <x v="0"/>
    <n v="2"/>
    <x v="2"/>
    <s v="Bryhl, Mr. Kurt Arnold Gottfrid"/>
    <s v="Mr."/>
    <x v="0"/>
    <n v="25"/>
    <x v="0"/>
    <n v="1"/>
    <n v="0"/>
    <x v="0"/>
    <s v="236853"/>
    <n v="26"/>
    <e v="#N/A"/>
    <n v="26"/>
    <x v="3"/>
    <x v="0"/>
    <x v="0"/>
  </r>
  <r>
    <n v="730"/>
    <n v="0"/>
    <x v="0"/>
    <n v="3"/>
    <x v="0"/>
    <s v="Ilmakangas, Miss. Pieta Sofia"/>
    <s v="Miss."/>
    <x v="1"/>
    <n v="25"/>
    <x v="0"/>
    <n v="1"/>
    <n v="0"/>
    <x v="0"/>
    <s v="STON/O2. 3101271"/>
    <n v="7.9249999999999998"/>
    <e v="#N/A"/>
    <n v="7.9249999999999998"/>
    <x v="0"/>
    <x v="0"/>
    <x v="0"/>
  </r>
  <r>
    <n v="731"/>
    <n v="1"/>
    <x v="1"/>
    <n v="1"/>
    <x v="1"/>
    <s v="Allen, Miss. Elisabeth Walton"/>
    <s v="Miss."/>
    <x v="1"/>
    <n v="29"/>
    <x v="0"/>
    <n v="0"/>
    <n v="0"/>
    <x v="1"/>
    <s v="24160"/>
    <n v="211.33750000000001"/>
    <n v="211.33750000000001"/>
    <e v="#N/A"/>
    <x v="1"/>
    <x v="117"/>
    <x v="0"/>
  </r>
  <r>
    <n v="732"/>
    <n v="0"/>
    <x v="0"/>
    <n v="3"/>
    <x v="0"/>
    <s v="Hassan, Mr. Houssein G N"/>
    <s v="Mr."/>
    <x v="0"/>
    <n v="11"/>
    <x v="3"/>
    <n v="0"/>
    <n v="0"/>
    <x v="1"/>
    <s v="2699"/>
    <n v="18.787500000000001"/>
    <e v="#N/A"/>
    <n v="18.787500000000001"/>
    <x v="3"/>
    <x v="0"/>
    <x v="1"/>
  </r>
  <r>
    <n v="733"/>
    <n v="0"/>
    <x v="0"/>
    <n v="2"/>
    <x v="2"/>
    <s v="Knight, Mr. Robert J"/>
    <s v="Mr."/>
    <x v="0"/>
    <n v="28"/>
    <x v="0"/>
    <n v="0"/>
    <n v="0"/>
    <x v="1"/>
    <s v="239855"/>
    <n v="0"/>
    <e v="#N/A"/>
    <n v="0"/>
    <x v="0"/>
    <x v="0"/>
    <x v="0"/>
  </r>
  <r>
    <n v="734"/>
    <n v="0"/>
    <x v="0"/>
    <n v="2"/>
    <x v="2"/>
    <s v="Berriman, Mr. William John"/>
    <s v="Mr."/>
    <x v="0"/>
    <n v="23"/>
    <x v="0"/>
    <n v="0"/>
    <n v="0"/>
    <x v="1"/>
    <s v="28425"/>
    <n v="13"/>
    <e v="#N/A"/>
    <n v="13"/>
    <x v="2"/>
    <x v="0"/>
    <x v="0"/>
  </r>
  <r>
    <n v="735"/>
    <n v="0"/>
    <x v="0"/>
    <n v="2"/>
    <x v="2"/>
    <s v="Troupiansky, Mr. Moses Aaron"/>
    <s v="Mr."/>
    <x v="0"/>
    <n v="23"/>
    <x v="0"/>
    <n v="0"/>
    <n v="0"/>
    <x v="1"/>
    <s v="233639"/>
    <n v="13"/>
    <e v="#N/A"/>
    <n v="13"/>
    <x v="2"/>
    <x v="0"/>
    <x v="0"/>
  </r>
  <r>
    <n v="736"/>
    <n v="0"/>
    <x v="0"/>
    <n v="3"/>
    <x v="0"/>
    <s v="Williams, Mr. Leslie"/>
    <s v="Mr."/>
    <x v="0"/>
    <n v="28.5"/>
    <x v="0"/>
    <n v="0"/>
    <n v="0"/>
    <x v="1"/>
    <s v="54636"/>
    <n v="16.100000000000001"/>
    <e v="#N/A"/>
    <n v="16.100000000000001"/>
    <x v="3"/>
    <x v="0"/>
    <x v="0"/>
  </r>
  <r>
    <n v="737"/>
    <n v="0"/>
    <x v="0"/>
    <n v="3"/>
    <x v="0"/>
    <s v="Ford, Mrs. Edward (Margaret Ann Watson)"/>
    <s v="Mrs."/>
    <x v="1"/>
    <n v="48"/>
    <x v="5"/>
    <n v="1"/>
    <n v="3"/>
    <x v="2"/>
    <s v="W./C. 6608"/>
    <n v="34.375"/>
    <e v="#N/A"/>
    <n v="34.375"/>
    <x v="1"/>
    <x v="0"/>
    <x v="0"/>
  </r>
  <r>
    <n v="738"/>
    <n v="1"/>
    <x v="1"/>
    <n v="1"/>
    <x v="1"/>
    <s v="Lesurer, Mr. Gustave J"/>
    <s v="Mr."/>
    <x v="0"/>
    <n v="35"/>
    <x v="1"/>
    <n v="0"/>
    <n v="0"/>
    <x v="1"/>
    <s v="PC 17755"/>
    <n v="512.32920000000001"/>
    <n v="512.32920000000001"/>
    <e v="#N/A"/>
    <x v="1"/>
    <x v="125"/>
    <x v="1"/>
  </r>
  <r>
    <n v="739"/>
    <n v="0"/>
    <x v="0"/>
    <n v="3"/>
    <x v="0"/>
    <s v="Ivanoff, Mr. Kanio"/>
    <s v="Mr."/>
    <x v="0"/>
    <n v="28"/>
    <x v="0"/>
    <n v="0"/>
    <n v="0"/>
    <x v="1"/>
    <s v="349201"/>
    <n v="7.8958000000000004"/>
    <e v="#N/A"/>
    <n v="7.8958000000000004"/>
    <x v="0"/>
    <x v="0"/>
    <x v="0"/>
  </r>
  <r>
    <n v="740"/>
    <n v="0"/>
    <x v="0"/>
    <n v="3"/>
    <x v="0"/>
    <s v="Nankoff, Mr. Minko"/>
    <s v="Mr."/>
    <x v="0"/>
    <n v="28"/>
    <x v="0"/>
    <n v="0"/>
    <n v="0"/>
    <x v="1"/>
    <s v="349218"/>
    <n v="7.8958000000000004"/>
    <e v="#N/A"/>
    <n v="7.8958000000000004"/>
    <x v="0"/>
    <x v="0"/>
    <x v="0"/>
  </r>
  <r>
    <n v="741"/>
    <n v="1"/>
    <x v="1"/>
    <n v="1"/>
    <x v="1"/>
    <s v="Hawksford, Mr. Walter James"/>
    <s v="Mr."/>
    <x v="0"/>
    <n v="28"/>
    <x v="0"/>
    <n v="0"/>
    <n v="0"/>
    <x v="1"/>
    <s v="16988"/>
    <n v="30"/>
    <n v="30"/>
    <e v="#N/A"/>
    <x v="1"/>
    <x v="126"/>
    <x v="0"/>
  </r>
  <r>
    <n v="742"/>
    <n v="0"/>
    <x v="0"/>
    <n v="1"/>
    <x v="1"/>
    <s v="Cavendish, Mr. Tyrell William"/>
    <s v="Mr."/>
    <x v="0"/>
    <n v="36"/>
    <x v="1"/>
    <n v="1"/>
    <n v="0"/>
    <x v="0"/>
    <s v="19877"/>
    <n v="78.849999999999994"/>
    <e v="#N/A"/>
    <n v="78.849999999999994"/>
    <x v="1"/>
    <x v="127"/>
    <x v="0"/>
  </r>
  <r>
    <n v="743"/>
    <n v="1"/>
    <x v="1"/>
    <n v="1"/>
    <x v="1"/>
    <s v="Ryerson, Miss. Susan Parker &quot;Suzette&quot;"/>
    <s v="Miss."/>
    <x v="1"/>
    <n v="21"/>
    <x v="0"/>
    <n v="2"/>
    <n v="2"/>
    <x v="2"/>
    <s v="PC 17608"/>
    <n v="262.375"/>
    <n v="262.375"/>
    <e v="#N/A"/>
    <x v="1"/>
    <x v="59"/>
    <x v="1"/>
  </r>
  <r>
    <n v="744"/>
    <n v="0"/>
    <x v="0"/>
    <n v="3"/>
    <x v="0"/>
    <s v="McNamee, Mr. Neal"/>
    <s v="Mr."/>
    <x v="0"/>
    <n v="24"/>
    <x v="0"/>
    <n v="1"/>
    <n v="0"/>
    <x v="0"/>
    <s v="376566"/>
    <n v="16.100000000000001"/>
    <e v="#N/A"/>
    <n v="16.100000000000001"/>
    <x v="3"/>
    <x v="0"/>
    <x v="0"/>
  </r>
  <r>
    <n v="745"/>
    <n v="1"/>
    <x v="1"/>
    <n v="3"/>
    <x v="0"/>
    <s v="Stranden, Mr. Juho"/>
    <s v="Mr."/>
    <x v="0"/>
    <n v="31"/>
    <x v="1"/>
    <n v="0"/>
    <n v="0"/>
    <x v="1"/>
    <s v="STON/O 2. 3101288"/>
    <n v="7.9249999999999998"/>
    <n v="7.9249999999999998"/>
    <e v="#N/A"/>
    <x v="0"/>
    <x v="0"/>
    <x v="0"/>
  </r>
  <r>
    <n v="746"/>
    <n v="0"/>
    <x v="0"/>
    <n v="1"/>
    <x v="1"/>
    <s v="Crosby, Capt. Edward Gifford"/>
    <s v="Capt."/>
    <x v="0"/>
    <n v="70"/>
    <x v="7"/>
    <n v="1"/>
    <n v="1"/>
    <x v="3"/>
    <s v="WE/P 5735"/>
    <n v="71"/>
    <e v="#N/A"/>
    <n v="71"/>
    <x v="1"/>
    <x v="95"/>
    <x v="0"/>
  </r>
  <r>
    <n v="747"/>
    <n v="0"/>
    <x v="0"/>
    <n v="3"/>
    <x v="0"/>
    <s v="Abbott, Mr. Rossmore Edward"/>
    <s v="Mr."/>
    <x v="0"/>
    <n v="16"/>
    <x v="4"/>
    <n v="1"/>
    <n v="1"/>
    <x v="3"/>
    <s v="C.A. 2673"/>
    <n v="20.25"/>
    <e v="#N/A"/>
    <n v="20.25"/>
    <x v="3"/>
    <x v="0"/>
    <x v="0"/>
  </r>
  <r>
    <n v="748"/>
    <n v="1"/>
    <x v="1"/>
    <n v="2"/>
    <x v="2"/>
    <s v="Sinkkonen, Miss. Anna"/>
    <s v="Miss."/>
    <x v="1"/>
    <n v="30"/>
    <x v="1"/>
    <n v="0"/>
    <n v="0"/>
    <x v="1"/>
    <s v="250648"/>
    <n v="13"/>
    <n v="13"/>
    <e v="#N/A"/>
    <x v="2"/>
    <x v="0"/>
    <x v="0"/>
  </r>
  <r>
    <n v="749"/>
    <n v="0"/>
    <x v="0"/>
    <n v="1"/>
    <x v="1"/>
    <s v="Marvin, Mr. Daniel Warner"/>
    <s v="Mr."/>
    <x v="0"/>
    <n v="19"/>
    <x v="4"/>
    <n v="1"/>
    <n v="0"/>
    <x v="0"/>
    <s v="113773"/>
    <n v="53.1"/>
    <e v="#N/A"/>
    <n v="53.1"/>
    <x v="1"/>
    <x v="128"/>
    <x v="0"/>
  </r>
  <r>
    <n v="750"/>
    <n v="0"/>
    <x v="0"/>
    <n v="3"/>
    <x v="0"/>
    <s v="Connaghton, Mr. Michael"/>
    <s v="Mr."/>
    <x v="0"/>
    <n v="31"/>
    <x v="1"/>
    <n v="0"/>
    <n v="0"/>
    <x v="1"/>
    <s v="335097"/>
    <n v="7.75"/>
    <e v="#N/A"/>
    <n v="7.75"/>
    <x v="0"/>
    <x v="0"/>
    <x v="2"/>
  </r>
  <r>
    <n v="751"/>
    <n v="1"/>
    <x v="1"/>
    <n v="2"/>
    <x v="2"/>
    <s v="Wells, Miss. Joan"/>
    <s v="Miss."/>
    <x v="1"/>
    <n v="4"/>
    <x v="3"/>
    <n v="1"/>
    <n v="1"/>
    <x v="3"/>
    <s v="29103"/>
    <n v="23"/>
    <n v="23"/>
    <e v="#N/A"/>
    <x v="3"/>
    <x v="0"/>
    <x v="0"/>
  </r>
  <r>
    <n v="752"/>
    <n v="1"/>
    <x v="1"/>
    <n v="3"/>
    <x v="0"/>
    <s v="Moor, Master. Meier"/>
    <s v="Master."/>
    <x v="0"/>
    <n v="6"/>
    <x v="3"/>
    <n v="0"/>
    <n v="1"/>
    <x v="0"/>
    <s v="392096"/>
    <n v="12.475"/>
    <n v="12.475"/>
    <e v="#N/A"/>
    <x v="2"/>
    <x v="129"/>
    <x v="0"/>
  </r>
  <r>
    <n v="753"/>
    <n v="0"/>
    <x v="0"/>
    <n v="3"/>
    <x v="0"/>
    <s v="Vande Velde, Mr. Johannes Joseph"/>
    <s v="Mr."/>
    <x v="0"/>
    <n v="33"/>
    <x v="1"/>
    <n v="0"/>
    <n v="0"/>
    <x v="1"/>
    <s v="345780"/>
    <n v="9.5"/>
    <e v="#N/A"/>
    <n v="9.5"/>
    <x v="2"/>
    <x v="0"/>
    <x v="0"/>
  </r>
  <r>
    <n v="754"/>
    <n v="0"/>
    <x v="0"/>
    <n v="3"/>
    <x v="0"/>
    <s v="Jonkoff, Mr. Lalio"/>
    <s v="Mr."/>
    <x v="0"/>
    <n v="23"/>
    <x v="0"/>
    <n v="0"/>
    <n v="0"/>
    <x v="1"/>
    <s v="349204"/>
    <n v="7.8958000000000004"/>
    <e v="#N/A"/>
    <n v="7.8958000000000004"/>
    <x v="0"/>
    <x v="0"/>
    <x v="0"/>
  </r>
  <r>
    <n v="755"/>
    <n v="1"/>
    <x v="1"/>
    <n v="2"/>
    <x v="2"/>
    <s v="Herman, Mrs. Samuel (Jane Laver)"/>
    <s v="Mrs."/>
    <x v="1"/>
    <n v="48"/>
    <x v="5"/>
    <n v="1"/>
    <n v="2"/>
    <x v="6"/>
    <s v="220845"/>
    <n v="65"/>
    <n v="65"/>
    <e v="#N/A"/>
    <x v="1"/>
    <x v="0"/>
    <x v="0"/>
  </r>
  <r>
    <n v="756"/>
    <n v="1"/>
    <x v="1"/>
    <n v="2"/>
    <x v="2"/>
    <s v="Hamalainen, Master. Viljo"/>
    <s v="Master."/>
    <x v="0"/>
    <n v="0.67"/>
    <x v="3"/>
    <n v="1"/>
    <n v="1"/>
    <x v="3"/>
    <s v="250649"/>
    <n v="14.5"/>
    <n v="14.5"/>
    <e v="#N/A"/>
    <x v="2"/>
    <x v="0"/>
    <x v="0"/>
  </r>
  <r>
    <n v="757"/>
    <n v="0"/>
    <x v="0"/>
    <n v="3"/>
    <x v="0"/>
    <s v="Carlsson, Mr. August Sigfrid"/>
    <s v="Mr."/>
    <x v="0"/>
    <n v="28"/>
    <x v="0"/>
    <n v="0"/>
    <n v="0"/>
    <x v="1"/>
    <s v="350042"/>
    <n v="7.7957999999999998"/>
    <e v="#N/A"/>
    <n v="7.7957999999999998"/>
    <x v="0"/>
    <x v="0"/>
    <x v="0"/>
  </r>
  <r>
    <n v="758"/>
    <n v="0"/>
    <x v="0"/>
    <n v="2"/>
    <x v="2"/>
    <s v="Bailey, Mr. Percy Andrew"/>
    <s v="Mr."/>
    <x v="0"/>
    <n v="18"/>
    <x v="4"/>
    <n v="0"/>
    <n v="0"/>
    <x v="1"/>
    <s v="29108"/>
    <n v="11.5"/>
    <e v="#N/A"/>
    <n v="11.5"/>
    <x v="2"/>
    <x v="0"/>
    <x v="0"/>
  </r>
  <r>
    <n v="759"/>
    <n v="0"/>
    <x v="0"/>
    <n v="3"/>
    <x v="0"/>
    <s v="Theobald, Mr. Thomas Leonard"/>
    <s v="Mr."/>
    <x v="0"/>
    <n v="34"/>
    <x v="1"/>
    <n v="0"/>
    <n v="0"/>
    <x v="1"/>
    <s v="363294"/>
    <n v="8.0500000000000007"/>
    <e v="#N/A"/>
    <n v="8.0500000000000007"/>
    <x v="2"/>
    <x v="0"/>
    <x v="0"/>
  </r>
  <r>
    <n v="760"/>
    <n v="1"/>
    <x v="1"/>
    <n v="1"/>
    <x v="1"/>
    <s v="Rothes, the Countess. of (Lucy Noel Martha Dyer-Edwards)"/>
    <s v="the Countess."/>
    <x v="1"/>
    <n v="33"/>
    <x v="1"/>
    <n v="0"/>
    <n v="0"/>
    <x v="1"/>
    <s v="110152"/>
    <n v="86.5"/>
    <n v="86.5"/>
    <e v="#N/A"/>
    <x v="1"/>
    <x v="44"/>
    <x v="0"/>
  </r>
  <r>
    <n v="761"/>
    <n v="0"/>
    <x v="0"/>
    <n v="3"/>
    <x v="0"/>
    <s v="Garfirth, Mr. John"/>
    <s v="Mr."/>
    <x v="0"/>
    <n v="28"/>
    <x v="0"/>
    <n v="0"/>
    <n v="0"/>
    <x v="1"/>
    <s v="358585"/>
    <n v="14.5"/>
    <e v="#N/A"/>
    <n v="14.5"/>
    <x v="2"/>
    <x v="0"/>
    <x v="0"/>
  </r>
  <r>
    <n v="762"/>
    <n v="0"/>
    <x v="0"/>
    <n v="3"/>
    <x v="0"/>
    <s v="Nirva, Mr. Iisakki Antino Aijo"/>
    <s v="Mr."/>
    <x v="0"/>
    <n v="41"/>
    <x v="5"/>
    <n v="0"/>
    <n v="0"/>
    <x v="1"/>
    <s v="SOTON/O2 3101272"/>
    <n v="7.125"/>
    <e v="#N/A"/>
    <n v="7.125"/>
    <x v="0"/>
    <x v="0"/>
    <x v="0"/>
  </r>
  <r>
    <n v="763"/>
    <n v="1"/>
    <x v="1"/>
    <n v="3"/>
    <x v="0"/>
    <s v="Barah, Mr. Hanna Assi"/>
    <s v="Mr."/>
    <x v="0"/>
    <n v="20"/>
    <x v="0"/>
    <n v="0"/>
    <n v="0"/>
    <x v="1"/>
    <s v="2663"/>
    <n v="7.2291999999999996"/>
    <n v="7.2291999999999996"/>
    <e v="#N/A"/>
    <x v="0"/>
    <x v="0"/>
    <x v="1"/>
  </r>
  <r>
    <n v="764"/>
    <n v="1"/>
    <x v="1"/>
    <n v="1"/>
    <x v="1"/>
    <s v="Carter, Mrs. William Ernest (Lucile Polk)"/>
    <s v="Mrs."/>
    <x v="1"/>
    <n v="36"/>
    <x v="1"/>
    <n v="1"/>
    <n v="2"/>
    <x v="6"/>
    <s v="113760"/>
    <n v="120"/>
    <n v="120"/>
    <e v="#N/A"/>
    <x v="1"/>
    <x v="73"/>
    <x v="0"/>
  </r>
  <r>
    <n v="765"/>
    <n v="0"/>
    <x v="0"/>
    <n v="3"/>
    <x v="0"/>
    <s v="Eklund, Mr. Hans Linus"/>
    <s v="Mr."/>
    <x v="0"/>
    <n v="16"/>
    <x v="4"/>
    <n v="0"/>
    <n v="0"/>
    <x v="1"/>
    <s v="347074"/>
    <n v="7.7750000000000004"/>
    <e v="#N/A"/>
    <n v="7.7750000000000004"/>
    <x v="0"/>
    <x v="0"/>
    <x v="0"/>
  </r>
  <r>
    <n v="766"/>
    <n v="1"/>
    <x v="1"/>
    <n v="1"/>
    <x v="1"/>
    <s v="Hogeboom, Mrs. John C (Anna Andrews)"/>
    <s v="Mrs."/>
    <x v="1"/>
    <n v="51"/>
    <x v="2"/>
    <n v="1"/>
    <n v="0"/>
    <x v="0"/>
    <s v="13502"/>
    <n v="77.958299999999994"/>
    <n v="77.958299999999994"/>
    <e v="#N/A"/>
    <x v="1"/>
    <x v="130"/>
    <x v="0"/>
  </r>
  <r>
    <n v="767"/>
    <n v="0"/>
    <x v="0"/>
    <n v="1"/>
    <x v="1"/>
    <s v="Brewe, Dr. Arthur Jackson"/>
    <s v="Dr."/>
    <x v="0"/>
    <n v="28"/>
    <x v="0"/>
    <n v="0"/>
    <n v="0"/>
    <x v="1"/>
    <s v="112379"/>
    <n v="39.6"/>
    <e v="#N/A"/>
    <n v="39.6"/>
    <x v="1"/>
    <x v="0"/>
    <x v="1"/>
  </r>
  <r>
    <n v="768"/>
    <n v="0"/>
    <x v="0"/>
    <n v="3"/>
    <x v="0"/>
    <s v="Mangan, Miss. Mary"/>
    <s v="Miss."/>
    <x v="1"/>
    <n v="30.5"/>
    <x v="1"/>
    <n v="0"/>
    <n v="0"/>
    <x v="1"/>
    <s v="364850"/>
    <n v="7.75"/>
    <e v="#N/A"/>
    <n v="7.75"/>
    <x v="0"/>
    <x v="0"/>
    <x v="2"/>
  </r>
  <r>
    <n v="769"/>
    <n v="0"/>
    <x v="0"/>
    <n v="3"/>
    <x v="0"/>
    <s v="Moran, Mr. Daniel J"/>
    <s v="Mr."/>
    <x v="0"/>
    <n v="28"/>
    <x v="0"/>
    <n v="1"/>
    <n v="0"/>
    <x v="0"/>
    <s v="371110"/>
    <n v="24.15"/>
    <e v="#N/A"/>
    <n v="24.15"/>
    <x v="3"/>
    <x v="0"/>
    <x v="2"/>
  </r>
  <r>
    <n v="770"/>
    <n v="0"/>
    <x v="0"/>
    <n v="3"/>
    <x v="0"/>
    <s v="Gronnestad, Mr. Daniel Danielsen"/>
    <s v="Mr."/>
    <x v="0"/>
    <n v="32"/>
    <x v="1"/>
    <n v="0"/>
    <n v="0"/>
    <x v="1"/>
    <s v="8471"/>
    <n v="8.3625000000000007"/>
    <e v="#N/A"/>
    <n v="8.3625000000000007"/>
    <x v="2"/>
    <x v="0"/>
    <x v="0"/>
  </r>
  <r>
    <n v="771"/>
    <n v="0"/>
    <x v="0"/>
    <n v="3"/>
    <x v="0"/>
    <s v="Lievens, Mr. Rene Aime"/>
    <s v="Mr."/>
    <x v="0"/>
    <n v="24"/>
    <x v="0"/>
    <n v="0"/>
    <n v="0"/>
    <x v="1"/>
    <s v="345781"/>
    <n v="9.5"/>
    <e v="#N/A"/>
    <n v="9.5"/>
    <x v="2"/>
    <x v="0"/>
    <x v="0"/>
  </r>
  <r>
    <n v="772"/>
    <n v="0"/>
    <x v="0"/>
    <n v="3"/>
    <x v="0"/>
    <s v="Jensen, Mr. Niels Peder"/>
    <s v="Mr."/>
    <x v="0"/>
    <n v="48"/>
    <x v="5"/>
    <n v="0"/>
    <n v="0"/>
    <x v="1"/>
    <s v="350047"/>
    <n v="7.8541999999999996"/>
    <e v="#N/A"/>
    <n v="7.8541999999999996"/>
    <x v="0"/>
    <x v="0"/>
    <x v="0"/>
  </r>
  <r>
    <n v="773"/>
    <n v="0"/>
    <x v="0"/>
    <n v="2"/>
    <x v="2"/>
    <s v="Mack, Mrs. (Mary)"/>
    <s v="Mrs."/>
    <x v="1"/>
    <n v="57"/>
    <x v="2"/>
    <n v="0"/>
    <n v="0"/>
    <x v="1"/>
    <s v="S.O./P.P. 3"/>
    <n v="10.5"/>
    <e v="#N/A"/>
    <n v="10.5"/>
    <x v="2"/>
    <x v="131"/>
    <x v="0"/>
  </r>
  <r>
    <n v="774"/>
    <n v="0"/>
    <x v="0"/>
    <n v="3"/>
    <x v="0"/>
    <s v="Elias, Mr. Dibo"/>
    <s v="Mr."/>
    <x v="0"/>
    <n v="28"/>
    <x v="0"/>
    <n v="0"/>
    <n v="0"/>
    <x v="1"/>
    <s v="2674"/>
    <n v="7.2249999999999996"/>
    <e v="#N/A"/>
    <n v="7.2249999999999996"/>
    <x v="0"/>
    <x v="0"/>
    <x v="1"/>
  </r>
  <r>
    <n v="775"/>
    <n v="1"/>
    <x v="1"/>
    <n v="2"/>
    <x v="2"/>
    <s v="Hocking, Mrs. Elizabeth (Eliza Needs)"/>
    <s v="Mrs."/>
    <x v="1"/>
    <n v="54"/>
    <x v="2"/>
    <n v="1"/>
    <n v="3"/>
    <x v="2"/>
    <s v="29105"/>
    <n v="23"/>
    <n v="23"/>
    <e v="#N/A"/>
    <x v="3"/>
    <x v="0"/>
    <x v="0"/>
  </r>
  <r>
    <n v="776"/>
    <n v="0"/>
    <x v="0"/>
    <n v="3"/>
    <x v="0"/>
    <s v="Myhrman, Mr. Pehr Fabian Oliver Malkolm"/>
    <s v="Mr."/>
    <x v="0"/>
    <n v="18"/>
    <x v="4"/>
    <n v="0"/>
    <n v="0"/>
    <x v="1"/>
    <s v="347078"/>
    <n v="7.75"/>
    <e v="#N/A"/>
    <n v="7.75"/>
    <x v="0"/>
    <x v="0"/>
    <x v="0"/>
  </r>
  <r>
    <n v="777"/>
    <n v="0"/>
    <x v="0"/>
    <n v="3"/>
    <x v="0"/>
    <s v="Tobin, Mr. Roger"/>
    <s v="Mr."/>
    <x v="0"/>
    <n v="28"/>
    <x v="0"/>
    <n v="0"/>
    <n v="0"/>
    <x v="1"/>
    <s v="383121"/>
    <n v="7.75"/>
    <e v="#N/A"/>
    <n v="7.75"/>
    <x v="0"/>
    <x v="132"/>
    <x v="2"/>
  </r>
  <r>
    <n v="778"/>
    <n v="1"/>
    <x v="1"/>
    <n v="3"/>
    <x v="0"/>
    <s v="Emanuel, Miss. Virginia Ethel"/>
    <s v="Miss."/>
    <x v="1"/>
    <n v="5"/>
    <x v="3"/>
    <n v="0"/>
    <n v="0"/>
    <x v="1"/>
    <s v="364516"/>
    <n v="12.475"/>
    <n v="12.475"/>
    <e v="#N/A"/>
    <x v="2"/>
    <x v="0"/>
    <x v="0"/>
  </r>
  <r>
    <n v="779"/>
    <n v="0"/>
    <x v="0"/>
    <n v="3"/>
    <x v="0"/>
    <s v="Kilgannon, Mr. Thomas J"/>
    <s v="Mr."/>
    <x v="0"/>
    <n v="28"/>
    <x v="0"/>
    <n v="0"/>
    <n v="0"/>
    <x v="1"/>
    <s v="36865"/>
    <n v="7.7374999999999998"/>
    <e v="#N/A"/>
    <n v="7.7374999999999998"/>
    <x v="0"/>
    <x v="0"/>
    <x v="2"/>
  </r>
  <r>
    <n v="780"/>
    <n v="1"/>
    <x v="1"/>
    <n v="1"/>
    <x v="1"/>
    <s v="Robert, Mrs. Edward Scott (Elisabeth Walton McMillan)"/>
    <s v="Mrs."/>
    <x v="1"/>
    <n v="43"/>
    <x v="5"/>
    <n v="0"/>
    <n v="1"/>
    <x v="0"/>
    <s v="24160"/>
    <n v="211.33750000000001"/>
    <n v="211.33750000000001"/>
    <e v="#N/A"/>
    <x v="1"/>
    <x v="133"/>
    <x v="0"/>
  </r>
  <r>
    <n v="781"/>
    <n v="1"/>
    <x v="1"/>
    <n v="3"/>
    <x v="0"/>
    <s v="Ayoub, Miss. Banoura"/>
    <s v="Miss."/>
    <x v="1"/>
    <n v="13"/>
    <x v="4"/>
    <n v="0"/>
    <n v="0"/>
    <x v="1"/>
    <s v="2687"/>
    <n v="7.2291999999999996"/>
    <n v="7.2291999999999996"/>
    <e v="#N/A"/>
    <x v="0"/>
    <x v="0"/>
    <x v="1"/>
  </r>
  <r>
    <n v="782"/>
    <n v="1"/>
    <x v="1"/>
    <n v="1"/>
    <x v="1"/>
    <s v="Dick, Mrs. Albert Adrian (Vera Gillespie)"/>
    <s v="Mrs."/>
    <x v="1"/>
    <n v="17"/>
    <x v="4"/>
    <n v="1"/>
    <n v="0"/>
    <x v="0"/>
    <s v="17474"/>
    <n v="57"/>
    <n v="57"/>
    <e v="#N/A"/>
    <x v="1"/>
    <x v="118"/>
    <x v="0"/>
  </r>
  <r>
    <n v="783"/>
    <n v="0"/>
    <x v="0"/>
    <n v="1"/>
    <x v="1"/>
    <s v="Long, Mr. Milton Clyde"/>
    <s v="Mr."/>
    <x v="0"/>
    <n v="29"/>
    <x v="0"/>
    <n v="0"/>
    <n v="0"/>
    <x v="1"/>
    <s v="113501"/>
    <n v="30"/>
    <e v="#N/A"/>
    <n v="30"/>
    <x v="1"/>
    <x v="134"/>
    <x v="0"/>
  </r>
  <r>
    <n v="784"/>
    <n v="0"/>
    <x v="0"/>
    <n v="3"/>
    <x v="0"/>
    <s v="Johnston, Mr. Andrew G"/>
    <s v="Mr."/>
    <x v="0"/>
    <n v="28"/>
    <x v="0"/>
    <n v="1"/>
    <n v="2"/>
    <x v="6"/>
    <s v="W./C. 6607"/>
    <n v="23.45"/>
    <e v="#N/A"/>
    <n v="23.45"/>
    <x v="3"/>
    <x v="0"/>
    <x v="0"/>
  </r>
  <r>
    <n v="785"/>
    <n v="0"/>
    <x v="0"/>
    <n v="3"/>
    <x v="0"/>
    <s v="Ali, Mr. William"/>
    <s v="Mr."/>
    <x v="0"/>
    <n v="25"/>
    <x v="0"/>
    <n v="0"/>
    <n v="0"/>
    <x v="1"/>
    <s v="SOTON/O.Q. 3101312"/>
    <n v="7.05"/>
    <e v="#N/A"/>
    <n v="7.05"/>
    <x v="0"/>
    <x v="0"/>
    <x v="0"/>
  </r>
  <r>
    <n v="786"/>
    <n v="0"/>
    <x v="0"/>
    <n v="3"/>
    <x v="0"/>
    <s v="Harmer, Mr. Abraham (David Lishin)"/>
    <s v="Mr."/>
    <x v="0"/>
    <n v="25"/>
    <x v="0"/>
    <n v="0"/>
    <n v="0"/>
    <x v="1"/>
    <s v="374887"/>
    <n v="7.25"/>
    <e v="#N/A"/>
    <n v="7.25"/>
    <x v="0"/>
    <x v="0"/>
    <x v="0"/>
  </r>
  <r>
    <n v="787"/>
    <n v="1"/>
    <x v="1"/>
    <n v="3"/>
    <x v="0"/>
    <s v="Sjoblom, Miss. Anna Sofia"/>
    <s v="Miss."/>
    <x v="1"/>
    <n v="18"/>
    <x v="4"/>
    <n v="0"/>
    <n v="0"/>
    <x v="1"/>
    <s v="3101265"/>
    <n v="7.4958"/>
    <n v="7.4958"/>
    <e v="#N/A"/>
    <x v="0"/>
    <x v="0"/>
    <x v="0"/>
  </r>
  <r>
    <n v="788"/>
    <n v="0"/>
    <x v="0"/>
    <n v="3"/>
    <x v="0"/>
    <s v="Rice, Master. George Hugh"/>
    <s v="Master."/>
    <x v="0"/>
    <n v="8"/>
    <x v="3"/>
    <n v="4"/>
    <n v="1"/>
    <x v="5"/>
    <s v="382652"/>
    <n v="29.125"/>
    <e v="#N/A"/>
    <n v="29.125"/>
    <x v="3"/>
    <x v="0"/>
    <x v="2"/>
  </r>
  <r>
    <n v="789"/>
    <n v="1"/>
    <x v="1"/>
    <n v="3"/>
    <x v="0"/>
    <s v="Dean, Master. Bertram Vere"/>
    <s v="Master."/>
    <x v="0"/>
    <n v="1"/>
    <x v="3"/>
    <n v="1"/>
    <n v="2"/>
    <x v="6"/>
    <s v="C.A. 2315"/>
    <n v="20.574999999999999"/>
    <n v="20.574999999999999"/>
    <e v="#N/A"/>
    <x v="3"/>
    <x v="0"/>
    <x v="0"/>
  </r>
  <r>
    <n v="790"/>
    <n v="0"/>
    <x v="0"/>
    <n v="1"/>
    <x v="1"/>
    <s v="Guggenheim, Mr. Benjamin"/>
    <s v="Mr."/>
    <x v="0"/>
    <n v="46"/>
    <x v="5"/>
    <n v="0"/>
    <n v="0"/>
    <x v="1"/>
    <s v="PC 17593"/>
    <n v="79.2"/>
    <e v="#N/A"/>
    <n v="79.2"/>
    <x v="1"/>
    <x v="135"/>
    <x v="1"/>
  </r>
  <r>
    <n v="791"/>
    <n v="0"/>
    <x v="0"/>
    <n v="3"/>
    <x v="0"/>
    <s v="Keane, Mr. Andrew &quot;Andy&quot;"/>
    <s v="Mr."/>
    <x v="0"/>
    <n v="28"/>
    <x v="0"/>
    <n v="0"/>
    <n v="0"/>
    <x v="1"/>
    <s v="12460"/>
    <n v="7.75"/>
    <e v="#N/A"/>
    <n v="7.75"/>
    <x v="0"/>
    <x v="0"/>
    <x v="2"/>
  </r>
  <r>
    <n v="792"/>
    <n v="0"/>
    <x v="0"/>
    <n v="2"/>
    <x v="2"/>
    <s v="Gaskell, Mr. Alfred"/>
    <s v="Mr."/>
    <x v="0"/>
    <n v="16"/>
    <x v="4"/>
    <n v="0"/>
    <n v="0"/>
    <x v="1"/>
    <s v="239865"/>
    <n v="26"/>
    <e v="#N/A"/>
    <n v="26"/>
    <x v="3"/>
    <x v="0"/>
    <x v="0"/>
  </r>
  <r>
    <n v="793"/>
    <n v="0"/>
    <x v="0"/>
    <n v="3"/>
    <x v="0"/>
    <s v="Sage, Miss. Stella Anna"/>
    <s v="Miss."/>
    <x v="1"/>
    <n v="28"/>
    <x v="0"/>
    <n v="8"/>
    <n v="2"/>
    <x v="8"/>
    <s v="CA. 2343"/>
    <n v="69.55"/>
    <e v="#N/A"/>
    <n v="69.55"/>
    <x v="1"/>
    <x v="0"/>
    <x v="0"/>
  </r>
  <r>
    <n v="794"/>
    <n v="0"/>
    <x v="0"/>
    <n v="1"/>
    <x v="1"/>
    <s v="Hoyt, Mr. William Fisher"/>
    <s v="Mr."/>
    <x v="0"/>
    <n v="28"/>
    <x v="0"/>
    <n v="0"/>
    <n v="0"/>
    <x v="1"/>
    <s v="PC 17600"/>
    <n v="30.695799999999998"/>
    <e v="#N/A"/>
    <n v="30.695799999999998"/>
    <x v="1"/>
    <x v="0"/>
    <x v="1"/>
  </r>
  <r>
    <n v="795"/>
    <n v="0"/>
    <x v="0"/>
    <n v="3"/>
    <x v="0"/>
    <s v="Dantcheff, Mr. Ristiu"/>
    <s v="Mr."/>
    <x v="0"/>
    <n v="25"/>
    <x v="0"/>
    <n v="0"/>
    <n v="0"/>
    <x v="1"/>
    <s v="349203"/>
    <n v="7.8958000000000004"/>
    <e v="#N/A"/>
    <n v="7.8958000000000004"/>
    <x v="0"/>
    <x v="0"/>
    <x v="0"/>
  </r>
  <r>
    <n v="796"/>
    <n v="0"/>
    <x v="0"/>
    <n v="2"/>
    <x v="2"/>
    <s v="Otter, Mr. Richard"/>
    <s v="Mr."/>
    <x v="0"/>
    <n v="39"/>
    <x v="1"/>
    <n v="0"/>
    <n v="0"/>
    <x v="1"/>
    <s v="28213"/>
    <n v="13"/>
    <e v="#N/A"/>
    <n v="13"/>
    <x v="2"/>
    <x v="0"/>
    <x v="0"/>
  </r>
  <r>
    <n v="797"/>
    <n v="1"/>
    <x v="1"/>
    <n v="1"/>
    <x v="1"/>
    <s v="Leader, Dr. Alice (Farnham)"/>
    <s v="Dr."/>
    <x v="1"/>
    <n v="49"/>
    <x v="5"/>
    <n v="0"/>
    <n v="0"/>
    <x v="1"/>
    <s v="17465"/>
    <n v="25.929200000000002"/>
    <n v="25.929200000000002"/>
    <e v="#N/A"/>
    <x v="3"/>
    <x v="136"/>
    <x v="0"/>
  </r>
  <r>
    <n v="798"/>
    <n v="1"/>
    <x v="1"/>
    <n v="3"/>
    <x v="0"/>
    <s v="Osman, Mrs. Mara"/>
    <s v="Mrs."/>
    <x v="1"/>
    <n v="31"/>
    <x v="1"/>
    <n v="0"/>
    <n v="0"/>
    <x v="1"/>
    <s v="349244"/>
    <n v="8.6832999999999991"/>
    <n v="8.6832999999999991"/>
    <e v="#N/A"/>
    <x v="2"/>
    <x v="0"/>
    <x v="0"/>
  </r>
  <r>
    <n v="799"/>
    <n v="0"/>
    <x v="0"/>
    <n v="3"/>
    <x v="0"/>
    <s v="Ibrahim Shawah, Mr. Yousseff"/>
    <s v="Mr."/>
    <x v="0"/>
    <n v="30"/>
    <x v="1"/>
    <n v="0"/>
    <n v="0"/>
    <x v="1"/>
    <s v="2685"/>
    <n v="7.2291999999999996"/>
    <e v="#N/A"/>
    <n v="7.2291999999999996"/>
    <x v="0"/>
    <x v="0"/>
    <x v="1"/>
  </r>
  <r>
    <n v="800"/>
    <n v="0"/>
    <x v="0"/>
    <n v="3"/>
    <x v="0"/>
    <s v="Van Impe, Mrs. Jean Baptiste (Rosalie Paula Govaert)"/>
    <s v="Mrs."/>
    <x v="1"/>
    <n v="30"/>
    <x v="1"/>
    <n v="1"/>
    <n v="1"/>
    <x v="3"/>
    <s v="345773"/>
    <n v="24.15"/>
    <e v="#N/A"/>
    <n v="24.15"/>
    <x v="3"/>
    <x v="0"/>
    <x v="0"/>
  </r>
  <r>
    <n v="801"/>
    <n v="0"/>
    <x v="0"/>
    <n v="2"/>
    <x v="2"/>
    <s v="Ponesell, Mr. Martin"/>
    <s v="Mr."/>
    <x v="0"/>
    <n v="34"/>
    <x v="1"/>
    <n v="0"/>
    <n v="0"/>
    <x v="1"/>
    <s v="250647"/>
    <n v="13"/>
    <e v="#N/A"/>
    <n v="13"/>
    <x v="2"/>
    <x v="0"/>
    <x v="0"/>
  </r>
  <r>
    <n v="802"/>
    <n v="1"/>
    <x v="1"/>
    <n v="2"/>
    <x v="2"/>
    <s v="Collyer, Mrs. Harvey (Charlotte Annie Tate)"/>
    <s v="Mrs."/>
    <x v="1"/>
    <n v="31"/>
    <x v="1"/>
    <n v="1"/>
    <n v="1"/>
    <x v="3"/>
    <s v="C.A. 31921"/>
    <n v="26.25"/>
    <n v="26.25"/>
    <e v="#N/A"/>
    <x v="3"/>
    <x v="0"/>
    <x v="0"/>
  </r>
  <r>
    <n v="803"/>
    <n v="1"/>
    <x v="1"/>
    <n v="1"/>
    <x v="1"/>
    <s v="Carter, Master. William Thornton II"/>
    <s v="Master."/>
    <x v="0"/>
    <n v="11"/>
    <x v="3"/>
    <n v="1"/>
    <n v="2"/>
    <x v="6"/>
    <s v="113760"/>
    <n v="120"/>
    <n v="120"/>
    <e v="#N/A"/>
    <x v="1"/>
    <x v="73"/>
    <x v="0"/>
  </r>
  <r>
    <n v="804"/>
    <n v="1"/>
    <x v="1"/>
    <n v="3"/>
    <x v="0"/>
    <s v="Thomas, Master. Assad Alexander"/>
    <s v="Master."/>
    <x v="0"/>
    <n v="0.42"/>
    <x v="3"/>
    <n v="0"/>
    <n v="1"/>
    <x v="0"/>
    <s v="2625"/>
    <n v="8.5167000000000002"/>
    <n v="8.5167000000000002"/>
    <e v="#N/A"/>
    <x v="2"/>
    <x v="0"/>
    <x v="1"/>
  </r>
  <r>
    <n v="805"/>
    <n v="1"/>
    <x v="1"/>
    <n v="3"/>
    <x v="0"/>
    <s v="Hedman, Mr. Oskar Arvid"/>
    <s v="Mr."/>
    <x v="0"/>
    <n v="27"/>
    <x v="0"/>
    <n v="0"/>
    <n v="0"/>
    <x v="1"/>
    <s v="347089"/>
    <n v="6.9749999999999996"/>
    <n v="6.9749999999999996"/>
    <e v="#N/A"/>
    <x v="0"/>
    <x v="0"/>
    <x v="0"/>
  </r>
  <r>
    <n v="806"/>
    <n v="0"/>
    <x v="0"/>
    <n v="3"/>
    <x v="0"/>
    <s v="Johansson, Mr. Karl Johan"/>
    <s v="Mr."/>
    <x v="0"/>
    <n v="31"/>
    <x v="1"/>
    <n v="0"/>
    <n v="0"/>
    <x v="1"/>
    <s v="347063"/>
    <n v="7.7750000000000004"/>
    <e v="#N/A"/>
    <n v="7.7750000000000004"/>
    <x v="0"/>
    <x v="0"/>
    <x v="0"/>
  </r>
  <r>
    <n v="807"/>
    <n v="0"/>
    <x v="0"/>
    <n v="1"/>
    <x v="1"/>
    <s v="Andrews, Mr. Thomas Jr"/>
    <s v="Mr."/>
    <x v="0"/>
    <n v="39"/>
    <x v="1"/>
    <n v="0"/>
    <n v="0"/>
    <x v="1"/>
    <s v="112050"/>
    <n v="0"/>
    <e v="#N/A"/>
    <n v="0"/>
    <x v="0"/>
    <x v="137"/>
    <x v="0"/>
  </r>
  <r>
    <n v="808"/>
    <n v="0"/>
    <x v="0"/>
    <n v="3"/>
    <x v="0"/>
    <s v="Pettersson, Miss. Ellen Natalia"/>
    <s v="Miss."/>
    <x v="1"/>
    <n v="18"/>
    <x v="4"/>
    <n v="0"/>
    <n v="0"/>
    <x v="1"/>
    <s v="347087"/>
    <n v="7.7750000000000004"/>
    <e v="#N/A"/>
    <n v="7.7750000000000004"/>
    <x v="0"/>
    <x v="0"/>
    <x v="0"/>
  </r>
  <r>
    <n v="809"/>
    <n v="0"/>
    <x v="0"/>
    <n v="2"/>
    <x v="2"/>
    <s v="Meyer, Mr. August"/>
    <s v="Mr."/>
    <x v="0"/>
    <n v="39"/>
    <x v="1"/>
    <n v="0"/>
    <n v="0"/>
    <x v="1"/>
    <s v="248723"/>
    <n v="13"/>
    <e v="#N/A"/>
    <n v="13"/>
    <x v="2"/>
    <x v="0"/>
    <x v="0"/>
  </r>
  <r>
    <n v="810"/>
    <n v="1"/>
    <x v="1"/>
    <n v="1"/>
    <x v="1"/>
    <s v="Chambers, Mrs. Norman Campbell (Bertha Griggs)"/>
    <s v="Mrs."/>
    <x v="1"/>
    <n v="33"/>
    <x v="1"/>
    <n v="1"/>
    <n v="0"/>
    <x v="0"/>
    <s v="113806"/>
    <n v="53.1"/>
    <n v="53.1"/>
    <e v="#N/A"/>
    <x v="1"/>
    <x v="124"/>
    <x v="0"/>
  </r>
  <r>
    <n v="811"/>
    <n v="0"/>
    <x v="0"/>
    <n v="3"/>
    <x v="0"/>
    <s v="Alexander, Mr. William"/>
    <s v="Mr."/>
    <x v="0"/>
    <n v="26"/>
    <x v="0"/>
    <n v="0"/>
    <n v="0"/>
    <x v="1"/>
    <s v="3474"/>
    <n v="7.8875000000000002"/>
    <e v="#N/A"/>
    <n v="7.8875000000000002"/>
    <x v="0"/>
    <x v="0"/>
    <x v="0"/>
  </r>
  <r>
    <n v="812"/>
    <n v="0"/>
    <x v="0"/>
    <n v="3"/>
    <x v="0"/>
    <s v="Lester, Mr. James"/>
    <s v="Mr."/>
    <x v="0"/>
    <n v="39"/>
    <x v="1"/>
    <n v="0"/>
    <n v="0"/>
    <x v="1"/>
    <s v="A/4 48871"/>
    <n v="24.15"/>
    <e v="#N/A"/>
    <n v="24.15"/>
    <x v="3"/>
    <x v="0"/>
    <x v="0"/>
  </r>
  <r>
    <n v="813"/>
    <n v="0"/>
    <x v="0"/>
    <n v="2"/>
    <x v="2"/>
    <s v="Slemen, Mr. Richard James"/>
    <s v="Mr."/>
    <x v="0"/>
    <n v="35"/>
    <x v="1"/>
    <n v="0"/>
    <n v="0"/>
    <x v="1"/>
    <s v="28206"/>
    <n v="10.5"/>
    <e v="#N/A"/>
    <n v="10.5"/>
    <x v="2"/>
    <x v="0"/>
    <x v="0"/>
  </r>
  <r>
    <n v="814"/>
    <n v="0"/>
    <x v="0"/>
    <n v="3"/>
    <x v="0"/>
    <s v="Andersson, Miss. Ebba Iris Alfrida"/>
    <s v="Miss."/>
    <x v="1"/>
    <n v="6"/>
    <x v="3"/>
    <n v="4"/>
    <n v="2"/>
    <x v="4"/>
    <s v="347082"/>
    <n v="31.274999999999999"/>
    <e v="#N/A"/>
    <n v="31.274999999999999"/>
    <x v="1"/>
    <x v="0"/>
    <x v="0"/>
  </r>
  <r>
    <n v="815"/>
    <n v="0"/>
    <x v="0"/>
    <n v="3"/>
    <x v="0"/>
    <s v="Tomlin, Mr. Ernest Portage"/>
    <s v="Mr."/>
    <x v="0"/>
    <n v="30.5"/>
    <x v="1"/>
    <n v="0"/>
    <n v="0"/>
    <x v="1"/>
    <s v="364499"/>
    <n v="8.0500000000000007"/>
    <e v="#N/A"/>
    <n v="8.0500000000000007"/>
    <x v="2"/>
    <x v="0"/>
    <x v="0"/>
  </r>
  <r>
    <n v="816"/>
    <n v="0"/>
    <x v="0"/>
    <n v="1"/>
    <x v="1"/>
    <s v="Fry, Mr. Richard"/>
    <s v="Mr."/>
    <x v="0"/>
    <n v="28"/>
    <x v="0"/>
    <n v="0"/>
    <n v="0"/>
    <x v="1"/>
    <s v="112058"/>
    <n v="0"/>
    <e v="#N/A"/>
    <n v="0"/>
    <x v="0"/>
    <x v="138"/>
    <x v="0"/>
  </r>
  <r>
    <n v="817"/>
    <n v="0"/>
    <x v="0"/>
    <n v="3"/>
    <x v="0"/>
    <s v="Heininen, Miss. Wendla Maria"/>
    <s v="Miss."/>
    <x v="1"/>
    <n v="23"/>
    <x v="0"/>
    <n v="0"/>
    <n v="0"/>
    <x v="1"/>
    <s v="STON/O2. 3101290"/>
    <n v="7.9249999999999998"/>
    <e v="#N/A"/>
    <n v="7.9249999999999998"/>
    <x v="0"/>
    <x v="0"/>
    <x v="0"/>
  </r>
  <r>
    <n v="818"/>
    <n v="0"/>
    <x v="0"/>
    <n v="2"/>
    <x v="2"/>
    <s v="Mallet, Mr. Albert"/>
    <s v="Mr."/>
    <x v="0"/>
    <n v="31"/>
    <x v="1"/>
    <n v="1"/>
    <n v="1"/>
    <x v="3"/>
    <s v="S.C./PARIS 2079"/>
    <n v="37.004199999999997"/>
    <e v="#N/A"/>
    <n v="37.004199999999997"/>
    <x v="1"/>
    <x v="0"/>
    <x v="1"/>
  </r>
  <r>
    <n v="819"/>
    <n v="0"/>
    <x v="0"/>
    <n v="3"/>
    <x v="0"/>
    <s v="Holm, Mr. John Fredrik Alexander"/>
    <s v="Mr."/>
    <x v="0"/>
    <n v="43"/>
    <x v="5"/>
    <n v="0"/>
    <n v="0"/>
    <x v="1"/>
    <s v="C 7075"/>
    <n v="6.45"/>
    <e v="#N/A"/>
    <n v="6.45"/>
    <x v="0"/>
    <x v="0"/>
    <x v="0"/>
  </r>
  <r>
    <n v="820"/>
    <n v="0"/>
    <x v="0"/>
    <n v="3"/>
    <x v="0"/>
    <s v="Skoog, Master. Karl Thorsten"/>
    <s v="Master."/>
    <x v="0"/>
    <n v="10"/>
    <x v="3"/>
    <n v="3"/>
    <n v="2"/>
    <x v="5"/>
    <s v="347088"/>
    <n v="27.9"/>
    <e v="#N/A"/>
    <n v="27.9"/>
    <x v="3"/>
    <x v="0"/>
    <x v="0"/>
  </r>
  <r>
    <n v="821"/>
    <n v="1"/>
    <x v="1"/>
    <n v="1"/>
    <x v="1"/>
    <s v="Hays, Mrs. Charles Melville (Clara Jennings Gregg)"/>
    <s v="Mrs."/>
    <x v="1"/>
    <n v="52"/>
    <x v="2"/>
    <n v="1"/>
    <n v="1"/>
    <x v="3"/>
    <s v="12749"/>
    <n v="93.5"/>
    <n v="93.5"/>
    <e v="#N/A"/>
    <x v="1"/>
    <x v="139"/>
    <x v="0"/>
  </r>
  <r>
    <n v="822"/>
    <n v="1"/>
    <x v="1"/>
    <n v="3"/>
    <x v="0"/>
    <s v="Lulic, Mr. Nikola"/>
    <s v="Mr."/>
    <x v="0"/>
    <n v="27"/>
    <x v="0"/>
    <n v="0"/>
    <n v="0"/>
    <x v="1"/>
    <s v="315098"/>
    <n v="8.6624999999999996"/>
    <n v="8.6624999999999996"/>
    <e v="#N/A"/>
    <x v="2"/>
    <x v="0"/>
    <x v="0"/>
  </r>
  <r>
    <n v="823"/>
    <n v="0"/>
    <x v="0"/>
    <n v="1"/>
    <x v="1"/>
    <s v="Reuchlin, Jonkheer. John George"/>
    <s v="Jonkheer."/>
    <x v="0"/>
    <n v="38"/>
    <x v="1"/>
    <n v="0"/>
    <n v="0"/>
    <x v="1"/>
    <s v="19972"/>
    <n v="0"/>
    <e v="#N/A"/>
    <n v="0"/>
    <x v="0"/>
    <x v="0"/>
    <x v="0"/>
  </r>
  <r>
    <n v="824"/>
    <n v="1"/>
    <x v="1"/>
    <n v="3"/>
    <x v="0"/>
    <s v="Moor, Mrs. (Beila)"/>
    <s v="Mrs."/>
    <x v="1"/>
    <n v="27"/>
    <x v="0"/>
    <n v="0"/>
    <n v="1"/>
    <x v="0"/>
    <s v="392096"/>
    <n v="12.475"/>
    <n v="12.475"/>
    <e v="#N/A"/>
    <x v="2"/>
    <x v="129"/>
    <x v="0"/>
  </r>
  <r>
    <n v="825"/>
    <n v="0"/>
    <x v="0"/>
    <n v="3"/>
    <x v="0"/>
    <s v="Panula, Master. Urho Abraham"/>
    <s v="Master."/>
    <x v="0"/>
    <n v="2"/>
    <x v="3"/>
    <n v="4"/>
    <n v="1"/>
    <x v="5"/>
    <s v="3101295"/>
    <n v="39.6875"/>
    <e v="#N/A"/>
    <n v="39.6875"/>
    <x v="1"/>
    <x v="0"/>
    <x v="0"/>
  </r>
  <r>
    <n v="826"/>
    <n v="0"/>
    <x v="0"/>
    <n v="3"/>
    <x v="0"/>
    <s v="Flynn, Mr. John"/>
    <s v="Mr."/>
    <x v="0"/>
    <n v="28"/>
    <x v="0"/>
    <n v="0"/>
    <n v="0"/>
    <x v="1"/>
    <s v="368323"/>
    <n v="6.95"/>
    <e v="#N/A"/>
    <n v="6.95"/>
    <x v="0"/>
    <x v="0"/>
    <x v="2"/>
  </r>
  <r>
    <n v="827"/>
    <n v="0"/>
    <x v="0"/>
    <n v="3"/>
    <x v="0"/>
    <s v="Lam, Mr. Len"/>
    <s v="Mr."/>
    <x v="0"/>
    <n v="28"/>
    <x v="0"/>
    <n v="0"/>
    <n v="0"/>
    <x v="1"/>
    <s v="1601"/>
    <n v="56.495800000000003"/>
    <e v="#N/A"/>
    <n v="56.495800000000003"/>
    <x v="1"/>
    <x v="0"/>
    <x v="0"/>
  </r>
  <r>
    <n v="828"/>
    <n v="1"/>
    <x v="1"/>
    <n v="2"/>
    <x v="2"/>
    <s v="Mallet, Master. Andre"/>
    <s v="Master."/>
    <x v="0"/>
    <n v="1"/>
    <x v="3"/>
    <n v="0"/>
    <n v="2"/>
    <x v="3"/>
    <s v="S.C./PARIS 2079"/>
    <n v="37.004199999999997"/>
    <n v="37.004199999999997"/>
    <e v="#N/A"/>
    <x v="1"/>
    <x v="0"/>
    <x v="1"/>
  </r>
  <r>
    <n v="829"/>
    <n v="1"/>
    <x v="1"/>
    <n v="3"/>
    <x v="0"/>
    <s v="McCormack, Mr. Thomas Joseph"/>
    <s v="Mr."/>
    <x v="0"/>
    <n v="28"/>
    <x v="0"/>
    <n v="0"/>
    <n v="0"/>
    <x v="1"/>
    <s v="367228"/>
    <n v="7.75"/>
    <n v="7.75"/>
    <e v="#N/A"/>
    <x v="0"/>
    <x v="0"/>
    <x v="2"/>
  </r>
  <r>
    <n v="830"/>
    <n v="1"/>
    <x v="1"/>
    <n v="1"/>
    <x v="1"/>
    <s v="Stone, Mrs. George Nelson (Martha Evelyn)"/>
    <s v="Mrs."/>
    <x v="1"/>
    <n v="62"/>
    <x v="6"/>
    <n v="0"/>
    <n v="0"/>
    <x v="1"/>
    <s v="113572"/>
    <n v="80"/>
    <n v="80"/>
    <e v="#N/A"/>
    <x v="1"/>
    <x v="13"/>
    <x v="3"/>
  </r>
  <r>
    <n v="831"/>
    <n v="1"/>
    <x v="1"/>
    <n v="3"/>
    <x v="0"/>
    <s v="Yasbeck, Mrs. Antoni (Selini Alexander)"/>
    <s v="Mrs."/>
    <x v="1"/>
    <n v="15"/>
    <x v="4"/>
    <n v="1"/>
    <n v="0"/>
    <x v="0"/>
    <s v="2659"/>
    <n v="14.4542"/>
    <n v="14.4542"/>
    <e v="#N/A"/>
    <x v="2"/>
    <x v="0"/>
    <x v="1"/>
  </r>
  <r>
    <n v="832"/>
    <n v="1"/>
    <x v="1"/>
    <n v="2"/>
    <x v="2"/>
    <s v="Richards, Master. George Sibley"/>
    <s v="Master."/>
    <x v="0"/>
    <n v="0.83"/>
    <x v="3"/>
    <n v="1"/>
    <n v="1"/>
    <x v="3"/>
    <s v="29106"/>
    <n v="18.75"/>
    <n v="18.75"/>
    <e v="#N/A"/>
    <x v="3"/>
    <x v="0"/>
    <x v="0"/>
  </r>
  <r>
    <n v="833"/>
    <n v="0"/>
    <x v="0"/>
    <n v="3"/>
    <x v="0"/>
    <s v="Saad, Mr. Amin"/>
    <s v="Mr."/>
    <x v="0"/>
    <n v="28"/>
    <x v="0"/>
    <n v="0"/>
    <n v="0"/>
    <x v="1"/>
    <s v="2671"/>
    <n v="7.2291999999999996"/>
    <e v="#N/A"/>
    <n v="7.2291999999999996"/>
    <x v="0"/>
    <x v="0"/>
    <x v="1"/>
  </r>
  <r>
    <n v="834"/>
    <n v="0"/>
    <x v="0"/>
    <n v="3"/>
    <x v="0"/>
    <s v="Augustsson, Mr. Albert"/>
    <s v="Mr."/>
    <x v="0"/>
    <n v="23"/>
    <x v="0"/>
    <n v="0"/>
    <n v="0"/>
    <x v="1"/>
    <s v="347468"/>
    <n v="7.8541999999999996"/>
    <e v="#N/A"/>
    <n v="7.8541999999999996"/>
    <x v="0"/>
    <x v="0"/>
    <x v="0"/>
  </r>
  <r>
    <n v="835"/>
    <n v="0"/>
    <x v="0"/>
    <n v="3"/>
    <x v="0"/>
    <s v="Allum, Mr. Owen George"/>
    <s v="Mr."/>
    <x v="0"/>
    <n v="18"/>
    <x v="4"/>
    <n v="0"/>
    <n v="0"/>
    <x v="1"/>
    <s v="2223"/>
    <n v="8.3000000000000007"/>
    <e v="#N/A"/>
    <n v="8.3000000000000007"/>
    <x v="2"/>
    <x v="0"/>
    <x v="0"/>
  </r>
  <r>
    <n v="836"/>
    <n v="1"/>
    <x v="1"/>
    <n v="1"/>
    <x v="1"/>
    <s v="Compton, Miss. Sara Rebecca"/>
    <s v="Miss."/>
    <x v="1"/>
    <n v="39"/>
    <x v="1"/>
    <n v="1"/>
    <n v="1"/>
    <x v="3"/>
    <s v="PC 17756"/>
    <n v="83.158299999999997"/>
    <n v="83.158299999999997"/>
    <e v="#N/A"/>
    <x v="1"/>
    <x v="140"/>
    <x v="1"/>
  </r>
  <r>
    <n v="837"/>
    <n v="0"/>
    <x v="0"/>
    <n v="3"/>
    <x v="0"/>
    <s v="Pasic, Mr. Jakob"/>
    <s v="Mr."/>
    <x v="0"/>
    <n v="21"/>
    <x v="0"/>
    <n v="0"/>
    <n v="0"/>
    <x v="1"/>
    <s v="315097"/>
    <n v="8.6624999999999996"/>
    <e v="#N/A"/>
    <n v="8.6624999999999996"/>
    <x v="2"/>
    <x v="0"/>
    <x v="0"/>
  </r>
  <r>
    <n v="838"/>
    <n v="0"/>
    <x v="0"/>
    <n v="3"/>
    <x v="0"/>
    <s v="Sirota, Mr. Maurice"/>
    <s v="Mr."/>
    <x v="0"/>
    <n v="28"/>
    <x v="0"/>
    <n v="0"/>
    <n v="0"/>
    <x v="1"/>
    <s v="392092"/>
    <n v="8.0500000000000007"/>
    <e v="#N/A"/>
    <n v="8.0500000000000007"/>
    <x v="2"/>
    <x v="0"/>
    <x v="0"/>
  </r>
  <r>
    <n v="839"/>
    <n v="1"/>
    <x v="1"/>
    <n v="3"/>
    <x v="0"/>
    <s v="Chip, Mr. Chang"/>
    <s v="Mr."/>
    <x v="0"/>
    <n v="32"/>
    <x v="1"/>
    <n v="0"/>
    <n v="0"/>
    <x v="1"/>
    <s v="1601"/>
    <n v="56.495800000000003"/>
    <n v="56.495800000000003"/>
    <e v="#N/A"/>
    <x v="1"/>
    <x v="0"/>
    <x v="0"/>
  </r>
  <r>
    <n v="840"/>
    <n v="1"/>
    <x v="1"/>
    <n v="1"/>
    <x v="1"/>
    <s v="Marechal, Mr. Pierre"/>
    <s v="Mr."/>
    <x v="0"/>
    <n v="28"/>
    <x v="0"/>
    <n v="0"/>
    <n v="0"/>
    <x v="1"/>
    <s v="11774"/>
    <n v="29.7"/>
    <n v="29.7"/>
    <e v="#N/A"/>
    <x v="3"/>
    <x v="141"/>
    <x v="1"/>
  </r>
  <r>
    <n v="841"/>
    <n v="0"/>
    <x v="0"/>
    <n v="3"/>
    <x v="0"/>
    <s v="Alhomaki, Mr. Ilmari Rudolf"/>
    <s v="Mr."/>
    <x v="0"/>
    <n v="20"/>
    <x v="0"/>
    <n v="0"/>
    <n v="0"/>
    <x v="1"/>
    <s v="SOTON/O2 3101287"/>
    <n v="7.9249999999999998"/>
    <e v="#N/A"/>
    <n v="7.9249999999999998"/>
    <x v="0"/>
    <x v="0"/>
    <x v="0"/>
  </r>
  <r>
    <n v="842"/>
    <n v="0"/>
    <x v="0"/>
    <n v="2"/>
    <x v="2"/>
    <s v="Mudd, Mr. Thomas Charles"/>
    <s v="Mr."/>
    <x v="0"/>
    <n v="16"/>
    <x v="4"/>
    <n v="0"/>
    <n v="0"/>
    <x v="1"/>
    <s v="S.O./P.P. 3"/>
    <n v="10.5"/>
    <e v="#N/A"/>
    <n v="10.5"/>
    <x v="2"/>
    <x v="0"/>
    <x v="0"/>
  </r>
  <r>
    <n v="843"/>
    <n v="1"/>
    <x v="1"/>
    <n v="1"/>
    <x v="1"/>
    <s v="Serepeca, Miss. Augusta"/>
    <s v="Miss."/>
    <x v="1"/>
    <n v="30"/>
    <x v="1"/>
    <n v="0"/>
    <n v="0"/>
    <x v="1"/>
    <s v="113798"/>
    <n v="31"/>
    <n v="31"/>
    <e v="#N/A"/>
    <x v="1"/>
    <x v="0"/>
    <x v="1"/>
  </r>
  <r>
    <n v="844"/>
    <n v="0"/>
    <x v="0"/>
    <n v="3"/>
    <x v="0"/>
    <s v="Lemberopolous, Mr. Peter L"/>
    <s v="Mr."/>
    <x v="0"/>
    <n v="34.5"/>
    <x v="1"/>
    <n v="0"/>
    <n v="0"/>
    <x v="1"/>
    <s v="2683"/>
    <n v="6.4375"/>
    <e v="#N/A"/>
    <n v="6.4375"/>
    <x v="0"/>
    <x v="0"/>
    <x v="1"/>
  </r>
  <r>
    <n v="845"/>
    <n v="0"/>
    <x v="0"/>
    <n v="3"/>
    <x v="0"/>
    <s v="Culumovic, Mr. Jeso"/>
    <s v="Mr."/>
    <x v="0"/>
    <n v="17"/>
    <x v="4"/>
    <n v="0"/>
    <n v="0"/>
    <x v="1"/>
    <s v="315090"/>
    <n v="8.6624999999999996"/>
    <e v="#N/A"/>
    <n v="8.6624999999999996"/>
    <x v="2"/>
    <x v="0"/>
    <x v="0"/>
  </r>
  <r>
    <n v="846"/>
    <n v="0"/>
    <x v="0"/>
    <n v="3"/>
    <x v="0"/>
    <s v="Abbing, Mr. Anthony"/>
    <s v="Mr."/>
    <x v="0"/>
    <n v="42"/>
    <x v="5"/>
    <n v="0"/>
    <n v="0"/>
    <x v="1"/>
    <s v="C.A. 5547"/>
    <n v="7.55"/>
    <e v="#N/A"/>
    <n v="7.55"/>
    <x v="0"/>
    <x v="0"/>
    <x v="0"/>
  </r>
  <r>
    <n v="847"/>
    <n v="0"/>
    <x v="0"/>
    <n v="3"/>
    <x v="0"/>
    <s v="Sage, Mr. Douglas Bullen"/>
    <s v="Mr."/>
    <x v="0"/>
    <n v="28"/>
    <x v="0"/>
    <n v="8"/>
    <n v="2"/>
    <x v="8"/>
    <s v="CA. 2343"/>
    <n v="69.55"/>
    <e v="#N/A"/>
    <n v="69.55"/>
    <x v="1"/>
    <x v="0"/>
    <x v="0"/>
  </r>
  <r>
    <n v="848"/>
    <n v="0"/>
    <x v="0"/>
    <n v="3"/>
    <x v="0"/>
    <s v="Markoff, Mr. Marin"/>
    <s v="Mr."/>
    <x v="0"/>
    <n v="35"/>
    <x v="1"/>
    <n v="0"/>
    <n v="0"/>
    <x v="1"/>
    <s v="349213"/>
    <n v="7.8958000000000004"/>
    <e v="#N/A"/>
    <n v="7.8958000000000004"/>
    <x v="0"/>
    <x v="0"/>
    <x v="1"/>
  </r>
  <r>
    <n v="849"/>
    <n v="0"/>
    <x v="0"/>
    <n v="2"/>
    <x v="2"/>
    <s v="Harper, Rev. John"/>
    <s v="Rev."/>
    <x v="0"/>
    <n v="28"/>
    <x v="0"/>
    <n v="0"/>
    <n v="1"/>
    <x v="0"/>
    <s v="248727"/>
    <n v="33"/>
    <e v="#N/A"/>
    <n v="33"/>
    <x v="1"/>
    <x v="0"/>
    <x v="0"/>
  </r>
  <r>
    <n v="850"/>
    <n v="1"/>
    <x v="1"/>
    <n v="1"/>
    <x v="1"/>
    <s v="Goldenberg, Mrs. Samuel L (Edwiga Grabowska)"/>
    <s v="Mrs."/>
    <x v="1"/>
    <n v="28"/>
    <x v="0"/>
    <n v="1"/>
    <n v="0"/>
    <x v="0"/>
    <s v="17453"/>
    <n v="89.104200000000006"/>
    <n v="89.104200000000006"/>
    <e v="#N/A"/>
    <x v="1"/>
    <x v="79"/>
    <x v="1"/>
  </r>
  <r>
    <n v="851"/>
    <n v="0"/>
    <x v="0"/>
    <n v="3"/>
    <x v="0"/>
    <s v="Andersson, Master. Sigvard Harald Elias"/>
    <s v="Master."/>
    <x v="0"/>
    <n v="4"/>
    <x v="3"/>
    <n v="4"/>
    <n v="2"/>
    <x v="4"/>
    <s v="347082"/>
    <n v="31.274999999999999"/>
    <e v="#N/A"/>
    <n v="31.274999999999999"/>
    <x v="1"/>
    <x v="0"/>
    <x v="0"/>
  </r>
  <r>
    <n v="852"/>
    <n v="0"/>
    <x v="0"/>
    <n v="3"/>
    <x v="0"/>
    <s v="Svensson, Mr. Johan"/>
    <s v="Mr."/>
    <x v="0"/>
    <n v="74"/>
    <x v="7"/>
    <n v="0"/>
    <n v="0"/>
    <x v="1"/>
    <s v="347060"/>
    <n v="7.7750000000000004"/>
    <e v="#N/A"/>
    <n v="7.7750000000000004"/>
    <x v="0"/>
    <x v="0"/>
    <x v="0"/>
  </r>
  <r>
    <n v="853"/>
    <n v="0"/>
    <x v="0"/>
    <n v="3"/>
    <x v="0"/>
    <s v="Boulos, Miss. Nourelain"/>
    <s v="Miss."/>
    <x v="1"/>
    <n v="9"/>
    <x v="3"/>
    <n v="1"/>
    <n v="1"/>
    <x v="3"/>
    <s v="2678"/>
    <n v="15.245799999999999"/>
    <e v="#N/A"/>
    <n v="15.245799999999999"/>
    <x v="3"/>
    <x v="0"/>
    <x v="1"/>
  </r>
  <r>
    <n v="854"/>
    <n v="1"/>
    <x v="1"/>
    <n v="1"/>
    <x v="1"/>
    <s v="Lines, Miss. Mary Conover"/>
    <s v="Miss."/>
    <x v="1"/>
    <n v="16"/>
    <x v="4"/>
    <n v="0"/>
    <n v="1"/>
    <x v="0"/>
    <s v="PC 17592"/>
    <n v="39.4"/>
    <n v="39.4"/>
    <e v="#N/A"/>
    <x v="1"/>
    <x v="142"/>
    <x v="0"/>
  </r>
  <r>
    <n v="855"/>
    <n v="0"/>
    <x v="0"/>
    <n v="2"/>
    <x v="2"/>
    <s v="Carter, Mrs. Ernest Courtenay (Lilian Hughes)"/>
    <s v="Mrs."/>
    <x v="1"/>
    <n v="44"/>
    <x v="5"/>
    <n v="1"/>
    <n v="0"/>
    <x v="0"/>
    <s v="244252"/>
    <n v="26"/>
    <e v="#N/A"/>
    <n v="26"/>
    <x v="3"/>
    <x v="0"/>
    <x v="0"/>
  </r>
  <r>
    <n v="856"/>
    <n v="1"/>
    <x v="1"/>
    <n v="3"/>
    <x v="0"/>
    <s v="Aks, Mrs. Sam (Leah Rosen)"/>
    <s v="Mrs."/>
    <x v="1"/>
    <n v="18"/>
    <x v="4"/>
    <n v="0"/>
    <n v="1"/>
    <x v="0"/>
    <s v="392091"/>
    <n v="9.35"/>
    <n v="9.35"/>
    <e v="#N/A"/>
    <x v="2"/>
    <x v="0"/>
    <x v="0"/>
  </r>
  <r>
    <n v="857"/>
    <n v="1"/>
    <x v="1"/>
    <n v="1"/>
    <x v="1"/>
    <s v="Wick, Mrs. George Dennick (Mary Hitchcock)"/>
    <s v="Mrs."/>
    <x v="1"/>
    <n v="45"/>
    <x v="5"/>
    <n v="1"/>
    <n v="1"/>
    <x v="3"/>
    <s v="36928"/>
    <n v="164.86670000000001"/>
    <n v="164.86670000000001"/>
    <e v="#N/A"/>
    <x v="1"/>
    <x v="0"/>
    <x v="0"/>
  </r>
  <r>
    <n v="858"/>
    <n v="1"/>
    <x v="1"/>
    <n v="1"/>
    <x v="1"/>
    <s v="Daly, Mr. Peter Denis "/>
    <s v="Mr."/>
    <x v="0"/>
    <n v="51"/>
    <x v="2"/>
    <n v="0"/>
    <n v="0"/>
    <x v="1"/>
    <s v="113055"/>
    <n v="26.55"/>
    <n v="26.55"/>
    <e v="#N/A"/>
    <x v="3"/>
    <x v="143"/>
    <x v="0"/>
  </r>
  <r>
    <n v="859"/>
    <n v="1"/>
    <x v="1"/>
    <n v="3"/>
    <x v="0"/>
    <s v="Baclini, Mrs. Solomon (Latifa Qurban)"/>
    <s v="Mrs."/>
    <x v="1"/>
    <n v="24"/>
    <x v="0"/>
    <n v="0"/>
    <n v="3"/>
    <x v="6"/>
    <s v="2666"/>
    <n v="19.258299999999998"/>
    <n v="19.258299999999998"/>
    <e v="#N/A"/>
    <x v="3"/>
    <x v="0"/>
    <x v="1"/>
  </r>
  <r>
    <n v="860"/>
    <n v="0"/>
    <x v="0"/>
    <n v="3"/>
    <x v="0"/>
    <s v="Razi, Mr. Raihed"/>
    <s v="Mr."/>
    <x v="0"/>
    <n v="28"/>
    <x v="0"/>
    <n v="0"/>
    <n v="0"/>
    <x v="1"/>
    <s v="2629"/>
    <n v="7.2291999999999996"/>
    <e v="#N/A"/>
    <n v="7.2291999999999996"/>
    <x v="0"/>
    <x v="0"/>
    <x v="1"/>
  </r>
  <r>
    <n v="861"/>
    <n v="0"/>
    <x v="0"/>
    <n v="3"/>
    <x v="0"/>
    <s v="Hansen, Mr. Claus Peter"/>
    <s v="Mr."/>
    <x v="0"/>
    <n v="41"/>
    <x v="5"/>
    <n v="2"/>
    <n v="0"/>
    <x v="3"/>
    <s v="350026"/>
    <n v="14.1083"/>
    <e v="#N/A"/>
    <n v="14.1083"/>
    <x v="2"/>
    <x v="0"/>
    <x v="0"/>
  </r>
  <r>
    <n v="862"/>
    <n v="0"/>
    <x v="0"/>
    <n v="2"/>
    <x v="2"/>
    <s v="Giles, Mr. Frederick Edward"/>
    <s v="Mr."/>
    <x v="0"/>
    <n v="21"/>
    <x v="0"/>
    <n v="1"/>
    <n v="0"/>
    <x v="0"/>
    <s v="28134"/>
    <n v="11.5"/>
    <e v="#N/A"/>
    <n v="11.5"/>
    <x v="2"/>
    <x v="0"/>
    <x v="0"/>
  </r>
  <r>
    <n v="863"/>
    <n v="1"/>
    <x v="1"/>
    <n v="1"/>
    <x v="1"/>
    <s v="Swift, Mrs. Frederick Joel (Margaret Welles Barron)"/>
    <s v="Mrs."/>
    <x v="1"/>
    <n v="48"/>
    <x v="5"/>
    <n v="0"/>
    <n v="0"/>
    <x v="1"/>
    <s v="17466"/>
    <n v="25.929200000000002"/>
    <n v="25.929200000000002"/>
    <e v="#N/A"/>
    <x v="3"/>
    <x v="136"/>
    <x v="0"/>
  </r>
  <r>
    <n v="864"/>
    <n v="0"/>
    <x v="0"/>
    <n v="3"/>
    <x v="0"/>
    <s v="Sage, Miss. Dorothy Edith &quot;Dolly&quot;"/>
    <s v="Miss."/>
    <x v="1"/>
    <n v="28"/>
    <x v="0"/>
    <n v="8"/>
    <n v="2"/>
    <x v="8"/>
    <s v="CA. 2343"/>
    <n v="69.55"/>
    <e v="#N/A"/>
    <n v="69.55"/>
    <x v="1"/>
    <x v="0"/>
    <x v="0"/>
  </r>
  <r>
    <n v="865"/>
    <n v="0"/>
    <x v="0"/>
    <n v="2"/>
    <x v="2"/>
    <s v="Gill, Mr. John William"/>
    <s v="Mr."/>
    <x v="0"/>
    <n v="24"/>
    <x v="0"/>
    <n v="0"/>
    <n v="0"/>
    <x v="1"/>
    <s v="233866"/>
    <n v="13"/>
    <e v="#N/A"/>
    <n v="13"/>
    <x v="2"/>
    <x v="0"/>
    <x v="0"/>
  </r>
  <r>
    <n v="866"/>
    <n v="1"/>
    <x v="1"/>
    <n v="2"/>
    <x v="2"/>
    <s v="Bystrom, Mrs. (Karolina)"/>
    <s v="Mrs."/>
    <x v="1"/>
    <n v="42"/>
    <x v="5"/>
    <n v="0"/>
    <n v="0"/>
    <x v="1"/>
    <s v="236852"/>
    <n v="13"/>
    <n v="13"/>
    <e v="#N/A"/>
    <x v="2"/>
    <x v="0"/>
    <x v="0"/>
  </r>
  <r>
    <n v="867"/>
    <n v="1"/>
    <x v="1"/>
    <n v="2"/>
    <x v="2"/>
    <s v="Duran y More, Miss. Asuncion"/>
    <s v="Miss."/>
    <x v="1"/>
    <n v="27"/>
    <x v="0"/>
    <n v="1"/>
    <n v="0"/>
    <x v="0"/>
    <s v="SC/PARIS 2149"/>
    <n v="13.8583"/>
    <n v="13.8583"/>
    <e v="#N/A"/>
    <x v="2"/>
    <x v="0"/>
    <x v="1"/>
  </r>
  <r>
    <n v="868"/>
    <n v="0"/>
    <x v="0"/>
    <n v="1"/>
    <x v="1"/>
    <s v="Roebling, Mr. Washington Augustus II"/>
    <s v="Mr."/>
    <x v="0"/>
    <n v="31"/>
    <x v="1"/>
    <n v="0"/>
    <n v="0"/>
    <x v="1"/>
    <s v="PC 17590"/>
    <n v="50.495800000000003"/>
    <e v="#N/A"/>
    <n v="50.495800000000003"/>
    <x v="1"/>
    <x v="144"/>
    <x v="0"/>
  </r>
  <r>
    <n v="869"/>
    <n v="0"/>
    <x v="0"/>
    <n v="3"/>
    <x v="0"/>
    <s v="van Melkebeke, Mr. Philemon"/>
    <s v="Mr."/>
    <x v="0"/>
    <n v="28"/>
    <x v="0"/>
    <n v="0"/>
    <n v="0"/>
    <x v="1"/>
    <s v="345777"/>
    <n v="9.5"/>
    <e v="#N/A"/>
    <n v="9.5"/>
    <x v="2"/>
    <x v="0"/>
    <x v="0"/>
  </r>
  <r>
    <n v="870"/>
    <n v="1"/>
    <x v="1"/>
    <n v="3"/>
    <x v="0"/>
    <s v="Johnson, Master. Harold Theodor"/>
    <s v="Master."/>
    <x v="0"/>
    <n v="4"/>
    <x v="3"/>
    <n v="1"/>
    <n v="1"/>
    <x v="3"/>
    <s v="347742"/>
    <n v="11.1333"/>
    <n v="11.1333"/>
    <e v="#N/A"/>
    <x v="2"/>
    <x v="0"/>
    <x v="0"/>
  </r>
  <r>
    <n v="871"/>
    <n v="0"/>
    <x v="0"/>
    <n v="3"/>
    <x v="0"/>
    <s v="Balkic, Mr. Cerin"/>
    <s v="Mr."/>
    <x v="0"/>
    <n v="26"/>
    <x v="0"/>
    <n v="0"/>
    <n v="0"/>
    <x v="1"/>
    <s v="349248"/>
    <n v="7.8958000000000004"/>
    <e v="#N/A"/>
    <n v="7.8958000000000004"/>
    <x v="0"/>
    <x v="0"/>
    <x v="0"/>
  </r>
  <r>
    <n v="872"/>
    <n v="1"/>
    <x v="1"/>
    <n v="1"/>
    <x v="1"/>
    <s v="Beckwith, Mrs. Richard Leonard (Sallie Monypeny)"/>
    <s v="Mrs."/>
    <x v="1"/>
    <n v="47"/>
    <x v="5"/>
    <n v="1"/>
    <n v="1"/>
    <x v="3"/>
    <s v="11751"/>
    <n v="52.554200000000002"/>
    <n v="52.554200000000002"/>
    <e v="#N/A"/>
    <x v="1"/>
    <x v="42"/>
    <x v="0"/>
  </r>
  <r>
    <n v="873"/>
    <n v="0"/>
    <x v="0"/>
    <n v="1"/>
    <x v="1"/>
    <s v="Carlsson, Mr. Frans Olof"/>
    <s v="Mr."/>
    <x v="0"/>
    <n v="33"/>
    <x v="1"/>
    <n v="0"/>
    <n v="0"/>
    <x v="1"/>
    <s v="695"/>
    <n v="5"/>
    <e v="#N/A"/>
    <n v="5"/>
    <x v="0"/>
    <x v="115"/>
    <x v="0"/>
  </r>
  <r>
    <n v="874"/>
    <n v="0"/>
    <x v="0"/>
    <n v="3"/>
    <x v="0"/>
    <s v="Vander Cruyssen, Mr. Victor"/>
    <s v="Mr."/>
    <x v="0"/>
    <n v="47"/>
    <x v="5"/>
    <n v="0"/>
    <n v="0"/>
    <x v="1"/>
    <s v="345765"/>
    <n v="9"/>
    <e v="#N/A"/>
    <n v="9"/>
    <x v="2"/>
    <x v="0"/>
    <x v="0"/>
  </r>
  <r>
    <n v="875"/>
    <n v="1"/>
    <x v="1"/>
    <n v="2"/>
    <x v="2"/>
    <s v="Abelson, Mrs. Samuel (Hannah Wizosky)"/>
    <s v="Mrs."/>
    <x v="1"/>
    <n v="28"/>
    <x v="0"/>
    <n v="1"/>
    <n v="0"/>
    <x v="0"/>
    <s v="P/PP 3381"/>
    <n v="24"/>
    <n v="24"/>
    <e v="#N/A"/>
    <x v="3"/>
    <x v="0"/>
    <x v="1"/>
  </r>
  <r>
    <n v="876"/>
    <n v="1"/>
    <x v="1"/>
    <n v="3"/>
    <x v="0"/>
    <s v="Najib, Miss. Adele Kiamie &quot;Jane&quot;"/>
    <s v="Miss."/>
    <x v="1"/>
    <n v="15"/>
    <x v="4"/>
    <n v="0"/>
    <n v="0"/>
    <x v="1"/>
    <s v="2667"/>
    <n v="7.2249999999999996"/>
    <n v="7.2249999999999996"/>
    <e v="#N/A"/>
    <x v="0"/>
    <x v="0"/>
    <x v="1"/>
  </r>
  <r>
    <n v="877"/>
    <n v="0"/>
    <x v="0"/>
    <n v="3"/>
    <x v="0"/>
    <s v="Gustafsson, Mr. Alfred Ossian"/>
    <s v="Mr."/>
    <x v="0"/>
    <n v="20"/>
    <x v="0"/>
    <n v="0"/>
    <n v="0"/>
    <x v="1"/>
    <s v="7534"/>
    <n v="9.8458000000000006"/>
    <e v="#N/A"/>
    <n v="9.8458000000000006"/>
    <x v="2"/>
    <x v="0"/>
    <x v="0"/>
  </r>
  <r>
    <n v="878"/>
    <n v="0"/>
    <x v="0"/>
    <n v="3"/>
    <x v="0"/>
    <s v="Petroff, Mr. Nedelio"/>
    <s v="Mr."/>
    <x v="0"/>
    <n v="19"/>
    <x v="4"/>
    <n v="0"/>
    <n v="0"/>
    <x v="1"/>
    <s v="349212"/>
    <n v="7.8958000000000004"/>
    <e v="#N/A"/>
    <n v="7.8958000000000004"/>
    <x v="0"/>
    <x v="0"/>
    <x v="0"/>
  </r>
  <r>
    <n v="879"/>
    <n v="0"/>
    <x v="0"/>
    <n v="3"/>
    <x v="0"/>
    <s v="Laleff, Mr. Kristo"/>
    <s v="Mr."/>
    <x v="0"/>
    <n v="28"/>
    <x v="0"/>
    <n v="0"/>
    <n v="0"/>
    <x v="1"/>
    <s v="349217"/>
    <n v="7.8958000000000004"/>
    <e v="#N/A"/>
    <n v="7.8958000000000004"/>
    <x v="0"/>
    <x v="0"/>
    <x v="0"/>
  </r>
  <r>
    <n v="880"/>
    <n v="1"/>
    <x v="1"/>
    <n v="1"/>
    <x v="1"/>
    <s v="Potter, Mrs. Thomas Jr (Lily Alexenia Wilson)"/>
    <s v="Mrs."/>
    <x v="1"/>
    <n v="56"/>
    <x v="2"/>
    <n v="0"/>
    <n v="1"/>
    <x v="0"/>
    <s v="11767"/>
    <n v="83.158299999999997"/>
    <n v="83.158299999999997"/>
    <e v="#N/A"/>
    <x v="1"/>
    <x v="145"/>
    <x v="1"/>
  </r>
  <r>
    <n v="881"/>
    <n v="1"/>
    <x v="1"/>
    <n v="2"/>
    <x v="2"/>
    <s v="Shelley, Mrs. William (Imanita Parrish Hall)"/>
    <s v="Mrs."/>
    <x v="1"/>
    <n v="25"/>
    <x v="0"/>
    <n v="0"/>
    <n v="1"/>
    <x v="0"/>
    <s v="230433"/>
    <n v="26"/>
    <n v="26"/>
    <e v="#N/A"/>
    <x v="3"/>
    <x v="0"/>
    <x v="0"/>
  </r>
  <r>
    <n v="882"/>
    <n v="0"/>
    <x v="0"/>
    <n v="3"/>
    <x v="0"/>
    <s v="Markun, Mr. Johann"/>
    <s v="Mr."/>
    <x v="0"/>
    <n v="33"/>
    <x v="1"/>
    <n v="0"/>
    <n v="0"/>
    <x v="1"/>
    <s v="349257"/>
    <n v="7.8958000000000004"/>
    <e v="#N/A"/>
    <n v="7.8958000000000004"/>
    <x v="0"/>
    <x v="0"/>
    <x v="0"/>
  </r>
  <r>
    <n v="883"/>
    <n v="0"/>
    <x v="0"/>
    <n v="3"/>
    <x v="0"/>
    <s v="Dahlberg, Miss. Gerda Ulrika"/>
    <s v="Miss."/>
    <x v="1"/>
    <n v="22"/>
    <x v="0"/>
    <n v="0"/>
    <n v="0"/>
    <x v="1"/>
    <s v="7552"/>
    <n v="10.5167"/>
    <e v="#N/A"/>
    <n v="10.5167"/>
    <x v="2"/>
    <x v="0"/>
    <x v="0"/>
  </r>
  <r>
    <n v="884"/>
    <n v="0"/>
    <x v="0"/>
    <n v="2"/>
    <x v="2"/>
    <s v="Banfield, Mr. Frederick James"/>
    <s v="Mr."/>
    <x v="0"/>
    <n v="28"/>
    <x v="0"/>
    <n v="0"/>
    <n v="0"/>
    <x v="1"/>
    <s v="C.A./SOTON 34068"/>
    <n v="10.5"/>
    <e v="#N/A"/>
    <n v="10.5"/>
    <x v="2"/>
    <x v="0"/>
    <x v="0"/>
  </r>
  <r>
    <n v="885"/>
    <n v="0"/>
    <x v="0"/>
    <n v="3"/>
    <x v="0"/>
    <s v="Sutehall, Mr. Henry Jr"/>
    <s v="Mr."/>
    <x v="0"/>
    <n v="25"/>
    <x v="0"/>
    <n v="0"/>
    <n v="0"/>
    <x v="1"/>
    <s v="SOTON/OQ 392076"/>
    <n v="7.05"/>
    <e v="#N/A"/>
    <n v="7.05"/>
    <x v="0"/>
    <x v="0"/>
    <x v="0"/>
  </r>
  <r>
    <n v="886"/>
    <n v="0"/>
    <x v="0"/>
    <n v="3"/>
    <x v="0"/>
    <s v="Rice, Mrs. William (Margaret Norton)"/>
    <s v="Mrs."/>
    <x v="1"/>
    <n v="39"/>
    <x v="1"/>
    <n v="0"/>
    <n v="5"/>
    <x v="5"/>
    <s v="382652"/>
    <n v="29.125"/>
    <e v="#N/A"/>
    <n v="29.125"/>
    <x v="3"/>
    <x v="0"/>
    <x v="2"/>
  </r>
  <r>
    <n v="887"/>
    <n v="0"/>
    <x v="0"/>
    <n v="2"/>
    <x v="2"/>
    <s v="Montvila, Rev. Juozas"/>
    <s v="Rev."/>
    <x v="0"/>
    <n v="27"/>
    <x v="0"/>
    <n v="0"/>
    <n v="0"/>
    <x v="1"/>
    <s v="211536"/>
    <n v="13"/>
    <e v="#N/A"/>
    <n v="13"/>
    <x v="2"/>
    <x v="0"/>
    <x v="0"/>
  </r>
  <r>
    <n v="888"/>
    <n v="1"/>
    <x v="1"/>
    <n v="1"/>
    <x v="1"/>
    <s v="Graham, Miss. Margaret Edith"/>
    <s v="Miss."/>
    <x v="1"/>
    <n v="19"/>
    <x v="4"/>
    <n v="0"/>
    <n v="0"/>
    <x v="1"/>
    <s v="112053"/>
    <n v="30"/>
    <n v="30"/>
    <e v="#N/A"/>
    <x v="1"/>
    <x v="146"/>
    <x v="0"/>
  </r>
  <r>
    <n v="889"/>
    <n v="0"/>
    <x v="0"/>
    <n v="3"/>
    <x v="0"/>
    <s v="Johnston, Miss. Catherine Helen &quot;Carrie&quot;"/>
    <s v="Miss."/>
    <x v="1"/>
    <n v="28"/>
    <x v="0"/>
    <n v="1"/>
    <n v="2"/>
    <x v="6"/>
    <s v="W./C. 6607"/>
    <n v="23.45"/>
    <e v="#N/A"/>
    <n v="23.45"/>
    <x v="3"/>
    <x v="0"/>
    <x v="0"/>
  </r>
  <r>
    <n v="890"/>
    <n v="1"/>
    <x v="1"/>
    <n v="1"/>
    <x v="1"/>
    <s v="Behr, Mr. Karl Howell"/>
    <s v="Mr."/>
    <x v="0"/>
    <n v="26"/>
    <x v="0"/>
    <n v="0"/>
    <n v="0"/>
    <x v="1"/>
    <s v="111369"/>
    <n v="30"/>
    <n v="30"/>
    <e v="#N/A"/>
    <x v="1"/>
    <x v="147"/>
    <x v="1"/>
  </r>
  <r>
    <n v="891"/>
    <n v="0"/>
    <x v="0"/>
    <n v="3"/>
    <x v="0"/>
    <s v="Dooley, Mr. Patrick"/>
    <s v="Mr."/>
    <x v="0"/>
    <n v="32"/>
    <x v="1"/>
    <n v="0"/>
    <n v="0"/>
    <x v="1"/>
    <s v="370376"/>
    <n v="7.75"/>
    <e v="#N/A"/>
    <n v="7.75"/>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D69BEA-01CA-4553-BDBA-C2568BFA045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D8" firstHeaderRow="1" firstDataRow="2" firstDataCol="1"/>
  <pivotFields count="22">
    <pivotField dataField="1" showAll="0"/>
    <pivotField showAll="0"/>
    <pivotField axis="axisCol" showAll="0">
      <items count="3">
        <item x="0"/>
        <item x="1"/>
        <item t="default"/>
      </items>
    </pivotField>
    <pivotField showAll="0"/>
    <pivotField axis="axisRow" showAll="0">
      <items count="4">
        <item x="1"/>
        <item x="2"/>
        <item x="0"/>
        <item t="default"/>
      </items>
    </pivotField>
    <pivotField showAll="0"/>
    <pivotField showAll="0"/>
    <pivotField showAll="0">
      <items count="3">
        <item x="1"/>
        <item x="0"/>
        <item t="default"/>
      </items>
    </pivotField>
    <pivotField showAll="0"/>
    <pivotField showAll="0">
      <items count="10">
        <item x="7"/>
        <item x="3"/>
        <item x="4"/>
        <item x="0"/>
        <item x="1"/>
        <item x="5"/>
        <item x="2"/>
        <item x="6"/>
        <item m="1" x="8"/>
        <item t="default"/>
      </items>
    </pivotField>
    <pivotField showAll="0"/>
    <pivotField showAll="0"/>
    <pivotField showAll="0">
      <items count="10">
        <item x="1"/>
        <item x="0"/>
        <item x="3"/>
        <item x="6"/>
        <item x="2"/>
        <item x="5"/>
        <item x="4"/>
        <item x="7"/>
        <item x="8"/>
        <item t="default"/>
      </items>
    </pivotField>
    <pivotField showAll="0"/>
    <pivotField showAll="0"/>
    <pivotField showAll="0"/>
    <pivotField showAll="0"/>
    <pivotField showAll="0">
      <items count="5">
        <item x="3"/>
        <item x="0"/>
        <item x="2"/>
        <item x="1"/>
        <item t="default"/>
      </items>
    </pivotField>
    <pivotField showAll="0">
      <items count="149">
        <item x="0"/>
        <item x="101"/>
        <item x="84"/>
        <item x="98"/>
        <item x="51"/>
        <item x="104"/>
        <item x="108"/>
        <item x="144"/>
        <item x="110"/>
        <item x="37"/>
        <item x="34"/>
        <item x="76"/>
        <item x="137"/>
        <item x="18"/>
        <item x="7"/>
        <item x="31"/>
        <item x="125"/>
        <item x="138"/>
        <item x="63"/>
        <item x="30"/>
        <item x="118"/>
        <item x="95"/>
        <item x="13"/>
        <item x="133"/>
        <item x="11"/>
        <item x="70"/>
        <item x="85"/>
        <item x="93"/>
        <item x="94"/>
        <item x="35"/>
        <item x="103"/>
        <item x="146"/>
        <item x="52"/>
        <item x="117"/>
        <item x="109"/>
        <item x="115"/>
        <item x="59"/>
        <item x="22"/>
        <item x="139"/>
        <item x="114"/>
        <item x="91"/>
        <item x="44"/>
        <item x="9"/>
        <item x="88"/>
        <item x="36"/>
        <item x="135"/>
        <item x="26"/>
        <item x="46"/>
        <item x="73"/>
        <item x="99"/>
        <item x="5"/>
        <item x="77"/>
        <item x="55"/>
        <item x="21"/>
        <item x="78"/>
        <item x="49"/>
        <item x="2"/>
        <item x="64"/>
        <item x="47"/>
        <item x="113"/>
        <item x="68"/>
        <item x="147"/>
        <item x="28"/>
        <item x="54"/>
        <item x="8"/>
        <item x="86"/>
        <item x="62"/>
        <item x="123"/>
        <item x="127"/>
        <item x="141"/>
        <item x="32"/>
        <item x="145"/>
        <item x="12"/>
        <item x="58"/>
        <item x="120"/>
        <item x="56"/>
        <item x="100"/>
        <item x="60"/>
        <item x="97"/>
        <item x="41"/>
        <item x="72"/>
        <item x="14"/>
        <item x="1"/>
        <item x="96"/>
        <item x="43"/>
        <item x="122"/>
        <item x="65"/>
        <item x="79"/>
        <item x="40"/>
        <item x="92"/>
        <item x="48"/>
        <item x="53"/>
        <item x="19"/>
        <item x="130"/>
        <item x="39"/>
        <item x="136"/>
        <item x="105"/>
        <item x="87"/>
        <item x="81"/>
        <item x="20"/>
        <item x="142"/>
        <item x="128"/>
        <item x="10"/>
        <item x="42"/>
        <item x="38"/>
        <item x="69"/>
        <item x="126"/>
        <item x="90"/>
        <item x="25"/>
        <item x="111"/>
        <item x="116"/>
        <item x="106"/>
        <item x="6"/>
        <item x="134"/>
        <item x="50"/>
        <item x="107"/>
        <item x="74"/>
        <item x="23"/>
        <item x="82"/>
        <item x="129"/>
        <item x="143"/>
        <item x="121"/>
        <item x="89"/>
        <item x="17"/>
        <item x="29"/>
        <item x="61"/>
        <item x="57"/>
        <item x="80"/>
        <item x="66"/>
        <item x="75"/>
        <item x="3"/>
        <item x="140"/>
        <item x="71"/>
        <item x="112"/>
        <item x="83"/>
        <item x="45"/>
        <item x="102"/>
        <item x="131"/>
        <item x="124"/>
        <item x="24"/>
        <item x="119"/>
        <item x="16"/>
        <item x="27"/>
        <item x="15"/>
        <item x="132"/>
        <item x="33"/>
        <item x="4"/>
        <item x="67"/>
        <item t="default"/>
      </items>
    </pivotField>
    <pivotField showAll="0"/>
    <pivotField dragToRow="0" dragToCol="0" dragToPage="0" showAll="0" defaultSubtotal="0"/>
    <pivotField dragToRow="0" dragToCol="0" dragToPage="0" showAll="0" defaultSubtotal="0"/>
  </pivotFields>
  <rowFields count="1">
    <field x="4"/>
  </rowFields>
  <rowItems count="4">
    <i>
      <x/>
    </i>
    <i>
      <x v="1"/>
    </i>
    <i>
      <x v="2"/>
    </i>
    <i t="grand">
      <x/>
    </i>
  </rowItems>
  <colFields count="1">
    <field x="2"/>
  </colFields>
  <colItems count="3">
    <i>
      <x/>
    </i>
    <i>
      <x v="1"/>
    </i>
    <i t="grand">
      <x/>
    </i>
  </colItems>
  <dataFields count="1">
    <dataField name=" Passengers" fld="0" subtotal="count" showDataAs="percentOfRow" baseField="4" baseItem="0" numFmtId="10"/>
  </dataFields>
  <chartFormats count="2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5" format="6" series="1">
      <pivotArea type="data" outline="0" fieldPosition="0">
        <references count="2">
          <reference field="4294967294" count="1" selected="0">
            <x v="0"/>
          </reference>
          <reference field="2" count="1" selected="0">
            <x v="0"/>
          </reference>
        </references>
      </pivotArea>
    </chartFormat>
    <chartFormat chart="5" format="7" series="1">
      <pivotArea type="data" outline="0" fieldPosition="0">
        <references count="2">
          <reference field="4294967294" count="1" selected="0">
            <x v="0"/>
          </reference>
          <reference field="2" count="1" selected="0">
            <x v="1"/>
          </reference>
        </references>
      </pivotArea>
    </chartFormat>
    <chartFormat chart="11" format="0" series="1">
      <pivotArea type="data" outline="0" fieldPosition="0">
        <references count="2">
          <reference field="4294967294" count="1" selected="0">
            <x v="0"/>
          </reference>
          <reference field="2" count="1" selected="0">
            <x v="0"/>
          </reference>
        </references>
      </pivotArea>
    </chartFormat>
    <chartFormat chart="11" format="1" series="1">
      <pivotArea type="data" outline="0" fieldPosition="0">
        <references count="2">
          <reference field="4294967294" count="1" selected="0">
            <x v="0"/>
          </reference>
          <reference field="2" count="1" selected="0">
            <x v="1"/>
          </reference>
        </references>
      </pivotArea>
    </chartFormat>
    <chartFormat chart="15" format="10" series="1">
      <pivotArea type="data" outline="0" fieldPosition="0">
        <references count="2">
          <reference field="4294967294" count="1" selected="0">
            <x v="0"/>
          </reference>
          <reference field="2" count="1" selected="0">
            <x v="0"/>
          </reference>
        </references>
      </pivotArea>
    </chartFormat>
    <chartFormat chart="15" format="11">
      <pivotArea type="data" outline="0" fieldPosition="0">
        <references count="3">
          <reference field="4294967294" count="1" selected="0">
            <x v="0"/>
          </reference>
          <reference field="2" count="1" selected="0">
            <x v="0"/>
          </reference>
          <reference field="4" count="1" selected="0">
            <x v="0"/>
          </reference>
        </references>
      </pivotArea>
    </chartFormat>
    <chartFormat chart="15" format="12">
      <pivotArea type="data" outline="0" fieldPosition="0">
        <references count="3">
          <reference field="4294967294" count="1" selected="0">
            <x v="0"/>
          </reference>
          <reference field="2" count="1" selected="0">
            <x v="0"/>
          </reference>
          <reference field="4" count="1" selected="0">
            <x v="1"/>
          </reference>
        </references>
      </pivotArea>
    </chartFormat>
    <chartFormat chart="15" format="13">
      <pivotArea type="data" outline="0" fieldPosition="0">
        <references count="3">
          <reference field="4294967294" count="1" selected="0">
            <x v="0"/>
          </reference>
          <reference field="2" count="1" selected="0">
            <x v="0"/>
          </reference>
          <reference field="4" count="1" selected="0">
            <x v="2"/>
          </reference>
        </references>
      </pivotArea>
    </chartFormat>
    <chartFormat chart="15" format="14" series="1">
      <pivotArea type="data" outline="0" fieldPosition="0">
        <references count="2">
          <reference field="4294967294" count="1" selected="0">
            <x v="0"/>
          </reference>
          <reference field="2" count="1" selected="0">
            <x v="1"/>
          </reference>
        </references>
      </pivotArea>
    </chartFormat>
    <chartFormat chart="15" format="15">
      <pivotArea type="data" outline="0" fieldPosition="0">
        <references count="3">
          <reference field="4294967294" count="1" selected="0">
            <x v="0"/>
          </reference>
          <reference field="2" count="1" selected="0">
            <x v="1"/>
          </reference>
          <reference field="4" count="1" selected="0">
            <x v="0"/>
          </reference>
        </references>
      </pivotArea>
    </chartFormat>
    <chartFormat chart="15" format="16">
      <pivotArea type="data" outline="0" fieldPosition="0">
        <references count="3">
          <reference field="4294967294" count="1" selected="0">
            <x v="0"/>
          </reference>
          <reference field="2" count="1" selected="0">
            <x v="1"/>
          </reference>
          <reference field="4" count="1" selected="0">
            <x v="1"/>
          </reference>
        </references>
      </pivotArea>
    </chartFormat>
    <chartFormat chart="15" format="17">
      <pivotArea type="data" outline="0" fieldPosition="0">
        <references count="3">
          <reference field="4294967294" count="1" selected="0">
            <x v="0"/>
          </reference>
          <reference field="2" count="1" selected="0">
            <x v="1"/>
          </reference>
          <reference field="4" count="1" selected="0">
            <x v="2"/>
          </reference>
        </references>
      </pivotArea>
    </chartFormat>
    <chartFormat chart="11" format="2">
      <pivotArea type="data" outline="0" fieldPosition="0">
        <references count="3">
          <reference field="4294967294" count="1" selected="0">
            <x v="0"/>
          </reference>
          <reference field="2" count="1" selected="0">
            <x v="0"/>
          </reference>
          <reference field="4" count="1" selected="0">
            <x v="0"/>
          </reference>
        </references>
      </pivotArea>
    </chartFormat>
    <chartFormat chart="11" format="3">
      <pivotArea type="data" outline="0" fieldPosition="0">
        <references count="3">
          <reference field="4294967294" count="1" selected="0">
            <x v="0"/>
          </reference>
          <reference field="2" count="1" selected="0">
            <x v="0"/>
          </reference>
          <reference field="4" count="1" selected="0">
            <x v="1"/>
          </reference>
        </references>
      </pivotArea>
    </chartFormat>
    <chartFormat chart="11" format="4">
      <pivotArea type="data" outline="0" fieldPosition="0">
        <references count="3">
          <reference field="4294967294" count="1" selected="0">
            <x v="0"/>
          </reference>
          <reference field="2" count="1" selected="0">
            <x v="0"/>
          </reference>
          <reference field="4" count="1" selected="0">
            <x v="2"/>
          </reference>
        </references>
      </pivotArea>
    </chartFormat>
    <chartFormat chart="11" format="5">
      <pivotArea type="data" outline="0" fieldPosition="0">
        <references count="3">
          <reference field="4294967294" count="1" selected="0">
            <x v="0"/>
          </reference>
          <reference field="2" count="1" selected="0">
            <x v="1"/>
          </reference>
          <reference field="4" count="1" selected="0">
            <x v="0"/>
          </reference>
        </references>
      </pivotArea>
    </chartFormat>
    <chartFormat chart="11" format="6">
      <pivotArea type="data" outline="0" fieldPosition="0">
        <references count="3">
          <reference field="4294967294" count="1" selected="0">
            <x v="0"/>
          </reference>
          <reference field="2" count="1" selected="0">
            <x v="1"/>
          </reference>
          <reference field="4" count="1" selected="0">
            <x v="1"/>
          </reference>
        </references>
      </pivotArea>
    </chartFormat>
    <chartFormat chart="11" format="7">
      <pivotArea type="data" outline="0" fieldPosition="0">
        <references count="3">
          <reference field="4294967294" count="1" selected="0">
            <x v="0"/>
          </reference>
          <reference field="2"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79B314-65B3-4930-82FB-D02E11E939E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7" firstHeaderRow="1" firstDataRow="2" firstDataCol="1"/>
  <pivotFields count="22">
    <pivotField dataField="1" showAll="0"/>
    <pivotField showAll="0"/>
    <pivotField axis="axisCol" showAll="0">
      <items count="3">
        <item x="0"/>
        <item x="1"/>
        <item t="default"/>
      </items>
    </pivotField>
    <pivotField showAll="0"/>
    <pivotField showAll="0"/>
    <pivotField showAll="0"/>
    <pivotField showAll="0"/>
    <pivotField axis="axisRow" showAll="0">
      <items count="3">
        <item x="1"/>
        <item x="0"/>
        <item t="default"/>
      </items>
    </pivotField>
    <pivotField showAll="0"/>
    <pivotField showAll="0">
      <items count="10">
        <item x="7"/>
        <item x="3"/>
        <item x="4"/>
        <item x="0"/>
        <item x="1"/>
        <item x="5"/>
        <item x="2"/>
        <item x="6"/>
        <item m="1" x="8"/>
        <item t="default"/>
      </items>
    </pivotField>
    <pivotField showAll="0"/>
    <pivotField showAll="0"/>
    <pivotField showAll="0">
      <items count="10">
        <item x="1"/>
        <item x="0"/>
        <item x="3"/>
        <item x="6"/>
        <item x="2"/>
        <item x="5"/>
        <item x="4"/>
        <item x="7"/>
        <item x="8"/>
        <item t="default"/>
      </items>
    </pivotField>
    <pivotField showAll="0"/>
    <pivotField showAll="0"/>
    <pivotField showAll="0"/>
    <pivotField showAll="0"/>
    <pivotField showAll="0">
      <items count="5">
        <item x="3"/>
        <item x="0"/>
        <item x="2"/>
        <item x="1"/>
        <item t="default"/>
      </items>
    </pivotField>
    <pivotField showAll="0">
      <items count="149">
        <item x="0"/>
        <item x="101"/>
        <item x="84"/>
        <item x="98"/>
        <item x="51"/>
        <item x="104"/>
        <item x="108"/>
        <item x="144"/>
        <item x="110"/>
        <item x="37"/>
        <item x="34"/>
        <item x="76"/>
        <item x="137"/>
        <item x="18"/>
        <item x="7"/>
        <item x="31"/>
        <item x="125"/>
        <item x="138"/>
        <item x="63"/>
        <item x="30"/>
        <item x="118"/>
        <item x="95"/>
        <item x="13"/>
        <item x="133"/>
        <item x="11"/>
        <item x="70"/>
        <item x="85"/>
        <item x="93"/>
        <item x="94"/>
        <item x="35"/>
        <item x="103"/>
        <item x="146"/>
        <item x="52"/>
        <item x="117"/>
        <item x="109"/>
        <item x="115"/>
        <item x="59"/>
        <item x="22"/>
        <item x="139"/>
        <item x="114"/>
        <item x="91"/>
        <item x="44"/>
        <item x="9"/>
        <item x="88"/>
        <item x="36"/>
        <item x="135"/>
        <item x="26"/>
        <item x="46"/>
        <item x="73"/>
        <item x="99"/>
        <item x="5"/>
        <item x="77"/>
        <item x="55"/>
        <item x="21"/>
        <item x="78"/>
        <item x="49"/>
        <item x="2"/>
        <item x="64"/>
        <item x="47"/>
        <item x="113"/>
        <item x="68"/>
        <item x="147"/>
        <item x="28"/>
        <item x="54"/>
        <item x="8"/>
        <item x="86"/>
        <item x="62"/>
        <item x="123"/>
        <item x="127"/>
        <item x="141"/>
        <item x="32"/>
        <item x="145"/>
        <item x="12"/>
        <item x="58"/>
        <item x="120"/>
        <item x="56"/>
        <item x="100"/>
        <item x="60"/>
        <item x="97"/>
        <item x="41"/>
        <item x="72"/>
        <item x="14"/>
        <item x="1"/>
        <item x="96"/>
        <item x="43"/>
        <item x="122"/>
        <item x="65"/>
        <item x="79"/>
        <item x="40"/>
        <item x="92"/>
        <item x="48"/>
        <item x="53"/>
        <item x="19"/>
        <item x="130"/>
        <item x="39"/>
        <item x="136"/>
        <item x="105"/>
        <item x="87"/>
        <item x="81"/>
        <item x="20"/>
        <item x="142"/>
        <item x="128"/>
        <item x="10"/>
        <item x="42"/>
        <item x="38"/>
        <item x="69"/>
        <item x="126"/>
        <item x="90"/>
        <item x="25"/>
        <item x="111"/>
        <item x="116"/>
        <item x="106"/>
        <item x="6"/>
        <item x="134"/>
        <item x="50"/>
        <item x="107"/>
        <item x="74"/>
        <item x="23"/>
        <item x="82"/>
        <item x="129"/>
        <item x="143"/>
        <item x="121"/>
        <item x="89"/>
        <item x="17"/>
        <item x="29"/>
        <item x="61"/>
        <item x="57"/>
        <item x="80"/>
        <item x="66"/>
        <item x="75"/>
        <item x="3"/>
        <item x="140"/>
        <item x="71"/>
        <item x="112"/>
        <item x="83"/>
        <item x="45"/>
        <item x="102"/>
        <item x="131"/>
        <item x="124"/>
        <item x="24"/>
        <item x="119"/>
        <item x="16"/>
        <item x="27"/>
        <item x="15"/>
        <item x="132"/>
        <item x="33"/>
        <item x="4"/>
        <item x="67"/>
        <item t="default"/>
      </items>
    </pivotField>
    <pivotField showAll="0"/>
    <pivotField dragToRow="0" dragToCol="0" dragToPage="0" showAll="0" defaultSubtotal="0"/>
    <pivotField dragToRow="0" dragToCol="0" dragToPage="0" showAll="0" defaultSubtotal="0"/>
  </pivotFields>
  <rowFields count="1">
    <field x="7"/>
  </rowFields>
  <rowItems count="3">
    <i>
      <x/>
    </i>
    <i>
      <x v="1"/>
    </i>
    <i t="grand">
      <x/>
    </i>
  </rowItems>
  <colFields count="1">
    <field x="2"/>
  </colFields>
  <colItems count="3">
    <i>
      <x/>
    </i>
    <i>
      <x v="1"/>
    </i>
    <i t="grand">
      <x/>
    </i>
  </colItems>
  <dataFields count="1">
    <dataField name="Count of PassengerId" fld="0" subtotal="count" showDataAs="percentOfRow" baseField="7" baseItem="0" numFmtId="10"/>
  </dataFields>
  <chartFormats count="1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 chart="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7" format="9" series="1">
      <pivotArea type="data" outline="0" fieldPosition="0">
        <references count="2">
          <reference field="4294967294" count="1" selected="0">
            <x v="0"/>
          </reference>
          <reference field="2" count="1" selected="0">
            <x v="0"/>
          </reference>
        </references>
      </pivotArea>
    </chartFormat>
    <chartFormat chart="7" format="10" series="1">
      <pivotArea type="data" outline="0" fieldPosition="0">
        <references count="2">
          <reference field="4294967294" count="1" selected="0">
            <x v="0"/>
          </reference>
          <reference field="2" count="1" selected="0">
            <x v="1"/>
          </reference>
        </references>
      </pivotArea>
    </chartFormat>
    <chartFormat chart="8" format="0" series="1">
      <pivotArea type="data" outline="0" fieldPosition="0">
        <references count="2">
          <reference field="4294967294" count="1" selected="0">
            <x v="0"/>
          </reference>
          <reference field="2" count="1" selected="0">
            <x v="0"/>
          </reference>
        </references>
      </pivotArea>
    </chartFormat>
    <chartFormat chart="8" format="1" series="1">
      <pivotArea type="data" outline="0" fieldPosition="0">
        <references count="2">
          <reference field="4294967294" count="1" selected="0">
            <x v="0"/>
          </reference>
          <reference field="2" count="1" selected="0">
            <x v="1"/>
          </reference>
        </references>
      </pivotArea>
    </chartFormat>
    <chartFormat chart="12" format="4" series="1">
      <pivotArea type="data" outline="0" fieldPosition="0">
        <references count="2">
          <reference field="4294967294" count="1" selected="0">
            <x v="0"/>
          </reference>
          <reference field="2" count="1" selected="0">
            <x v="0"/>
          </reference>
        </references>
      </pivotArea>
    </chartFormat>
    <chartFormat chart="1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AAD3C9-F81E-4311-9568-FA07110A12B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13" firstHeaderRow="1" firstDataRow="2" firstDataCol="1"/>
  <pivotFields count="22">
    <pivotField dataField="1" showAll="0"/>
    <pivotField showAll="0"/>
    <pivotField axis="axisCol" showAll="0">
      <items count="3">
        <item x="0"/>
        <item x="1"/>
        <item t="default"/>
      </items>
    </pivotField>
    <pivotField showAll="0"/>
    <pivotField showAll="0"/>
    <pivotField showAll="0"/>
    <pivotField showAll="0"/>
    <pivotField showAll="0">
      <items count="3">
        <item x="1"/>
        <item x="0"/>
        <item t="default"/>
      </items>
    </pivotField>
    <pivotField showAll="0"/>
    <pivotField axis="axisRow" showAll="0">
      <items count="10">
        <item x="3"/>
        <item x="4"/>
        <item x="0"/>
        <item x="1"/>
        <item x="5"/>
        <item x="2"/>
        <item m="1" x="8"/>
        <item x="6"/>
        <item x="7"/>
        <item t="default"/>
      </items>
    </pivotField>
    <pivotField showAll="0"/>
    <pivotField showAll="0"/>
    <pivotField showAll="0">
      <items count="10">
        <item x="1"/>
        <item x="0"/>
        <item x="3"/>
        <item x="6"/>
        <item x="2"/>
        <item x="5"/>
        <item x="4"/>
        <item x="7"/>
        <item x="8"/>
        <item t="default"/>
      </items>
    </pivotField>
    <pivotField showAll="0"/>
    <pivotField showAll="0"/>
    <pivotField showAll="0"/>
    <pivotField showAll="0"/>
    <pivotField showAll="0">
      <items count="5">
        <item x="3"/>
        <item x="0"/>
        <item x="2"/>
        <item x="1"/>
        <item t="default"/>
      </items>
    </pivotField>
    <pivotField showAll="0">
      <items count="149">
        <item x="0"/>
        <item x="101"/>
        <item x="84"/>
        <item x="98"/>
        <item x="51"/>
        <item x="104"/>
        <item x="108"/>
        <item x="144"/>
        <item x="110"/>
        <item x="37"/>
        <item x="34"/>
        <item x="76"/>
        <item x="137"/>
        <item x="18"/>
        <item x="7"/>
        <item x="31"/>
        <item x="125"/>
        <item x="138"/>
        <item x="63"/>
        <item x="30"/>
        <item x="118"/>
        <item x="95"/>
        <item x="13"/>
        <item x="133"/>
        <item x="11"/>
        <item x="70"/>
        <item x="85"/>
        <item x="93"/>
        <item x="94"/>
        <item x="35"/>
        <item x="103"/>
        <item x="146"/>
        <item x="52"/>
        <item x="117"/>
        <item x="109"/>
        <item x="115"/>
        <item x="59"/>
        <item x="22"/>
        <item x="139"/>
        <item x="114"/>
        <item x="91"/>
        <item x="44"/>
        <item x="9"/>
        <item x="88"/>
        <item x="36"/>
        <item x="135"/>
        <item x="26"/>
        <item x="46"/>
        <item x="73"/>
        <item x="99"/>
        <item x="5"/>
        <item x="77"/>
        <item x="55"/>
        <item x="21"/>
        <item x="78"/>
        <item x="49"/>
        <item x="2"/>
        <item x="64"/>
        <item x="47"/>
        <item x="113"/>
        <item x="68"/>
        <item x="147"/>
        <item x="28"/>
        <item x="54"/>
        <item x="8"/>
        <item x="86"/>
        <item x="62"/>
        <item x="123"/>
        <item x="127"/>
        <item x="141"/>
        <item x="32"/>
        <item x="145"/>
        <item x="12"/>
        <item x="58"/>
        <item x="120"/>
        <item x="56"/>
        <item x="100"/>
        <item x="60"/>
        <item x="97"/>
        <item x="41"/>
        <item x="72"/>
        <item x="14"/>
        <item x="1"/>
        <item x="96"/>
        <item x="43"/>
        <item x="122"/>
        <item x="65"/>
        <item x="79"/>
        <item x="40"/>
        <item x="92"/>
        <item x="48"/>
        <item x="53"/>
        <item x="19"/>
        <item x="130"/>
        <item x="39"/>
        <item x="136"/>
        <item x="105"/>
        <item x="87"/>
        <item x="81"/>
        <item x="20"/>
        <item x="142"/>
        <item x="128"/>
        <item x="10"/>
        <item x="42"/>
        <item x="38"/>
        <item x="69"/>
        <item x="126"/>
        <item x="90"/>
        <item x="25"/>
        <item x="111"/>
        <item x="116"/>
        <item x="106"/>
        <item x="6"/>
        <item x="134"/>
        <item x="50"/>
        <item x="107"/>
        <item x="74"/>
        <item x="23"/>
        <item x="82"/>
        <item x="129"/>
        <item x="143"/>
        <item x="121"/>
        <item x="89"/>
        <item x="17"/>
        <item x="29"/>
        <item x="61"/>
        <item x="57"/>
        <item x="80"/>
        <item x="66"/>
        <item x="75"/>
        <item x="3"/>
        <item x="140"/>
        <item x="71"/>
        <item x="112"/>
        <item x="83"/>
        <item x="45"/>
        <item x="102"/>
        <item x="131"/>
        <item x="124"/>
        <item x="24"/>
        <item x="119"/>
        <item x="16"/>
        <item x="27"/>
        <item x="15"/>
        <item x="132"/>
        <item x="33"/>
        <item x="4"/>
        <item x="67"/>
        <item t="default"/>
      </items>
    </pivotField>
    <pivotField showAll="0"/>
    <pivotField dragToRow="0" dragToCol="0" dragToPage="0" showAll="0" defaultSubtotal="0"/>
    <pivotField dragToRow="0" dragToCol="0" dragToPage="0" showAll="0" defaultSubtotal="0"/>
  </pivotFields>
  <rowFields count="1">
    <field x="9"/>
  </rowFields>
  <rowItems count="9">
    <i>
      <x/>
    </i>
    <i>
      <x v="1"/>
    </i>
    <i>
      <x v="2"/>
    </i>
    <i>
      <x v="3"/>
    </i>
    <i>
      <x v="4"/>
    </i>
    <i>
      <x v="5"/>
    </i>
    <i>
      <x v="7"/>
    </i>
    <i>
      <x v="8"/>
    </i>
    <i t="grand">
      <x/>
    </i>
  </rowItems>
  <colFields count="1">
    <field x="2"/>
  </colFields>
  <colItems count="3">
    <i>
      <x/>
    </i>
    <i>
      <x v="1"/>
    </i>
    <i t="grand">
      <x/>
    </i>
  </colItems>
  <dataFields count="1">
    <dataField name="Count of PassengerId" fld="0" subtotal="count" baseField="9" baseItem="2"/>
  </dataFields>
  <chartFormats count="16">
    <chartFormat chart="0" format="6" series="1">
      <pivotArea type="data" outline="0" fieldPosition="0">
        <references count="1">
          <reference field="2" count="1" selected="0">
            <x v="0"/>
          </reference>
        </references>
      </pivotArea>
    </chartFormat>
    <chartFormat chart="0" format="7" series="1">
      <pivotArea type="data" outline="0" fieldPosition="0">
        <references count="1">
          <reference field="2" count="1" selected="0">
            <x v="1"/>
          </reference>
        </references>
      </pivotArea>
    </chartFormat>
    <chartFormat chart="0" format="8" series="1">
      <pivotArea type="data" outline="0" fieldPosition="0">
        <references count="2">
          <reference field="4294967294" count="1" selected="0">
            <x v="0"/>
          </reference>
          <reference field="2" count="1" selected="0">
            <x v="1"/>
          </reference>
        </references>
      </pivotArea>
    </chartFormat>
    <chartFormat chart="4" format="12" series="1">
      <pivotArea type="data" outline="0" fieldPosition="0">
        <references count="2">
          <reference field="4294967294" count="1" selected="0">
            <x v="0"/>
          </reference>
          <reference field="2" count="1" selected="0">
            <x v="0"/>
          </reference>
        </references>
      </pivotArea>
    </chartFormat>
    <chartFormat chart="4" format="13" series="1">
      <pivotArea type="data" outline="0" fieldPosition="0">
        <references count="2">
          <reference field="4294967294" count="1" selected="0">
            <x v="0"/>
          </reference>
          <reference field="2" count="1" selected="0">
            <x v="1"/>
          </reference>
        </references>
      </pivotArea>
    </chartFormat>
    <chartFormat chart="0" format="10" series="1">
      <pivotArea type="data" outline="0" fieldPosition="0">
        <references count="2">
          <reference field="4294967294" count="1" selected="0">
            <x v="0"/>
          </reference>
          <reference field="2" count="1" selected="0">
            <x v="0"/>
          </reference>
        </references>
      </pivotArea>
    </chartFormat>
    <chartFormat chart="7" format="16" series="1">
      <pivotArea type="data" outline="0" fieldPosition="0">
        <references count="2">
          <reference field="4294967294" count="1" selected="0">
            <x v="0"/>
          </reference>
          <reference field="2" count="1" selected="0">
            <x v="0"/>
          </reference>
        </references>
      </pivotArea>
    </chartFormat>
    <chartFormat chart="7" format="17" series="1">
      <pivotArea type="data" outline="0" fieldPosition="0">
        <references count="2">
          <reference field="4294967294" count="1" selected="0">
            <x v="0"/>
          </reference>
          <reference field="2" count="1" selected="0">
            <x v="1"/>
          </reference>
        </references>
      </pivotArea>
    </chartFormat>
    <chartFormat chart="8" format="0" series="1">
      <pivotArea type="data" outline="0" fieldPosition="0">
        <references count="2">
          <reference field="4294967294" count="1" selected="0">
            <x v="0"/>
          </reference>
          <reference field="2" count="1" selected="0">
            <x v="0"/>
          </reference>
        </references>
      </pivotArea>
    </chartFormat>
    <chartFormat chart="8" format="1" series="1">
      <pivotArea type="data" outline="0" fieldPosition="0">
        <references count="2">
          <reference field="4294967294" count="1" selected="0">
            <x v="0"/>
          </reference>
          <reference field="2" count="1" selected="0">
            <x v="1"/>
          </reference>
        </references>
      </pivotArea>
    </chartFormat>
    <chartFormat chart="10" format="2" series="1">
      <pivotArea type="data" outline="0" fieldPosition="0">
        <references count="2">
          <reference field="4294967294" count="1" selected="0">
            <x v="0"/>
          </reference>
          <reference field="2" count="1" selected="0">
            <x v="0"/>
          </reference>
        </references>
      </pivotArea>
    </chartFormat>
    <chartFormat chart="10" format="3" series="1">
      <pivotArea type="data" outline="0" fieldPosition="0">
        <references count="2">
          <reference field="4294967294" count="1" selected="0">
            <x v="0"/>
          </reference>
          <reference field="2" count="1" selected="0">
            <x v="1"/>
          </reference>
        </references>
      </pivotArea>
    </chartFormat>
    <chartFormat chart="11" format="4" series="1">
      <pivotArea type="data" outline="0" fieldPosition="0">
        <references count="2">
          <reference field="4294967294" count="1" selected="0">
            <x v="0"/>
          </reference>
          <reference field="2" count="1" selected="0">
            <x v="0"/>
          </reference>
        </references>
      </pivotArea>
    </chartFormat>
    <chartFormat chart="11" format="5" series="1">
      <pivotArea type="data" outline="0" fieldPosition="0">
        <references count="2">
          <reference field="4294967294" count="1" selected="0">
            <x v="0"/>
          </reference>
          <reference field="2" count="1" selected="0">
            <x v="1"/>
          </reference>
        </references>
      </pivotArea>
    </chartFormat>
    <chartFormat chart="12" format="4" series="1">
      <pivotArea type="data" outline="0" fieldPosition="0">
        <references count="2">
          <reference field="4294967294" count="1" selected="0">
            <x v="0"/>
          </reference>
          <reference field="2" count="1" selected="0">
            <x v="0"/>
          </reference>
        </references>
      </pivotArea>
    </chartFormat>
    <chartFormat chart="1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83245E-1629-4012-81A0-2989705FB2A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9" firstHeaderRow="1" firstDataRow="2" firstDataCol="1"/>
  <pivotFields count="22">
    <pivotField dataField="1" showAll="0"/>
    <pivotField showAll="0"/>
    <pivotField axis="axisCol" showAll="0">
      <items count="3">
        <item x="0"/>
        <item x="1"/>
        <item t="default"/>
      </items>
    </pivotField>
    <pivotField showAll="0"/>
    <pivotField showAll="0"/>
    <pivotField showAll="0"/>
    <pivotField showAll="0"/>
    <pivotField showAll="0">
      <items count="3">
        <item x="1"/>
        <item x="0"/>
        <item t="default"/>
      </items>
    </pivotField>
    <pivotField showAll="0"/>
    <pivotField showAll="0">
      <items count="10">
        <item x="7"/>
        <item x="3"/>
        <item x="4"/>
        <item x="0"/>
        <item x="1"/>
        <item x="5"/>
        <item x="2"/>
        <item x="6"/>
        <item m="1" x="8"/>
        <item t="default"/>
      </items>
    </pivotField>
    <pivotField showAll="0"/>
    <pivotField showAll="0"/>
    <pivotField showAll="0">
      <items count="10">
        <item x="1"/>
        <item x="0"/>
        <item x="3"/>
        <item x="6"/>
        <item x="2"/>
        <item x="5"/>
        <item x="4"/>
        <item x="7"/>
        <item x="8"/>
        <item t="default"/>
      </items>
    </pivotField>
    <pivotField showAll="0"/>
    <pivotField showAll="0"/>
    <pivotField showAll="0"/>
    <pivotField showAll="0"/>
    <pivotField showAll="0">
      <items count="5">
        <item x="3"/>
        <item x="0"/>
        <item x="2"/>
        <item x="1"/>
        <item t="default"/>
      </items>
    </pivotField>
    <pivotField showAll="0">
      <items count="149">
        <item x="0"/>
        <item x="101"/>
        <item x="84"/>
        <item x="98"/>
        <item x="51"/>
        <item x="104"/>
        <item x="108"/>
        <item x="144"/>
        <item x="110"/>
        <item x="37"/>
        <item x="34"/>
        <item x="76"/>
        <item x="137"/>
        <item x="18"/>
        <item x="7"/>
        <item x="31"/>
        <item x="125"/>
        <item x="138"/>
        <item x="63"/>
        <item x="30"/>
        <item x="118"/>
        <item x="95"/>
        <item x="13"/>
        <item x="133"/>
        <item x="11"/>
        <item x="70"/>
        <item x="85"/>
        <item x="93"/>
        <item x="94"/>
        <item x="35"/>
        <item x="103"/>
        <item x="146"/>
        <item x="52"/>
        <item x="117"/>
        <item x="109"/>
        <item x="115"/>
        <item x="59"/>
        <item x="22"/>
        <item x="139"/>
        <item x="114"/>
        <item x="91"/>
        <item x="44"/>
        <item x="9"/>
        <item x="88"/>
        <item x="36"/>
        <item x="135"/>
        <item x="26"/>
        <item x="46"/>
        <item x="73"/>
        <item x="99"/>
        <item x="5"/>
        <item x="77"/>
        <item x="55"/>
        <item x="21"/>
        <item x="78"/>
        <item x="49"/>
        <item x="2"/>
        <item x="64"/>
        <item x="47"/>
        <item x="113"/>
        <item x="68"/>
        <item x="147"/>
        <item x="28"/>
        <item x="54"/>
        <item x="8"/>
        <item x="86"/>
        <item x="62"/>
        <item x="123"/>
        <item x="127"/>
        <item x="141"/>
        <item x="32"/>
        <item x="145"/>
        <item x="12"/>
        <item x="58"/>
        <item x="120"/>
        <item x="56"/>
        <item x="100"/>
        <item x="60"/>
        <item x="97"/>
        <item x="41"/>
        <item x="72"/>
        <item x="14"/>
        <item x="1"/>
        <item x="96"/>
        <item x="43"/>
        <item x="122"/>
        <item x="65"/>
        <item x="79"/>
        <item x="40"/>
        <item x="92"/>
        <item x="48"/>
        <item x="53"/>
        <item x="19"/>
        <item x="130"/>
        <item x="39"/>
        <item x="136"/>
        <item x="105"/>
        <item x="87"/>
        <item x="81"/>
        <item x="20"/>
        <item x="142"/>
        <item x="128"/>
        <item x="10"/>
        <item x="42"/>
        <item x="38"/>
        <item x="69"/>
        <item x="126"/>
        <item x="90"/>
        <item x="25"/>
        <item x="111"/>
        <item x="116"/>
        <item x="106"/>
        <item x="6"/>
        <item x="134"/>
        <item x="50"/>
        <item x="107"/>
        <item x="74"/>
        <item x="23"/>
        <item x="82"/>
        <item x="129"/>
        <item x="143"/>
        <item x="121"/>
        <item x="89"/>
        <item x="17"/>
        <item x="29"/>
        <item x="61"/>
        <item x="57"/>
        <item x="80"/>
        <item x="66"/>
        <item x="75"/>
        <item x="3"/>
        <item x="140"/>
        <item x="71"/>
        <item x="112"/>
        <item x="83"/>
        <item x="45"/>
        <item x="102"/>
        <item x="131"/>
        <item x="124"/>
        <item x="24"/>
        <item x="119"/>
        <item x="16"/>
        <item x="27"/>
        <item x="15"/>
        <item x="132"/>
        <item x="33"/>
        <item x="4"/>
        <item x="67"/>
        <item t="default"/>
      </items>
    </pivotField>
    <pivotField axis="axisRow" showAll="0">
      <items count="6">
        <item m="1" x="4"/>
        <item x="1"/>
        <item x="2"/>
        <item x="0"/>
        <item x="3"/>
        <item t="default"/>
      </items>
    </pivotField>
    <pivotField dragToRow="0" dragToCol="0" dragToPage="0" showAll="0" defaultSubtotal="0"/>
    <pivotField dragToRow="0" dragToCol="0" dragToPage="0" showAll="0" defaultSubtotal="0"/>
  </pivotFields>
  <rowFields count="1">
    <field x="19"/>
  </rowFields>
  <rowItems count="5">
    <i>
      <x v="1"/>
    </i>
    <i>
      <x v="2"/>
    </i>
    <i>
      <x v="3"/>
    </i>
    <i>
      <x v="4"/>
    </i>
    <i t="grand">
      <x/>
    </i>
  </rowItems>
  <colFields count="1">
    <field x="2"/>
  </colFields>
  <colItems count="3">
    <i>
      <x/>
    </i>
    <i>
      <x v="1"/>
    </i>
    <i t="grand">
      <x/>
    </i>
  </colItems>
  <dataFields count="1">
    <dataField name="Count of PassengerId" fld="0" subtotal="count" baseField="17"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 chart="7" format="8" series="1">
      <pivotArea type="data" outline="0" fieldPosition="0">
        <references count="2">
          <reference field="4294967294" count="1" selected="0">
            <x v="0"/>
          </reference>
          <reference field="2" count="1" selected="0">
            <x v="0"/>
          </reference>
        </references>
      </pivotArea>
    </chartFormat>
    <chartFormat chart="7" format="9"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A754BE-DB15-4524-90F1-8C9DE0D0C56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14" firstHeaderRow="1" firstDataRow="2" firstDataCol="1"/>
  <pivotFields count="22">
    <pivotField dataField="1" showAll="0"/>
    <pivotField showAll="0"/>
    <pivotField axis="axisCol" showAll="0">
      <items count="3">
        <item x="0"/>
        <item x="1"/>
        <item t="default"/>
      </items>
    </pivotField>
    <pivotField showAll="0"/>
    <pivotField showAll="0"/>
    <pivotField showAll="0"/>
    <pivotField showAll="0"/>
    <pivotField showAll="0">
      <items count="3">
        <item x="1"/>
        <item x="0"/>
        <item t="default"/>
      </items>
    </pivotField>
    <pivotField showAll="0"/>
    <pivotField showAll="0">
      <items count="10">
        <item x="7"/>
        <item x="3"/>
        <item x="4"/>
        <item x="0"/>
        <item x="1"/>
        <item x="5"/>
        <item x="2"/>
        <item x="6"/>
        <item m="1" x="8"/>
        <item t="default"/>
      </items>
    </pivotField>
    <pivotField showAll="0"/>
    <pivotField showAll="0"/>
    <pivotField axis="axisRow" showAll="0">
      <items count="10">
        <item x="1"/>
        <item x="0"/>
        <item x="3"/>
        <item x="6"/>
        <item x="2"/>
        <item x="5"/>
        <item x="4"/>
        <item x="7"/>
        <item x="8"/>
        <item t="default"/>
      </items>
    </pivotField>
    <pivotField showAll="0"/>
    <pivotField showAll="0"/>
    <pivotField showAll="0"/>
    <pivotField showAll="0"/>
    <pivotField showAll="0">
      <items count="5">
        <item x="3"/>
        <item x="0"/>
        <item x="2"/>
        <item x="1"/>
        <item t="default"/>
      </items>
    </pivotField>
    <pivotField showAll="0">
      <items count="149">
        <item x="0"/>
        <item x="101"/>
        <item x="84"/>
        <item x="98"/>
        <item x="51"/>
        <item x="104"/>
        <item x="108"/>
        <item x="144"/>
        <item x="110"/>
        <item x="37"/>
        <item x="34"/>
        <item x="76"/>
        <item x="137"/>
        <item x="18"/>
        <item x="7"/>
        <item x="31"/>
        <item x="125"/>
        <item x="138"/>
        <item x="63"/>
        <item x="30"/>
        <item x="118"/>
        <item x="95"/>
        <item x="13"/>
        <item x="133"/>
        <item x="11"/>
        <item x="70"/>
        <item x="85"/>
        <item x="93"/>
        <item x="94"/>
        <item x="35"/>
        <item x="103"/>
        <item x="146"/>
        <item x="52"/>
        <item x="117"/>
        <item x="109"/>
        <item x="115"/>
        <item x="59"/>
        <item x="22"/>
        <item x="139"/>
        <item x="114"/>
        <item x="91"/>
        <item x="44"/>
        <item x="9"/>
        <item x="88"/>
        <item x="36"/>
        <item x="135"/>
        <item x="26"/>
        <item x="46"/>
        <item x="73"/>
        <item x="99"/>
        <item x="5"/>
        <item x="77"/>
        <item x="55"/>
        <item x="21"/>
        <item x="78"/>
        <item x="49"/>
        <item x="2"/>
        <item x="64"/>
        <item x="47"/>
        <item x="113"/>
        <item x="68"/>
        <item x="147"/>
        <item x="28"/>
        <item x="54"/>
        <item x="8"/>
        <item x="86"/>
        <item x="62"/>
        <item x="123"/>
        <item x="127"/>
        <item x="141"/>
        <item x="32"/>
        <item x="145"/>
        <item x="12"/>
        <item x="58"/>
        <item x="120"/>
        <item x="56"/>
        <item x="100"/>
        <item x="60"/>
        <item x="97"/>
        <item x="41"/>
        <item x="72"/>
        <item x="14"/>
        <item x="1"/>
        <item x="96"/>
        <item x="43"/>
        <item x="122"/>
        <item x="65"/>
        <item x="79"/>
        <item x="40"/>
        <item x="92"/>
        <item x="48"/>
        <item x="53"/>
        <item x="19"/>
        <item x="130"/>
        <item x="39"/>
        <item x="136"/>
        <item x="105"/>
        <item x="87"/>
        <item x="81"/>
        <item x="20"/>
        <item x="142"/>
        <item x="128"/>
        <item x="10"/>
        <item x="42"/>
        <item x="38"/>
        <item x="69"/>
        <item x="126"/>
        <item x="90"/>
        <item x="25"/>
        <item x="111"/>
        <item x="116"/>
        <item x="106"/>
        <item x="6"/>
        <item x="134"/>
        <item x="50"/>
        <item x="107"/>
        <item x="74"/>
        <item x="23"/>
        <item x="82"/>
        <item x="129"/>
        <item x="143"/>
        <item x="121"/>
        <item x="89"/>
        <item x="17"/>
        <item x="29"/>
        <item x="61"/>
        <item x="57"/>
        <item x="80"/>
        <item x="66"/>
        <item x="75"/>
        <item x="3"/>
        <item x="140"/>
        <item x="71"/>
        <item x="112"/>
        <item x="83"/>
        <item x="45"/>
        <item x="102"/>
        <item x="131"/>
        <item x="124"/>
        <item x="24"/>
        <item x="119"/>
        <item x="16"/>
        <item x="27"/>
        <item x="15"/>
        <item x="132"/>
        <item x="33"/>
        <item x="4"/>
        <item x="67"/>
        <item t="default"/>
      </items>
    </pivotField>
    <pivotField showAll="0"/>
    <pivotField dragToRow="0" dragToCol="0" dragToPage="0" showAll="0" defaultSubtotal="0"/>
    <pivotField dragToRow="0" dragToCol="0" dragToPage="0" showAll="0" defaultSubtotal="0"/>
  </pivotFields>
  <rowFields count="1">
    <field x="12"/>
  </rowFields>
  <rowItems count="10">
    <i>
      <x/>
    </i>
    <i>
      <x v="1"/>
    </i>
    <i>
      <x v="2"/>
    </i>
    <i>
      <x v="3"/>
    </i>
    <i>
      <x v="4"/>
    </i>
    <i>
      <x v="5"/>
    </i>
    <i>
      <x v="6"/>
    </i>
    <i>
      <x v="7"/>
    </i>
    <i>
      <x v="8"/>
    </i>
    <i t="grand">
      <x/>
    </i>
  </rowItems>
  <colFields count="1">
    <field x="2"/>
  </colFields>
  <colItems count="3">
    <i>
      <x/>
    </i>
    <i>
      <x v="1"/>
    </i>
    <i t="grand">
      <x/>
    </i>
  </colItems>
  <dataFields count="1">
    <dataField name="Count of PassengerId" fld="0" subtotal="count" baseField="12"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 chart="7" format="8" series="1">
      <pivotArea type="data" outline="0" fieldPosition="0">
        <references count="2">
          <reference field="4294967294" count="1" selected="0">
            <x v="0"/>
          </reference>
          <reference field="2" count="1" selected="0">
            <x v="0"/>
          </reference>
        </references>
      </pivotArea>
    </chartFormat>
    <chartFormat chart="7" format="9"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A0486E8-296F-4341-AE78-A7E2769F39FF}" autoFormatId="16" applyNumberFormats="0" applyBorderFormats="0" applyFontFormats="0" applyPatternFormats="0" applyAlignmentFormats="0" applyWidthHeightFormats="0">
  <queryTableRefresh nextId="21">
    <queryTableFields count="20">
      <queryTableField id="1" name="PassengerId" tableColumnId="1"/>
      <queryTableField id="2" name="Survived" tableColumnId="2"/>
      <queryTableField id="13" dataBound="0" tableColumnId="16"/>
      <queryTableField id="3" name="Pclass" tableColumnId="3"/>
      <queryTableField id="18" dataBound="0" tableColumnId="17"/>
      <queryTableField id="4" name="Name" tableColumnId="4"/>
      <queryTableField id="14" dataBound="0" tableColumnId="18"/>
      <queryTableField id="5" name="Sex" tableColumnId="5"/>
      <queryTableField id="6" name="Age" tableColumnId="6"/>
      <queryTableField id="15" dataBound="0" tableColumnId="19"/>
      <queryTableField id="7" name="SibSp" tableColumnId="7"/>
      <queryTableField id="8" name="Parch" tableColumnId="8"/>
      <queryTableField id="16" dataBound="0" tableColumnId="13"/>
      <queryTableField id="9" name="Ticket" tableColumnId="9"/>
      <queryTableField id="10" name="Fare" tableColumnId="10"/>
      <queryTableField id="19" dataBound="0" tableColumnId="15"/>
      <queryTableField id="20" dataBound="0" tableColumnId="20"/>
      <queryTableField id="17" dataBound="0" tableColumnId="14"/>
      <queryTableField id="11" name="Cabin" tableColumnId="11"/>
      <queryTableField id="12" name="Embarked"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769CFED7-837E-49CA-9F4C-C6B22ED067BC}" sourceName="Sex">
  <pivotTables>
    <pivotTable tabId="3" name="PivotTable1"/>
    <pivotTable tabId="7" name="PivotTable13"/>
    <pivotTable tabId="8" name="PivotTable14"/>
    <pivotTable tabId="5" name="PivotTable2"/>
    <pivotTable tabId="4" name="PivotTable1"/>
  </pivotTables>
  <data>
    <tabular pivotCacheId="138702542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62502511-6A05-46D3-8CDB-75A53A50C06A}" sourceName="Age Group">
  <pivotTables>
    <pivotTable tabId="4" name="PivotTable1"/>
    <pivotTable tabId="8" name="PivotTable14"/>
    <pivotTable tabId="3" name="PivotTable1"/>
    <pivotTable tabId="7" name="PivotTable13"/>
    <pivotTable tabId="5" name="PivotTable2"/>
  </pivotTables>
  <data>
    <tabular pivotCacheId="1387025426">
      <items count="9">
        <i x="7" s="1"/>
        <i x="3" s="1"/>
        <i x="4" s="1"/>
        <i x="0" s="1"/>
        <i x="1" s="1"/>
        <i x="5" s="1"/>
        <i x="2" s="1"/>
        <i x="6" s="1"/>
        <i x="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ir_group" xr10:uid="{2E447B23-B57E-4CEF-9DD3-CE2F7B6984A0}" sourceName="fair group">
  <pivotTables>
    <pivotTable tabId="8" name="PivotTable14"/>
    <pivotTable tabId="7" name="PivotTable13"/>
    <pivotTable tabId="5" name="PivotTable2"/>
    <pivotTable tabId="3" name="PivotTable1"/>
    <pivotTable tabId="4" name="PivotTable1"/>
  </pivotTables>
  <data>
    <tabular pivotCacheId="1387025426">
      <items count="4">
        <i x="3" s="1"/>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mily_Size" xr10:uid="{3A694685-A402-47C7-9769-65B3E9BB336C}" sourceName="Family Size">
  <pivotTables>
    <pivotTable tabId="4" name="PivotTable1"/>
    <pivotTable tabId="8" name="PivotTable14"/>
    <pivotTable tabId="3" name="PivotTable1"/>
    <pivotTable tabId="7" name="PivotTable13"/>
    <pivotTable tabId="5" name="PivotTable2"/>
  </pivotTables>
  <data>
    <tabular pivotCacheId="1387025426">
      <items count="9">
        <i x="1" s="1"/>
        <i x="0" s="1"/>
        <i x="3" s="1"/>
        <i x="6" s="1"/>
        <i x="2" s="1"/>
        <i x="5" s="1"/>
        <i x="4" s="1"/>
        <i x="7"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bin" xr10:uid="{8EFCAFDF-2614-4FAC-820B-D807CDB00480}" sourceName="Cabin">
  <pivotTables>
    <pivotTable tabId="8" name="PivotTable14"/>
    <pivotTable tabId="4" name="PivotTable1"/>
    <pivotTable tabId="3" name="PivotTable1"/>
    <pivotTable tabId="5" name="PivotTable2"/>
    <pivotTable tabId="7" name="PivotTable13"/>
  </pivotTables>
  <data>
    <tabular pivotCacheId="1387025426">
      <items count="148">
        <i x="0" s="1"/>
        <i x="101" s="1"/>
        <i x="84" s="1"/>
        <i x="98" s="1"/>
        <i x="51" s="1"/>
        <i x="104" s="1"/>
        <i x="108" s="1"/>
        <i x="144" s="1"/>
        <i x="110" s="1"/>
        <i x="37" s="1"/>
        <i x="34" s="1"/>
        <i x="76" s="1"/>
        <i x="137" s="1"/>
        <i x="18" s="1"/>
        <i x="7" s="1"/>
        <i x="31" s="1"/>
        <i x="125" s="1"/>
        <i x="138" s="1"/>
        <i x="63" s="1"/>
        <i x="30" s="1"/>
        <i x="118" s="1"/>
        <i x="95" s="1"/>
        <i x="13" s="1"/>
        <i x="133" s="1"/>
        <i x="11" s="1"/>
        <i x="70" s="1"/>
        <i x="85" s="1"/>
        <i x="93" s="1"/>
        <i x="94" s="1"/>
        <i x="35" s="1"/>
        <i x="103" s="1"/>
        <i x="146" s="1"/>
        <i x="52" s="1"/>
        <i x="117" s="1"/>
        <i x="109" s="1"/>
        <i x="115" s="1"/>
        <i x="59" s="1"/>
        <i x="22" s="1"/>
        <i x="139" s="1"/>
        <i x="114" s="1"/>
        <i x="91" s="1"/>
        <i x="44" s="1"/>
        <i x="9" s="1"/>
        <i x="88" s="1"/>
        <i x="36" s="1"/>
        <i x="135" s="1"/>
        <i x="26" s="1"/>
        <i x="46" s="1"/>
        <i x="73" s="1"/>
        <i x="99" s="1"/>
        <i x="5" s="1"/>
        <i x="77" s="1"/>
        <i x="55" s="1"/>
        <i x="21" s="1"/>
        <i x="78" s="1"/>
        <i x="49" s="1"/>
        <i x="2" s="1"/>
        <i x="64" s="1"/>
        <i x="47" s="1"/>
        <i x="113" s="1"/>
        <i x="68" s="1"/>
        <i x="147" s="1"/>
        <i x="28" s="1"/>
        <i x="54" s="1"/>
        <i x="8" s="1"/>
        <i x="86" s="1"/>
        <i x="62" s="1"/>
        <i x="123" s="1"/>
        <i x="127" s="1"/>
        <i x="141" s="1"/>
        <i x="32" s="1"/>
        <i x="145" s="1"/>
        <i x="12" s="1"/>
        <i x="58" s="1"/>
        <i x="120" s="1"/>
        <i x="56" s="1"/>
        <i x="100" s="1"/>
        <i x="60" s="1"/>
        <i x="97" s="1"/>
        <i x="41" s="1"/>
        <i x="72" s="1"/>
        <i x="14" s="1"/>
        <i x="1" s="1"/>
        <i x="96" s="1"/>
        <i x="43" s="1"/>
        <i x="122" s="1"/>
        <i x="65" s="1"/>
        <i x="79" s="1"/>
        <i x="40" s="1"/>
        <i x="92" s="1"/>
        <i x="48" s="1"/>
        <i x="53" s="1"/>
        <i x="19" s="1"/>
        <i x="130" s="1"/>
        <i x="39" s="1"/>
        <i x="136" s="1"/>
        <i x="105" s="1"/>
        <i x="87" s="1"/>
        <i x="81" s="1"/>
        <i x="20" s="1"/>
        <i x="142" s="1"/>
        <i x="128" s="1"/>
        <i x="10" s="1"/>
        <i x="42" s="1"/>
        <i x="38" s="1"/>
        <i x="69" s="1"/>
        <i x="126" s="1"/>
        <i x="90" s="1"/>
        <i x="25" s="1"/>
        <i x="111" s="1"/>
        <i x="116" s="1"/>
        <i x="106" s="1"/>
        <i x="6" s="1"/>
        <i x="134" s="1"/>
        <i x="50" s="1"/>
        <i x="107" s="1"/>
        <i x="74" s="1"/>
        <i x="23" s="1"/>
        <i x="82" s="1"/>
        <i x="129" s="1"/>
        <i x="143" s="1"/>
        <i x="121" s="1"/>
        <i x="89" s="1"/>
        <i x="17" s="1"/>
        <i x="29" s="1"/>
        <i x="61" s="1"/>
        <i x="57" s="1"/>
        <i x="80" s="1"/>
        <i x="66" s="1"/>
        <i x="75" s="1"/>
        <i x="3" s="1"/>
        <i x="140" s="1"/>
        <i x="71" s="1"/>
        <i x="112" s="1"/>
        <i x="83" s="1"/>
        <i x="45" s="1"/>
        <i x="102" s="1"/>
        <i x="131" s="1"/>
        <i x="124" s="1"/>
        <i x="24" s="1"/>
        <i x="119" s="1"/>
        <i x="16" s="1"/>
        <i x="27" s="1"/>
        <i x="15" s="1"/>
        <i x="132" s="1"/>
        <i x="33" s="1"/>
        <i x="4" s="1"/>
        <i x="6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301723C0-AA90-4A5D-ADC4-56364DEFB649}" cache="Slicer_Sex" caption="Sex"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2B0AE3B2-8758-4EA4-A704-9113DBEBA33B}" cache="Slicer_Age_Group" caption="Age Group"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ir group" xr10:uid="{5AD16907-C996-4889-A041-E645343C283F}" cache="Slicer_fair_group" caption="fair group"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1" xr10:uid="{107C0759-646B-4916-B38A-0CD587282352}" cache="Slicer_Sex" caption="Sex" rowHeight="257175"/>
  <slicer name="Age Group 1" xr10:uid="{522627C5-E23D-46DF-BE40-B68FBD5C7471}" cache="Slicer_Age_Group" caption="Age Group" rowHeight="257175"/>
  <slicer name="fair group 1" xr10:uid="{ACF6A7AB-9699-49DD-832C-5B86A21163B1}" cache="Slicer_fair_group" caption="fair group" rowHeight="257175"/>
  <slicer name="Family Size" xr10:uid="{B4AEEE04-4BF5-48D8-BEA3-1F317477EFB9}" cache="Slicer_Family_Size" caption="Family Size" rowHeight="257175"/>
  <slicer name="Cabin" xr10:uid="{4BD4E14F-AE55-44A7-950E-39464F5F68DE}" cache="Slicer_Cabin" caption="Cabin"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2" xr10:uid="{D8598E44-F354-4D1B-B738-569AB8BB7CEF}" cache="Slicer_Sex" caption="Sex" rowHeight="257175"/>
  <slicer name="Sex 3" xr10:uid="{36D95436-E475-4E61-BE61-D64C9E813D89}" cache="Slicer_Sex" caption="Sex" rowHeight="257175"/>
  <slicer name="Sex 4" xr10:uid="{AFCC9494-58C3-4325-A671-BFC247034B7E}" cache="Slicer_Sex" caption="Sex" rowHeight="257175"/>
  <slicer name="Age Group 2" xr10:uid="{E2E19049-72CC-41D5-B29A-DA1584C57D67}" cache="Slicer_Age_Group" caption="Age Group" rowHeight="257175"/>
  <slicer name="Age Group 3" xr10:uid="{E49E991B-480E-4657-9B6A-B6A6461A0FEA}" cache="Slicer_Age_Group" caption="Age Group" rowHeight="257175"/>
  <slicer name="Age Group 4" xr10:uid="{7EAEFA9A-B3C2-4568-96CB-C82C258C31E6}" cache="Slicer_Age_Group" caption="Age Group" rowHeight="257175"/>
  <slicer name="fair group 2" xr10:uid="{DB83BDD4-15C8-47CE-91CF-65420C7CF72F}" cache="Slicer_fair_group" caption="fair group" rowHeight="257175"/>
  <slicer name="fair group 3" xr10:uid="{C36B1B04-FBB1-45E7-9BFA-59ADF18F39B6}" cache="Slicer_fair_group" caption="fair group" rowHeight="257175"/>
  <slicer name="fair group 4" xr10:uid="{103824A0-7759-4E6E-A114-E9E81EB66E51}" cache="Slicer_fair_group" caption="fair group" rowHeight="257175"/>
  <slicer name="Family Size 1" xr10:uid="{3A64FC49-7392-45B9-964E-6E3BF3F2A5B1}" cache="Slicer_Family_Size" caption="Family Size" rowHeight="257175"/>
  <slicer name="Family Size 2" xr10:uid="{B4D9F422-ECB5-40D6-BC74-594A37962AF2}" cache="Slicer_Family_Size" caption="Family Size" rowHeight="257175"/>
  <slicer name="Family Size 3" xr10:uid="{75474965-571C-4F09-8A71-243054211C3C}" cache="Slicer_Family_Size" caption="Family Size" rowHeight="257175"/>
  <slicer name="Cabin 1" xr10:uid="{55C6CA48-2F80-40C8-87F4-5158803CC720}" cache="Slicer_Cabin" caption="Cabin" startItem="8" rowHeight="257175"/>
  <slicer name="Cabin 2" xr10:uid="{D4B1E04C-F586-4631-9378-2089F82E09E4}" cache="Slicer_Cabin" caption="Cabin" startItem="8" rowHeight="257175"/>
  <slicer name="Cabin 3" xr10:uid="{B8DDBDF2-601F-456A-9AC4-08EAF765AA28}" cache="Slicer_Cabin" caption="Cabin" startItem="8"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B0EF95-25B9-45F3-BC28-62CC1789A3A6}" name="Titanic_Dataset" displayName="Titanic_Dataset" ref="A1:T892" tableType="queryTable" totalsRowShown="0">
  <autoFilter ref="A1:T892" xr:uid="{63B0EF95-25B9-45F3-BC28-62CC1789A3A6}"/>
  <tableColumns count="20">
    <tableColumn id="1" xr3:uid="{53A7F1A0-14D4-49EB-80A6-7D1686218619}" uniqueName="1" name="PassengerId" queryTableFieldId="1"/>
    <tableColumn id="2" xr3:uid="{B8403276-2463-41AF-946F-2367941FB258}" uniqueName="2" name="Survived" queryTableFieldId="2"/>
    <tableColumn id="16" xr3:uid="{9FC9CCAC-D2EE-4D66-B464-87D81E850D68}" uniqueName="16" name="survived label" queryTableFieldId="13" dataDxfId="16">
      <calculatedColumnFormula>IF(Titanic_Dataset[[#This Row],[Survived]]=1,"Survived","Died")</calculatedColumnFormula>
    </tableColumn>
    <tableColumn id="3" xr3:uid="{05A44D71-4EBA-4FC4-8141-CD574E88780E}" uniqueName="3" name="Pclass" queryTableFieldId="3"/>
    <tableColumn id="17" xr3:uid="{191CB8A6-442B-4850-B8D3-580370B9FD1A}" uniqueName="17" name="class label" queryTableFieldId="18" dataDxfId="15">
      <calculatedColumnFormula>IF(Titanic_Dataset[[#This Row],[Pclass]]=1,"1st",IF(Titanic_Dataset[[#This Row],[Pclass]]=2,"2nd",IF(Titanic_Dataset[[#This Row],[Pclass]]=3,"3rd")))</calculatedColumnFormula>
    </tableColumn>
    <tableColumn id="4" xr3:uid="{3ADC0E7F-A137-4F69-9870-2EA2CCC6F454}" uniqueName="4" name="Name" queryTableFieldId="4" dataDxfId="14"/>
    <tableColumn id="18" xr3:uid="{B355FA62-16C6-4D8E-AB49-58B7832279AF}" uniqueName="18" name="Title" queryTableFieldId="14" dataDxfId="13">
      <calculatedColumnFormula>TRIM(MID(Titanic_Dataset[[#This Row],[Name]],
FIND(",",Titanic_Dataset[[#This Row],[Name]])+2,
FIND(".",Titanic_Dataset[[#This Row],[Name]],FIND(",",Titanic_Dataset[[#This Row],[Name]]))-FIND(",",Titanic_Dataset[[#This Row],[Name]])-1))</calculatedColumnFormula>
    </tableColumn>
    <tableColumn id="5" xr3:uid="{F2BA8F21-1BB8-4ECB-A57A-6330EC25A4AE}" uniqueName="5" name="Sex" queryTableFieldId="5" dataDxfId="12"/>
    <tableColumn id="6" xr3:uid="{F378059C-6C50-4FE7-892D-78B248432308}" uniqueName="6" name="Age" queryTableFieldId="6"/>
    <tableColumn id="19" xr3:uid="{2C818F76-8C5B-4EDE-B931-BDA72B2B5FFD}" uniqueName="19" name="Age Group" queryTableFieldId="15" dataDxfId="11">
      <calculatedColumnFormula>IF(Titanic_Dataset[[#This Row],[Age]]&lt;12,"0-11",
IF(Titanic_Dataset[[#This Row],[Age]]&lt;20,"12-19",
IF(Titanic_Dataset[[#This Row],[Age]]&lt;30,"20-29",
IF(Titanic_Dataset[[#This Row],[Age]]&lt;40,"30-39",
IF(Titanic_Dataset[[#This Row],[Age]]&lt;50,"40-49",
IF(Titanic_Dataset[[#This Row],[Age]]&lt;60,"50-59",
IF(Titanic_Dataset[[#This Row],[Age]]&lt;70,"60-69",)))))))</calculatedColumnFormula>
    </tableColumn>
    <tableColumn id="7" xr3:uid="{86143BFE-955A-4193-BFF5-C36F77A05C7C}" uniqueName="7" name="SibSp" queryTableFieldId="7"/>
    <tableColumn id="8" xr3:uid="{E3584909-8631-4EA4-9B79-A8E294EB12B6}" uniqueName="8" name="Parch" queryTableFieldId="8"/>
    <tableColumn id="13" xr3:uid="{DE2C7C23-057D-4110-9C36-AD57F9D4EBED}" uniqueName="13" name="Family Size" queryTableFieldId="16" dataDxfId="10">
      <calculatedColumnFormula>Titanic_Dataset[[#This Row],[Parch]]+Titanic_Dataset[[#This Row],[SibSp]]</calculatedColumnFormula>
    </tableColumn>
    <tableColumn id="9" xr3:uid="{D7D3F24C-EB44-49ED-A3AA-D13D30BF9F80}" uniqueName="9" name="Ticket" queryTableFieldId="9" dataDxfId="9"/>
    <tableColumn id="10" xr3:uid="{3CAF2BC0-FB65-4143-83F5-D22CEA72C443}" uniqueName="10" name="Fare" queryTableFieldId="10"/>
    <tableColumn id="15" xr3:uid="{8DFBC1E0-D2B5-42D8-A996-50A63E92C01A}" uniqueName="15" name="fair survived" queryTableFieldId="19" dataDxfId="8">
      <calculatedColumnFormula>IF(Titanic_Dataset[[#This Row],[Survived]]=1,Titanic_Dataset[[#This Row],[Fare]],NA())</calculatedColumnFormula>
    </tableColumn>
    <tableColumn id="20" xr3:uid="{3FEC932D-57B0-4AFE-B068-22B5CD506FB8}" uniqueName="20" name="fair died" queryTableFieldId="20" dataDxfId="7">
      <calculatedColumnFormula>IF(Titanic_Dataset[[#This Row],[Survived]]=0,Titanic_Dataset[[#This Row],[Fare]],NA())</calculatedColumnFormula>
    </tableColumn>
    <tableColumn id="14" xr3:uid="{964B3137-6F1E-49F7-8C1E-133745515C7C}" uniqueName="14" name="fair group" queryTableFieldId="17" dataDxfId="6">
      <calculatedColumnFormula>VLOOKUP(Titanic_Dataset[[#This Row],[Fare]],Table2[],2,TRUE)</calculatedColumnFormula>
    </tableColumn>
    <tableColumn id="11" xr3:uid="{201B1685-68B0-40F2-95F8-4C6301B55BE0}" uniqueName="11" name="Cabin" queryTableFieldId="11" dataDxfId="5"/>
    <tableColumn id="12" xr3:uid="{8B899FF1-2A3D-4D8C-BB98-96D95299E328}" uniqueName="12" name="Embarked" queryTableFieldId="12" dataDxf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DB7B38-6172-4C1E-AAFB-944FA0D19268}" name="Table2" displayName="Table2" ref="V5:W9" totalsRowShown="0" headerRowDxfId="3" dataDxfId="2">
  <autoFilter ref="V5:W9" xr:uid="{0EDB7B38-6172-4C1E-AAFB-944FA0D19268}"/>
  <tableColumns count="2">
    <tableColumn id="1" xr3:uid="{FBDEFFA1-7879-4DCE-8862-AFB023A5C900}" name="A" dataDxfId="1"/>
    <tableColumn id="2" xr3:uid="{E4F4AACB-6AF7-4B8E-B47D-F6962069CE30}" name="B"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344C8-D8C8-46B7-9C69-B4E07F37D233}">
  <dimension ref="A3:D8"/>
  <sheetViews>
    <sheetView zoomScale="112" zoomScaleNormal="112" workbookViewId="0">
      <selection activeCell="D5" sqref="D5"/>
    </sheetView>
  </sheetViews>
  <sheetFormatPr defaultRowHeight="15" x14ac:dyDescent="0.25"/>
  <cols>
    <col min="1" max="1" width="13.42578125" bestFit="1" customWidth="1"/>
    <col min="2" max="2" width="16.85546875" bestFit="1" customWidth="1"/>
    <col min="3" max="3" width="8.85546875" bestFit="1" customWidth="1"/>
    <col min="4" max="4" width="11.28515625" bestFit="1" customWidth="1"/>
    <col min="5" max="5" width="12.7109375" bestFit="1" customWidth="1"/>
    <col min="6" max="6" width="25.7109375" bestFit="1" customWidth="1"/>
    <col min="7" max="7" width="17.85546875" bestFit="1" customWidth="1"/>
  </cols>
  <sheetData>
    <row r="3" spans="1:4" x14ac:dyDescent="0.25">
      <c r="A3" s="3" t="s">
        <v>1761</v>
      </c>
      <c r="B3" s="3" t="s">
        <v>1756</v>
      </c>
    </row>
    <row r="4" spans="1:4" x14ac:dyDescent="0.25">
      <c r="A4" s="3" t="s">
        <v>1753</v>
      </c>
      <c r="B4" t="s">
        <v>1754</v>
      </c>
      <c r="C4" t="s">
        <v>1</v>
      </c>
      <c r="D4" t="s">
        <v>1755</v>
      </c>
    </row>
    <row r="5" spans="1:4" x14ac:dyDescent="0.25">
      <c r="A5" s="4" t="s">
        <v>1757</v>
      </c>
      <c r="B5" s="5">
        <v>0.37037037037037035</v>
      </c>
      <c r="C5" s="5">
        <v>0.62962962962962965</v>
      </c>
      <c r="D5" s="5">
        <v>1</v>
      </c>
    </row>
    <row r="6" spans="1:4" x14ac:dyDescent="0.25">
      <c r="A6" s="4" t="s">
        <v>1758</v>
      </c>
      <c r="B6" s="5">
        <v>0.52717391304347827</v>
      </c>
      <c r="C6" s="5">
        <v>0.47282608695652173</v>
      </c>
      <c r="D6" s="5">
        <v>1</v>
      </c>
    </row>
    <row r="7" spans="1:4" x14ac:dyDescent="0.25">
      <c r="A7" s="4" t="s">
        <v>1759</v>
      </c>
      <c r="B7" s="5">
        <v>0.75763747454175157</v>
      </c>
      <c r="C7" s="5">
        <v>0.24236252545824846</v>
      </c>
      <c r="D7" s="5">
        <v>1</v>
      </c>
    </row>
    <row r="8" spans="1:4" x14ac:dyDescent="0.25">
      <c r="A8" s="4" t="s">
        <v>1755</v>
      </c>
      <c r="B8" s="5">
        <v>0.61616161616161613</v>
      </c>
      <c r="C8" s="5">
        <v>0.38383838383838381</v>
      </c>
      <c r="D8" s="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F74A4-054A-420F-A065-896F5C406D46}">
  <dimension ref="A3:D7"/>
  <sheetViews>
    <sheetView workbookViewId="0">
      <selection activeCell="D6" sqref="D6"/>
    </sheetView>
  </sheetViews>
  <sheetFormatPr defaultRowHeight="15" x14ac:dyDescent="0.25"/>
  <cols>
    <col min="1" max="1" width="20.5703125" bestFit="1" customWidth="1"/>
    <col min="2" max="2" width="16.85546875" bestFit="1" customWidth="1"/>
    <col min="3" max="3" width="8.85546875" bestFit="1" customWidth="1"/>
    <col min="4" max="4" width="11.28515625" bestFit="1" customWidth="1"/>
  </cols>
  <sheetData>
    <row r="3" spans="1:4" x14ac:dyDescent="0.25">
      <c r="A3" s="3" t="s">
        <v>1760</v>
      </c>
      <c r="B3" s="3" t="s">
        <v>1756</v>
      </c>
    </row>
    <row r="4" spans="1:4" x14ac:dyDescent="0.25">
      <c r="A4" s="3" t="s">
        <v>1753</v>
      </c>
      <c r="B4" t="s">
        <v>1754</v>
      </c>
      <c r="C4" t="s">
        <v>1</v>
      </c>
      <c r="D4" t="s">
        <v>1755</v>
      </c>
    </row>
    <row r="5" spans="1:4" x14ac:dyDescent="0.25">
      <c r="A5" s="4" t="s">
        <v>18</v>
      </c>
      <c r="B5" s="5">
        <v>0.25796178343949044</v>
      </c>
      <c r="C5" s="5">
        <v>0.7420382165605095</v>
      </c>
      <c r="D5" s="5">
        <v>1</v>
      </c>
    </row>
    <row r="6" spans="1:4" x14ac:dyDescent="0.25">
      <c r="A6" s="4" t="s">
        <v>13</v>
      </c>
      <c r="B6" s="5">
        <v>0.81109185441941078</v>
      </c>
      <c r="C6" s="5">
        <v>0.18890814558058924</v>
      </c>
      <c r="D6" s="5">
        <v>1</v>
      </c>
    </row>
    <row r="7" spans="1:4" x14ac:dyDescent="0.25">
      <c r="A7" s="4" t="s">
        <v>1755</v>
      </c>
      <c r="B7" s="5">
        <v>0.61616161616161613</v>
      </c>
      <c r="C7" s="5">
        <v>0.38383838383838381</v>
      </c>
      <c r="D7" s="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A742E-CF5C-437D-92A0-21A5FC688A69}">
  <dimension ref="A3:D13"/>
  <sheetViews>
    <sheetView workbookViewId="0">
      <selection activeCell="E39" sqref="E39"/>
    </sheetView>
  </sheetViews>
  <sheetFormatPr defaultRowHeight="15" x14ac:dyDescent="0.25"/>
  <cols>
    <col min="1" max="1" width="20.5703125" bestFit="1" customWidth="1"/>
    <col min="2" max="2" width="16.85546875" bestFit="1" customWidth="1"/>
    <col min="3" max="3" width="8.85546875" bestFit="1" customWidth="1"/>
    <col min="4" max="4" width="11.28515625" bestFit="1" customWidth="1"/>
    <col min="5" max="5" width="13.28515625" bestFit="1" customWidth="1"/>
    <col min="6" max="6" width="25.7109375" bestFit="1" customWidth="1"/>
    <col min="7" max="7" width="18.28515625" bestFit="1" customWidth="1"/>
  </cols>
  <sheetData>
    <row r="3" spans="1:4" x14ac:dyDescent="0.25">
      <c r="A3" s="3" t="s">
        <v>1760</v>
      </c>
      <c r="B3" s="3" t="s">
        <v>1756</v>
      </c>
    </row>
    <row r="4" spans="1:4" x14ac:dyDescent="0.25">
      <c r="A4" s="3" t="s">
        <v>1753</v>
      </c>
      <c r="B4" t="s">
        <v>1754</v>
      </c>
      <c r="C4" t="s">
        <v>1</v>
      </c>
      <c r="D4" t="s">
        <v>1755</v>
      </c>
    </row>
    <row r="5" spans="1:4" x14ac:dyDescent="0.25">
      <c r="A5" s="4" t="s">
        <v>1762</v>
      </c>
      <c r="B5" s="1">
        <v>29</v>
      </c>
      <c r="C5" s="1">
        <v>39</v>
      </c>
      <c r="D5" s="1">
        <v>68</v>
      </c>
    </row>
    <row r="6" spans="1:4" x14ac:dyDescent="0.25">
      <c r="A6" s="4" t="s">
        <v>1763</v>
      </c>
      <c r="B6" s="1">
        <v>56</v>
      </c>
      <c r="C6" s="1">
        <v>40</v>
      </c>
      <c r="D6" s="1">
        <v>96</v>
      </c>
    </row>
    <row r="7" spans="1:4" x14ac:dyDescent="0.25">
      <c r="A7" s="4" t="s">
        <v>1771</v>
      </c>
      <c r="B7" s="1">
        <v>268</v>
      </c>
      <c r="C7" s="1">
        <v>129</v>
      </c>
      <c r="D7" s="1">
        <v>397</v>
      </c>
    </row>
    <row r="8" spans="1:4" x14ac:dyDescent="0.25">
      <c r="A8" s="4" t="s">
        <v>1764</v>
      </c>
      <c r="B8" s="1">
        <v>94</v>
      </c>
      <c r="C8" s="1">
        <v>73</v>
      </c>
      <c r="D8" s="1">
        <v>167</v>
      </c>
    </row>
    <row r="9" spans="1:4" x14ac:dyDescent="0.25">
      <c r="A9" s="4" t="s">
        <v>1765</v>
      </c>
      <c r="B9" s="1">
        <v>55</v>
      </c>
      <c r="C9" s="1">
        <v>34</v>
      </c>
      <c r="D9" s="1">
        <v>89</v>
      </c>
    </row>
    <row r="10" spans="1:4" x14ac:dyDescent="0.25">
      <c r="A10" s="4" t="s">
        <v>1766</v>
      </c>
      <c r="B10" s="1">
        <v>28</v>
      </c>
      <c r="C10" s="1">
        <v>20</v>
      </c>
      <c r="D10" s="1">
        <v>48</v>
      </c>
    </row>
    <row r="11" spans="1:4" x14ac:dyDescent="0.25">
      <c r="A11" s="4" t="s">
        <v>1770</v>
      </c>
      <c r="B11" s="1">
        <v>13</v>
      </c>
      <c r="C11" s="1">
        <v>6</v>
      </c>
      <c r="D11" s="1">
        <v>19</v>
      </c>
    </row>
    <row r="12" spans="1:4" x14ac:dyDescent="0.25">
      <c r="A12" s="4">
        <v>0</v>
      </c>
      <c r="B12" s="1">
        <v>6</v>
      </c>
      <c r="C12" s="1">
        <v>1</v>
      </c>
      <c r="D12" s="1">
        <v>7</v>
      </c>
    </row>
    <row r="13" spans="1:4" x14ac:dyDescent="0.25">
      <c r="A13" s="4" t="s">
        <v>1755</v>
      </c>
      <c r="B13" s="1">
        <v>549</v>
      </c>
      <c r="C13" s="1">
        <v>342</v>
      </c>
      <c r="D13" s="1">
        <v>891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FF83-4365-4A8C-8BDA-3361837C95E7}">
  <dimension ref="A3:D9"/>
  <sheetViews>
    <sheetView workbookViewId="0">
      <selection activeCell="C6" sqref="C6"/>
    </sheetView>
  </sheetViews>
  <sheetFormatPr defaultRowHeight="15" x14ac:dyDescent="0.25"/>
  <cols>
    <col min="1" max="1" width="20.5703125" bestFit="1" customWidth="1"/>
    <col min="2" max="2" width="16.85546875" bestFit="1" customWidth="1"/>
    <col min="3" max="3" width="8.85546875" bestFit="1" customWidth="1"/>
    <col min="4" max="4" width="11.28515625" bestFit="1" customWidth="1"/>
  </cols>
  <sheetData>
    <row r="3" spans="1:4" x14ac:dyDescent="0.25">
      <c r="A3" s="3" t="s">
        <v>1760</v>
      </c>
      <c r="B3" s="3" t="s">
        <v>1756</v>
      </c>
    </row>
    <row r="4" spans="1:4" x14ac:dyDescent="0.25">
      <c r="A4" s="3" t="s">
        <v>1753</v>
      </c>
      <c r="B4" t="s">
        <v>1754</v>
      </c>
      <c r="C4" t="s">
        <v>1</v>
      </c>
      <c r="D4" t="s">
        <v>1755</v>
      </c>
    </row>
    <row r="5" spans="1:4" x14ac:dyDescent="0.25">
      <c r="A5" s="4" t="s">
        <v>21</v>
      </c>
      <c r="B5" s="1">
        <v>75</v>
      </c>
      <c r="C5" s="1">
        <v>93</v>
      </c>
      <c r="D5" s="1">
        <v>168</v>
      </c>
    </row>
    <row r="6" spans="1:4" x14ac:dyDescent="0.25">
      <c r="A6" s="4" t="s">
        <v>31</v>
      </c>
      <c r="B6" s="1">
        <v>47</v>
      </c>
      <c r="C6" s="1">
        <v>30</v>
      </c>
      <c r="D6" s="1">
        <v>77</v>
      </c>
    </row>
    <row r="7" spans="1:4" x14ac:dyDescent="0.25">
      <c r="A7" s="4" t="s">
        <v>16</v>
      </c>
      <c r="B7" s="1">
        <v>427</v>
      </c>
      <c r="C7" s="1">
        <v>217</v>
      </c>
      <c r="D7" s="1">
        <v>644</v>
      </c>
    </row>
    <row r="8" spans="1:4" x14ac:dyDescent="0.25">
      <c r="A8" s="4" t="s">
        <v>1769</v>
      </c>
      <c r="B8" s="1"/>
      <c r="C8" s="1">
        <v>2</v>
      </c>
      <c r="D8" s="1">
        <v>2</v>
      </c>
    </row>
    <row r="9" spans="1:4" x14ac:dyDescent="0.25">
      <c r="A9" s="4" t="s">
        <v>1755</v>
      </c>
      <c r="B9" s="1">
        <v>549</v>
      </c>
      <c r="C9" s="1">
        <v>342</v>
      </c>
      <c r="D9" s="1">
        <v>891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32F45-AB6B-43C6-8119-44A5E539B5D2}">
  <dimension ref="A3:D14"/>
  <sheetViews>
    <sheetView topLeftCell="A3" workbookViewId="0">
      <selection activeCell="I38" sqref="I38"/>
    </sheetView>
  </sheetViews>
  <sheetFormatPr defaultRowHeight="15" x14ac:dyDescent="0.25"/>
  <cols>
    <col min="1" max="1" width="20.5703125" bestFit="1" customWidth="1"/>
    <col min="2" max="2" width="16.85546875" bestFit="1" customWidth="1"/>
    <col min="3" max="3" width="8.85546875" bestFit="1" customWidth="1"/>
    <col min="4" max="4" width="11.28515625" bestFit="1" customWidth="1"/>
  </cols>
  <sheetData>
    <row r="3" spans="1:4" x14ac:dyDescent="0.25">
      <c r="A3" s="3" t="s">
        <v>1760</v>
      </c>
      <c r="B3" s="3" t="s">
        <v>1756</v>
      </c>
    </row>
    <row r="4" spans="1:4" x14ac:dyDescent="0.25">
      <c r="A4" s="3" t="s">
        <v>1753</v>
      </c>
      <c r="B4" t="s">
        <v>1754</v>
      </c>
      <c r="C4" t="s">
        <v>1</v>
      </c>
      <c r="D4" t="s">
        <v>1755</v>
      </c>
    </row>
    <row r="5" spans="1:4" x14ac:dyDescent="0.25">
      <c r="A5" s="4">
        <v>0</v>
      </c>
      <c r="B5" s="1">
        <v>374</v>
      </c>
      <c r="C5" s="1">
        <v>163</v>
      </c>
      <c r="D5" s="1">
        <v>537</v>
      </c>
    </row>
    <row r="6" spans="1:4" x14ac:dyDescent="0.25">
      <c r="A6" s="4">
        <v>1</v>
      </c>
      <c r="B6" s="1">
        <v>72</v>
      </c>
      <c r="C6" s="1">
        <v>89</v>
      </c>
      <c r="D6" s="1">
        <v>161</v>
      </c>
    </row>
    <row r="7" spans="1:4" x14ac:dyDescent="0.25">
      <c r="A7" s="4">
        <v>2</v>
      </c>
      <c r="B7" s="1">
        <v>43</v>
      </c>
      <c r="C7" s="1">
        <v>59</v>
      </c>
      <c r="D7" s="1">
        <v>102</v>
      </c>
    </row>
    <row r="8" spans="1:4" x14ac:dyDescent="0.25">
      <c r="A8" s="4">
        <v>3</v>
      </c>
      <c r="B8" s="1">
        <v>8</v>
      </c>
      <c r="C8" s="1">
        <v>21</v>
      </c>
      <c r="D8" s="1">
        <v>29</v>
      </c>
    </row>
    <row r="9" spans="1:4" x14ac:dyDescent="0.25">
      <c r="A9" s="4">
        <v>4</v>
      </c>
      <c r="B9" s="1">
        <v>12</v>
      </c>
      <c r="C9" s="1">
        <v>3</v>
      </c>
      <c r="D9" s="1">
        <v>15</v>
      </c>
    </row>
    <row r="10" spans="1:4" x14ac:dyDescent="0.25">
      <c r="A10" s="4">
        <v>5</v>
      </c>
      <c r="B10" s="1">
        <v>19</v>
      </c>
      <c r="C10" s="1">
        <v>3</v>
      </c>
      <c r="D10" s="1">
        <v>22</v>
      </c>
    </row>
    <row r="11" spans="1:4" x14ac:dyDescent="0.25">
      <c r="A11" s="4">
        <v>6</v>
      </c>
      <c r="B11" s="1">
        <v>8</v>
      </c>
      <c r="C11" s="1">
        <v>4</v>
      </c>
      <c r="D11" s="1">
        <v>12</v>
      </c>
    </row>
    <row r="12" spans="1:4" x14ac:dyDescent="0.25">
      <c r="A12" s="4">
        <v>7</v>
      </c>
      <c r="B12" s="1">
        <v>6</v>
      </c>
      <c r="C12" s="1"/>
      <c r="D12" s="1">
        <v>6</v>
      </c>
    </row>
    <row r="13" spans="1:4" x14ac:dyDescent="0.25">
      <c r="A13" s="4">
        <v>10</v>
      </c>
      <c r="B13" s="1">
        <v>7</v>
      </c>
      <c r="C13" s="1"/>
      <c r="D13" s="1">
        <v>7</v>
      </c>
    </row>
    <row r="14" spans="1:4" x14ac:dyDescent="0.25">
      <c r="A14" s="4" t="s">
        <v>1755</v>
      </c>
      <c r="B14" s="1">
        <v>549</v>
      </c>
      <c r="C14" s="1">
        <v>342</v>
      </c>
      <c r="D14" s="1">
        <v>891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991F2-991E-4D2A-A0B5-45DC6C6E42DE}">
  <dimension ref="A1:AD892"/>
  <sheetViews>
    <sheetView zoomScale="98" zoomScaleNormal="98" workbookViewId="0">
      <selection activeCell="Q39" sqref="Q38:Q39"/>
    </sheetView>
  </sheetViews>
  <sheetFormatPr defaultRowHeight="15" x14ac:dyDescent="0.25"/>
  <cols>
    <col min="1" max="1" width="14.28515625" bestFit="1" customWidth="1"/>
    <col min="2" max="2" width="11.140625" bestFit="1" customWidth="1"/>
    <col min="3" max="3" width="11.140625" customWidth="1"/>
    <col min="4" max="4" width="9" customWidth="1"/>
    <col min="5" max="5" width="25.42578125" customWidth="1"/>
    <col min="6" max="6" width="74.140625" bestFit="1" customWidth="1"/>
    <col min="7" max="7" width="13.5703125" customWidth="1"/>
    <col min="8" max="8" width="7" bestFit="1" customWidth="1"/>
    <col min="9" max="9" width="11.7109375" customWidth="1"/>
    <col min="10" max="10" width="12.140625" customWidth="1"/>
    <col min="11" max="11" width="19.7109375" customWidth="1"/>
    <col min="12" max="13" width="23.140625" customWidth="1"/>
    <col min="14" max="14" width="26.140625" customWidth="1"/>
    <col min="15" max="17" width="24.7109375" customWidth="1"/>
    <col min="18" max="18" width="39.42578125" customWidth="1"/>
    <col min="19" max="22" width="37.7109375" customWidth="1"/>
    <col min="23" max="23" width="15.7109375" bestFit="1" customWidth="1"/>
    <col min="24" max="24" width="19.5703125" customWidth="1"/>
    <col min="25" max="25" width="35.7109375" customWidth="1"/>
    <col min="27" max="27" width="28.140625" customWidth="1"/>
    <col min="29" max="29" width="20.7109375" customWidth="1"/>
    <col min="30" max="30" width="50" customWidth="1"/>
  </cols>
  <sheetData>
    <row r="1" spans="1:30" x14ac:dyDescent="0.25">
      <c r="A1" t="s">
        <v>0</v>
      </c>
      <c r="B1" t="s">
        <v>1</v>
      </c>
      <c r="C1" t="s">
        <v>1737</v>
      </c>
      <c r="D1" t="s">
        <v>2</v>
      </c>
      <c r="E1" t="s">
        <v>1748</v>
      </c>
      <c r="F1" t="s">
        <v>3</v>
      </c>
      <c r="G1" t="s">
        <v>1738</v>
      </c>
      <c r="H1" t="s">
        <v>4</v>
      </c>
      <c r="I1" t="s">
        <v>5</v>
      </c>
      <c r="J1" t="s">
        <v>1739</v>
      </c>
      <c r="K1" t="s">
        <v>6</v>
      </c>
      <c r="L1" t="s">
        <v>7</v>
      </c>
      <c r="M1" t="s">
        <v>1740</v>
      </c>
      <c r="N1" t="s">
        <v>8</v>
      </c>
      <c r="O1" t="s">
        <v>9</v>
      </c>
      <c r="P1" t="s">
        <v>1767</v>
      </c>
      <c r="Q1" t="s">
        <v>1768</v>
      </c>
      <c r="R1" t="s">
        <v>1747</v>
      </c>
      <c r="S1" t="s">
        <v>10</v>
      </c>
      <c r="T1" t="s">
        <v>11</v>
      </c>
    </row>
    <row r="2" spans="1:30" x14ac:dyDescent="0.25">
      <c r="A2">
        <v>1</v>
      </c>
      <c r="B2">
        <v>0</v>
      </c>
      <c r="C2" t="str">
        <f>IF(Titanic_Dataset[[#This Row],[Survived]]=1,"Survived","Died")</f>
        <v>Died</v>
      </c>
      <c r="D2">
        <v>3</v>
      </c>
      <c r="E2" t="str">
        <f>IF(Titanic_Dataset[[#This Row],[Pclass]]=1,"1st",IF(Titanic_Dataset[[#This Row],[Pclass]]=2,"2nd",IF(Titanic_Dataset[[#This Row],[Pclass]]=3,"3rd")))</f>
        <v>3rd</v>
      </c>
      <c r="F2" s="1" t="s">
        <v>12</v>
      </c>
      <c r="G2" s="1" t="str">
        <f>TRIM(MID(Titanic_Dataset[[#This Row],[Name]],
FIND(",",Titanic_Dataset[[#This Row],[Name]])+2,
FIND(".",Titanic_Dataset[[#This Row],[Name]],FIND(",",Titanic_Dataset[[#This Row],[Name]]))-FIND(",",Titanic_Dataset[[#This Row],[Name]])-1))</f>
        <v>Mr.</v>
      </c>
      <c r="H2" s="1" t="s">
        <v>13</v>
      </c>
      <c r="I2">
        <v>22</v>
      </c>
      <c r="J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
        <v>1</v>
      </c>
      <c r="L2">
        <v>0</v>
      </c>
      <c r="M2">
        <f>Titanic_Dataset[[#This Row],[Parch]]+Titanic_Dataset[[#This Row],[SibSp]]</f>
        <v>1</v>
      </c>
      <c r="N2" s="1" t="s">
        <v>14</v>
      </c>
      <c r="O2">
        <v>7.25</v>
      </c>
      <c r="P2" t="e">
        <f>IF(Titanic_Dataset[[#This Row],[Survived]]=1,Titanic_Dataset[[#This Row],[Fare]],NA())</f>
        <v>#N/A</v>
      </c>
      <c r="Q2">
        <f>IF(Titanic_Dataset[[#This Row],[Survived]]=0,Titanic_Dataset[[#This Row],[Fare]],NA())</f>
        <v>7.25</v>
      </c>
      <c r="R2" t="str">
        <f>VLOOKUP(Titanic_Dataset[[#This Row],[Fare]],Table2[],2,TRUE)</f>
        <v>low</v>
      </c>
      <c r="S2" s="1" t="s">
        <v>15</v>
      </c>
      <c r="T2" s="1" t="s">
        <v>16</v>
      </c>
      <c r="U2" s="1"/>
      <c r="V2" s="1"/>
      <c r="W2" s="1"/>
    </row>
    <row r="3" spans="1:30" x14ac:dyDescent="0.25">
      <c r="A3">
        <v>2</v>
      </c>
      <c r="B3">
        <v>1</v>
      </c>
      <c r="C3" t="str">
        <f>IF(Titanic_Dataset[[#This Row],[Survived]]=1,"Survived","Died")</f>
        <v>Survived</v>
      </c>
      <c r="D3">
        <v>1</v>
      </c>
      <c r="E3" t="str">
        <f>IF(Titanic_Dataset[[#This Row],[Pclass]]=1,"1st",IF(Titanic_Dataset[[#This Row],[Pclass]]=2,"2nd",IF(Titanic_Dataset[[#This Row],[Pclass]]=3,"3rd")))</f>
        <v>1st</v>
      </c>
      <c r="F3" s="1" t="s">
        <v>17</v>
      </c>
      <c r="G3" s="1" t="str">
        <f>TRIM(MID(Titanic_Dataset[[#This Row],[Name]],
FIND(",",Titanic_Dataset[[#This Row],[Name]])+2,
FIND(".",Titanic_Dataset[[#This Row],[Name]],FIND(",",Titanic_Dataset[[#This Row],[Name]]))-FIND(",",Titanic_Dataset[[#This Row],[Name]])-1))</f>
        <v>Mrs.</v>
      </c>
      <c r="H3" s="1" t="s">
        <v>18</v>
      </c>
      <c r="I3">
        <v>38</v>
      </c>
      <c r="J3" t="str">
        <f>IF(Titanic_Dataset[[#This Row],[Age]]&lt;12,"0-11",
IF(Titanic_Dataset[[#This Row],[Age]]&lt;20,"12-19",
IF(Titanic_Dataset[[#This Row],[Age]]&lt;30,"20-29",
IF(Titanic_Dataset[[#This Row],[Age]]&lt;40,"30-39",
IF(Titanic_Dataset[[#This Row],[Age]]&lt;50,"40-49",
IF(Titanic_Dataset[[#This Row],[Age]]&lt;60,"50-59",
IF(Titanic_Dataset[[#This Row],[Age]]&lt;70,"60-69",)))))))</f>
        <v>30-39</v>
      </c>
      <c r="K3">
        <v>1</v>
      </c>
      <c r="L3">
        <v>0</v>
      </c>
      <c r="M3">
        <f>Titanic_Dataset[[#This Row],[Parch]]+Titanic_Dataset[[#This Row],[SibSp]]</f>
        <v>1</v>
      </c>
      <c r="N3" s="1" t="s">
        <v>19</v>
      </c>
      <c r="O3">
        <v>71.283299999999997</v>
      </c>
      <c r="P3">
        <f>IF(Titanic_Dataset[[#This Row],[Survived]]=1,Titanic_Dataset[[#This Row],[Fare]],NA())</f>
        <v>71.283299999999997</v>
      </c>
      <c r="Q3" t="e">
        <f>IF(Titanic_Dataset[[#This Row],[Survived]]=0,Titanic_Dataset[[#This Row],[Fare]],NA())</f>
        <v>#N/A</v>
      </c>
      <c r="R3" t="str">
        <f>VLOOKUP(Titanic_Dataset[[#This Row],[Fare]],Table2[],2,TRUE)</f>
        <v>very hiegh</v>
      </c>
      <c r="S3" s="1" t="s">
        <v>20</v>
      </c>
      <c r="T3" s="1" t="s">
        <v>21</v>
      </c>
      <c r="U3" s="1"/>
      <c r="V3" s="1"/>
      <c r="W3" s="1"/>
    </row>
    <row r="4" spans="1:30" x14ac:dyDescent="0.25">
      <c r="A4">
        <v>3</v>
      </c>
      <c r="B4">
        <v>1</v>
      </c>
      <c r="C4" t="str">
        <f>IF(Titanic_Dataset[[#This Row],[Survived]]=1,"Survived","Died")</f>
        <v>Survived</v>
      </c>
      <c r="D4">
        <v>3</v>
      </c>
      <c r="E4" t="str">
        <f>IF(Titanic_Dataset[[#This Row],[Pclass]]=1,"1st",IF(Titanic_Dataset[[#This Row],[Pclass]]=2,"2nd",IF(Titanic_Dataset[[#This Row],[Pclass]]=3,"3rd")))</f>
        <v>3rd</v>
      </c>
      <c r="F4" s="1" t="s">
        <v>22</v>
      </c>
      <c r="G4" s="1" t="str">
        <f>TRIM(MID(Titanic_Dataset[[#This Row],[Name]],
FIND(",",Titanic_Dataset[[#This Row],[Name]])+2,
FIND(".",Titanic_Dataset[[#This Row],[Name]],FIND(",",Titanic_Dataset[[#This Row],[Name]]))-FIND(",",Titanic_Dataset[[#This Row],[Name]])-1))</f>
        <v>Miss.</v>
      </c>
      <c r="H4" s="1" t="s">
        <v>18</v>
      </c>
      <c r="I4">
        <v>26</v>
      </c>
      <c r="J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
        <v>0</v>
      </c>
      <c r="L4">
        <v>0</v>
      </c>
      <c r="M4">
        <f>Titanic_Dataset[[#This Row],[Parch]]+Titanic_Dataset[[#This Row],[SibSp]]</f>
        <v>0</v>
      </c>
      <c r="N4" s="1" t="s">
        <v>23</v>
      </c>
      <c r="O4">
        <v>7.9249999999999998</v>
      </c>
      <c r="P4">
        <f>IF(Titanic_Dataset[[#This Row],[Survived]]=1,Titanic_Dataset[[#This Row],[Fare]],NA())</f>
        <v>7.9249999999999998</v>
      </c>
      <c r="Q4" t="e">
        <f>IF(Titanic_Dataset[[#This Row],[Survived]]=0,Titanic_Dataset[[#This Row],[Fare]],NA())</f>
        <v>#N/A</v>
      </c>
      <c r="R4" t="str">
        <f>VLOOKUP(Titanic_Dataset[[#This Row],[Fare]],Table2[],2,TRUE)</f>
        <v>low</v>
      </c>
      <c r="S4" s="1" t="s">
        <v>15</v>
      </c>
      <c r="T4" s="1" t="s">
        <v>16</v>
      </c>
      <c r="U4" s="1"/>
      <c r="V4" s="1"/>
      <c r="W4" s="1"/>
    </row>
    <row r="5" spans="1:30" x14ac:dyDescent="0.25">
      <c r="A5">
        <v>4</v>
      </c>
      <c r="B5">
        <v>1</v>
      </c>
      <c r="C5" t="str">
        <f>IF(Titanic_Dataset[[#This Row],[Survived]]=1,"Survived","Died")</f>
        <v>Survived</v>
      </c>
      <c r="D5">
        <v>1</v>
      </c>
      <c r="E5" t="str">
        <f>IF(Titanic_Dataset[[#This Row],[Pclass]]=1,"1st",IF(Titanic_Dataset[[#This Row],[Pclass]]=2,"2nd",IF(Titanic_Dataset[[#This Row],[Pclass]]=3,"3rd")))</f>
        <v>1st</v>
      </c>
      <c r="F5" s="1" t="s">
        <v>24</v>
      </c>
      <c r="G5" s="1" t="str">
        <f>TRIM(MID(Titanic_Dataset[[#This Row],[Name]],
FIND(",",Titanic_Dataset[[#This Row],[Name]])+2,
FIND(".",Titanic_Dataset[[#This Row],[Name]],FIND(",",Titanic_Dataset[[#This Row],[Name]]))-FIND(",",Titanic_Dataset[[#This Row],[Name]])-1))</f>
        <v>Mrs.</v>
      </c>
      <c r="H5" s="1" t="s">
        <v>18</v>
      </c>
      <c r="I5">
        <v>35</v>
      </c>
      <c r="J5" t="str">
        <f>IF(Titanic_Dataset[[#This Row],[Age]]&lt;12,"0-11",
IF(Titanic_Dataset[[#This Row],[Age]]&lt;20,"12-19",
IF(Titanic_Dataset[[#This Row],[Age]]&lt;30,"20-29",
IF(Titanic_Dataset[[#This Row],[Age]]&lt;40,"30-39",
IF(Titanic_Dataset[[#This Row],[Age]]&lt;50,"40-49",
IF(Titanic_Dataset[[#This Row],[Age]]&lt;60,"50-59",
IF(Titanic_Dataset[[#This Row],[Age]]&lt;70,"60-69",)))))))</f>
        <v>30-39</v>
      </c>
      <c r="K5">
        <v>1</v>
      </c>
      <c r="L5">
        <v>0</v>
      </c>
      <c r="M5">
        <f>Titanic_Dataset[[#This Row],[Parch]]+Titanic_Dataset[[#This Row],[SibSp]]</f>
        <v>1</v>
      </c>
      <c r="N5" s="1" t="s">
        <v>25</v>
      </c>
      <c r="O5">
        <v>53.1</v>
      </c>
      <c r="P5">
        <f>IF(Titanic_Dataset[[#This Row],[Survived]]=1,Titanic_Dataset[[#This Row],[Fare]],NA())</f>
        <v>53.1</v>
      </c>
      <c r="Q5" t="e">
        <f>IF(Titanic_Dataset[[#This Row],[Survived]]=0,Titanic_Dataset[[#This Row],[Fare]],NA())</f>
        <v>#N/A</v>
      </c>
      <c r="R5" t="str">
        <f>VLOOKUP(Titanic_Dataset[[#This Row],[Fare]],Table2[],2,TRUE)</f>
        <v>very hiegh</v>
      </c>
      <c r="S5" s="1" t="s">
        <v>26</v>
      </c>
      <c r="T5" s="1" t="s">
        <v>16</v>
      </c>
      <c r="U5" s="1"/>
      <c r="V5" s="2" t="s">
        <v>1741</v>
      </c>
      <c r="W5" s="2" t="s">
        <v>1742</v>
      </c>
    </row>
    <row r="6" spans="1:30" x14ac:dyDescent="0.25">
      <c r="A6">
        <v>5</v>
      </c>
      <c r="B6">
        <v>0</v>
      </c>
      <c r="C6" t="str">
        <f>IF(Titanic_Dataset[[#This Row],[Survived]]=1,"Survived","Died")</f>
        <v>Died</v>
      </c>
      <c r="D6">
        <v>3</v>
      </c>
      <c r="E6" t="str">
        <f>IF(Titanic_Dataset[[#This Row],[Pclass]]=1,"1st",IF(Titanic_Dataset[[#This Row],[Pclass]]=2,"2nd",IF(Titanic_Dataset[[#This Row],[Pclass]]=3,"3rd")))</f>
        <v>3rd</v>
      </c>
      <c r="F6" s="1" t="s">
        <v>27</v>
      </c>
      <c r="G6" s="1" t="str">
        <f>TRIM(MID(Titanic_Dataset[[#This Row],[Name]],
FIND(",",Titanic_Dataset[[#This Row],[Name]])+2,
FIND(".",Titanic_Dataset[[#This Row],[Name]],FIND(",",Titanic_Dataset[[#This Row],[Name]]))-FIND(",",Titanic_Dataset[[#This Row],[Name]])-1))</f>
        <v>Mr.</v>
      </c>
      <c r="H6" s="1" t="s">
        <v>13</v>
      </c>
      <c r="I6">
        <v>35</v>
      </c>
      <c r="J6" t="str">
        <f>IF(Titanic_Dataset[[#This Row],[Age]]&lt;12,"0-11",
IF(Titanic_Dataset[[#This Row],[Age]]&lt;20,"12-19",
IF(Titanic_Dataset[[#This Row],[Age]]&lt;30,"20-29",
IF(Titanic_Dataset[[#This Row],[Age]]&lt;40,"30-39",
IF(Titanic_Dataset[[#This Row],[Age]]&lt;50,"40-49",
IF(Titanic_Dataset[[#This Row],[Age]]&lt;60,"50-59",
IF(Titanic_Dataset[[#This Row],[Age]]&lt;70,"60-69",)))))))</f>
        <v>30-39</v>
      </c>
      <c r="K6">
        <v>0</v>
      </c>
      <c r="L6">
        <v>0</v>
      </c>
      <c r="M6">
        <f>Titanic_Dataset[[#This Row],[Parch]]+Titanic_Dataset[[#This Row],[SibSp]]</f>
        <v>0</v>
      </c>
      <c r="N6" s="1" t="s">
        <v>28</v>
      </c>
      <c r="O6">
        <v>8.0500000000000007</v>
      </c>
      <c r="P6" t="e">
        <f>IF(Titanic_Dataset[[#This Row],[Survived]]=1,Titanic_Dataset[[#This Row],[Fare]],NA())</f>
        <v>#N/A</v>
      </c>
      <c r="Q6">
        <f>IF(Titanic_Dataset[[#This Row],[Survived]]=0,Titanic_Dataset[[#This Row],[Fare]],NA())</f>
        <v>8.0500000000000007</v>
      </c>
      <c r="R6" t="str">
        <f>VLOOKUP(Titanic_Dataset[[#This Row],[Fare]],Table2[],2,TRUE)</f>
        <v>medium</v>
      </c>
      <c r="S6" s="1" t="s">
        <v>15</v>
      </c>
      <c r="T6" s="1" t="s">
        <v>16</v>
      </c>
      <c r="U6" s="1"/>
      <c r="V6" s="2">
        <v>0</v>
      </c>
      <c r="W6" s="2" t="s">
        <v>1743</v>
      </c>
    </row>
    <row r="7" spans="1:30" x14ac:dyDescent="0.25">
      <c r="A7">
        <v>6</v>
      </c>
      <c r="B7">
        <v>0</v>
      </c>
      <c r="C7" t="str">
        <f>IF(Titanic_Dataset[[#This Row],[Survived]]=1,"Survived","Died")</f>
        <v>Died</v>
      </c>
      <c r="D7">
        <v>3</v>
      </c>
      <c r="E7" t="str">
        <f>IF(Titanic_Dataset[[#This Row],[Pclass]]=1,"1st",IF(Titanic_Dataset[[#This Row],[Pclass]]=2,"2nd",IF(Titanic_Dataset[[#This Row],[Pclass]]=3,"3rd")))</f>
        <v>3rd</v>
      </c>
      <c r="F7" s="1" t="s">
        <v>29</v>
      </c>
      <c r="G7" s="1" t="str">
        <f>TRIM(MID(Titanic_Dataset[[#This Row],[Name]],
FIND(",",Titanic_Dataset[[#This Row],[Name]])+2,
FIND(".",Titanic_Dataset[[#This Row],[Name]],FIND(",",Titanic_Dataset[[#This Row],[Name]]))-FIND(",",Titanic_Dataset[[#This Row],[Name]])-1))</f>
        <v>Mr.</v>
      </c>
      <c r="H7" s="1" t="s">
        <v>13</v>
      </c>
      <c r="I7">
        <v>28</v>
      </c>
      <c r="J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
        <v>0</v>
      </c>
      <c r="L7">
        <v>0</v>
      </c>
      <c r="M7">
        <f>Titanic_Dataset[[#This Row],[Parch]]+Titanic_Dataset[[#This Row],[SibSp]]</f>
        <v>0</v>
      </c>
      <c r="N7" s="1" t="s">
        <v>30</v>
      </c>
      <c r="O7">
        <v>8.4582999999999995</v>
      </c>
      <c r="P7" t="e">
        <f>IF(Titanic_Dataset[[#This Row],[Survived]]=1,Titanic_Dataset[[#This Row],[Fare]],NA())</f>
        <v>#N/A</v>
      </c>
      <c r="Q7">
        <f>IF(Titanic_Dataset[[#This Row],[Survived]]=0,Titanic_Dataset[[#This Row],[Fare]],NA())</f>
        <v>8.4582999999999995</v>
      </c>
      <c r="R7" t="str">
        <f>VLOOKUP(Titanic_Dataset[[#This Row],[Fare]],Table2[],2,TRUE)</f>
        <v>medium</v>
      </c>
      <c r="S7" s="1" t="s">
        <v>15</v>
      </c>
      <c r="T7" s="1" t="s">
        <v>31</v>
      </c>
      <c r="U7" s="1"/>
      <c r="V7" s="2">
        <v>8</v>
      </c>
      <c r="W7" s="2" t="s">
        <v>1744</v>
      </c>
    </row>
    <row r="8" spans="1:30" x14ac:dyDescent="0.25">
      <c r="A8">
        <v>7</v>
      </c>
      <c r="B8">
        <v>0</v>
      </c>
      <c r="C8" t="str">
        <f>IF(Titanic_Dataset[[#This Row],[Survived]]=1,"Survived","Died")</f>
        <v>Died</v>
      </c>
      <c r="D8">
        <v>1</v>
      </c>
      <c r="E8" t="str">
        <f>IF(Titanic_Dataset[[#This Row],[Pclass]]=1,"1st",IF(Titanic_Dataset[[#This Row],[Pclass]]=2,"2nd",IF(Titanic_Dataset[[#This Row],[Pclass]]=3,"3rd")))</f>
        <v>1st</v>
      </c>
      <c r="F8" s="1" t="s">
        <v>32</v>
      </c>
      <c r="G8" s="1" t="str">
        <f>TRIM(MID(Titanic_Dataset[[#This Row],[Name]],
FIND(",",Titanic_Dataset[[#This Row],[Name]])+2,
FIND(".",Titanic_Dataset[[#This Row],[Name]],FIND(",",Titanic_Dataset[[#This Row],[Name]]))-FIND(",",Titanic_Dataset[[#This Row],[Name]])-1))</f>
        <v>Mr.</v>
      </c>
      <c r="H8" s="1" t="s">
        <v>13</v>
      </c>
      <c r="I8">
        <v>54</v>
      </c>
      <c r="J8" t="str">
        <f>IF(Titanic_Dataset[[#This Row],[Age]]&lt;12,"0-11",
IF(Titanic_Dataset[[#This Row],[Age]]&lt;20,"12-19",
IF(Titanic_Dataset[[#This Row],[Age]]&lt;30,"20-29",
IF(Titanic_Dataset[[#This Row],[Age]]&lt;40,"30-39",
IF(Titanic_Dataset[[#This Row],[Age]]&lt;50,"40-49",
IF(Titanic_Dataset[[#This Row],[Age]]&lt;60,"50-59",
IF(Titanic_Dataset[[#This Row],[Age]]&lt;70,"60-69",)))))))</f>
        <v>50-59</v>
      </c>
      <c r="K8">
        <v>0</v>
      </c>
      <c r="L8">
        <v>0</v>
      </c>
      <c r="M8">
        <f>Titanic_Dataset[[#This Row],[Parch]]+Titanic_Dataset[[#This Row],[SibSp]]</f>
        <v>0</v>
      </c>
      <c r="N8" s="1" t="s">
        <v>33</v>
      </c>
      <c r="O8">
        <v>51.862499999999997</v>
      </c>
      <c r="P8" t="e">
        <f>IF(Titanic_Dataset[[#This Row],[Survived]]=1,Titanic_Dataset[[#This Row],[Fare]],NA())</f>
        <v>#N/A</v>
      </c>
      <c r="Q8">
        <f>IF(Titanic_Dataset[[#This Row],[Survived]]=0,Titanic_Dataset[[#This Row],[Fare]],NA())</f>
        <v>51.862499999999997</v>
      </c>
      <c r="R8" t="str">
        <f>VLOOKUP(Titanic_Dataset[[#This Row],[Fare]],Table2[],2,TRUE)</f>
        <v>very hiegh</v>
      </c>
      <c r="S8" s="1" t="s">
        <v>34</v>
      </c>
      <c r="T8" s="1" t="s">
        <v>16</v>
      </c>
      <c r="U8" s="1"/>
      <c r="V8" s="2">
        <v>15</v>
      </c>
      <c r="W8" s="2" t="s">
        <v>1745</v>
      </c>
    </row>
    <row r="9" spans="1:30" x14ac:dyDescent="0.25">
      <c r="A9">
        <v>8</v>
      </c>
      <c r="B9">
        <v>0</v>
      </c>
      <c r="C9" t="str">
        <f>IF(Titanic_Dataset[[#This Row],[Survived]]=1,"Survived","Died")</f>
        <v>Died</v>
      </c>
      <c r="D9">
        <v>3</v>
      </c>
      <c r="E9" t="str">
        <f>IF(Titanic_Dataset[[#This Row],[Pclass]]=1,"1st",IF(Titanic_Dataset[[#This Row],[Pclass]]=2,"2nd",IF(Titanic_Dataset[[#This Row],[Pclass]]=3,"3rd")))</f>
        <v>3rd</v>
      </c>
      <c r="F9" s="1" t="s">
        <v>35</v>
      </c>
      <c r="G9" s="1" t="str">
        <f>TRIM(MID(Titanic_Dataset[[#This Row],[Name]],
FIND(",",Titanic_Dataset[[#This Row],[Name]])+2,
FIND(".",Titanic_Dataset[[#This Row],[Name]],FIND(",",Titanic_Dataset[[#This Row],[Name]]))-FIND(",",Titanic_Dataset[[#This Row],[Name]])-1))</f>
        <v>Master.</v>
      </c>
      <c r="H9" s="1" t="s">
        <v>13</v>
      </c>
      <c r="I9">
        <v>2</v>
      </c>
      <c r="J9" t="str">
        <f>IF(Titanic_Dataset[[#This Row],[Age]]&lt;12,"0-11",
IF(Titanic_Dataset[[#This Row],[Age]]&lt;20,"12-19",
IF(Titanic_Dataset[[#This Row],[Age]]&lt;30,"20-29",
IF(Titanic_Dataset[[#This Row],[Age]]&lt;40,"30-39",
IF(Titanic_Dataset[[#This Row],[Age]]&lt;50,"40-49",
IF(Titanic_Dataset[[#This Row],[Age]]&lt;60,"50-59",
IF(Titanic_Dataset[[#This Row],[Age]]&lt;70,"60-69",)))))))</f>
        <v>0-11</v>
      </c>
      <c r="K9">
        <v>3</v>
      </c>
      <c r="L9">
        <v>1</v>
      </c>
      <c r="M9">
        <f>Titanic_Dataset[[#This Row],[Parch]]+Titanic_Dataset[[#This Row],[SibSp]]</f>
        <v>4</v>
      </c>
      <c r="N9" s="1" t="s">
        <v>36</v>
      </c>
      <c r="O9">
        <v>21.074999999999999</v>
      </c>
      <c r="P9" t="e">
        <f>IF(Titanic_Dataset[[#This Row],[Survived]]=1,Titanic_Dataset[[#This Row],[Fare]],NA())</f>
        <v>#N/A</v>
      </c>
      <c r="Q9">
        <f>IF(Titanic_Dataset[[#This Row],[Survived]]=0,Titanic_Dataset[[#This Row],[Fare]],NA())</f>
        <v>21.074999999999999</v>
      </c>
      <c r="R9" t="str">
        <f>VLOOKUP(Titanic_Dataset[[#This Row],[Fare]],Table2[],2,TRUE)</f>
        <v>high</v>
      </c>
      <c r="S9" s="1" t="s">
        <v>15</v>
      </c>
      <c r="T9" s="1" t="s">
        <v>16</v>
      </c>
      <c r="U9" s="1"/>
      <c r="V9" s="2">
        <v>30</v>
      </c>
      <c r="W9" s="2" t="s">
        <v>1746</v>
      </c>
    </row>
    <row r="10" spans="1:30" x14ac:dyDescent="0.25">
      <c r="A10">
        <v>9</v>
      </c>
      <c r="B10">
        <v>1</v>
      </c>
      <c r="C10" t="str">
        <f>IF(Titanic_Dataset[[#This Row],[Survived]]=1,"Survived","Died")</f>
        <v>Survived</v>
      </c>
      <c r="D10">
        <v>3</v>
      </c>
      <c r="E10" t="str">
        <f>IF(Titanic_Dataset[[#This Row],[Pclass]]=1,"1st",IF(Titanic_Dataset[[#This Row],[Pclass]]=2,"2nd",IF(Titanic_Dataset[[#This Row],[Pclass]]=3,"3rd")))</f>
        <v>3rd</v>
      </c>
      <c r="F10" s="1" t="s">
        <v>37</v>
      </c>
      <c r="G10" s="1" t="str">
        <f>TRIM(MID(Titanic_Dataset[[#This Row],[Name]],
FIND(",",Titanic_Dataset[[#This Row],[Name]])+2,
FIND(".",Titanic_Dataset[[#This Row],[Name]],FIND(",",Titanic_Dataset[[#This Row],[Name]]))-FIND(",",Titanic_Dataset[[#This Row],[Name]])-1))</f>
        <v>Mrs.</v>
      </c>
      <c r="H10" s="1" t="s">
        <v>18</v>
      </c>
      <c r="I10">
        <v>27</v>
      </c>
      <c r="J1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0">
        <v>0</v>
      </c>
      <c r="L10">
        <v>2</v>
      </c>
      <c r="M10">
        <f>Titanic_Dataset[[#This Row],[Parch]]+Titanic_Dataset[[#This Row],[SibSp]]</f>
        <v>2</v>
      </c>
      <c r="N10" s="1" t="s">
        <v>38</v>
      </c>
      <c r="O10">
        <v>11.1333</v>
      </c>
      <c r="P10">
        <f>IF(Titanic_Dataset[[#This Row],[Survived]]=1,Titanic_Dataset[[#This Row],[Fare]],NA())</f>
        <v>11.1333</v>
      </c>
      <c r="Q10" t="e">
        <f>IF(Titanic_Dataset[[#This Row],[Survived]]=0,Titanic_Dataset[[#This Row],[Fare]],NA())</f>
        <v>#N/A</v>
      </c>
      <c r="R10" t="str">
        <f>VLOOKUP(Titanic_Dataset[[#This Row],[Fare]],Table2[],2,TRUE)</f>
        <v>medium</v>
      </c>
      <c r="S10" s="1" t="s">
        <v>15</v>
      </c>
      <c r="T10" s="1" t="s">
        <v>16</v>
      </c>
      <c r="U10" s="1"/>
      <c r="V10" s="1"/>
      <c r="W10" s="1"/>
      <c r="X10" t="s">
        <v>1749</v>
      </c>
      <c r="Z10" t="s">
        <v>1750</v>
      </c>
      <c r="AB10" t="s">
        <v>1751</v>
      </c>
      <c r="AD10" t="s">
        <v>1752</v>
      </c>
    </row>
    <row r="11" spans="1:30" x14ac:dyDescent="0.25">
      <c r="A11">
        <v>10</v>
      </c>
      <c r="B11">
        <v>1</v>
      </c>
      <c r="C11" t="str">
        <f>IF(Titanic_Dataset[[#This Row],[Survived]]=1,"Survived","Died")</f>
        <v>Survived</v>
      </c>
      <c r="D11">
        <v>2</v>
      </c>
      <c r="E11" t="str">
        <f>IF(Titanic_Dataset[[#This Row],[Pclass]]=1,"1st",IF(Titanic_Dataset[[#This Row],[Pclass]]=2,"2nd",IF(Titanic_Dataset[[#This Row],[Pclass]]=3,"3rd")))</f>
        <v>2nd</v>
      </c>
      <c r="F11" s="1" t="s">
        <v>39</v>
      </c>
      <c r="G11" s="1" t="str">
        <f>TRIM(MID(Titanic_Dataset[[#This Row],[Name]],
FIND(",",Titanic_Dataset[[#This Row],[Name]])+2,
FIND(".",Titanic_Dataset[[#This Row],[Name]],FIND(",",Titanic_Dataset[[#This Row],[Name]]))-FIND(",",Titanic_Dataset[[#This Row],[Name]])-1))</f>
        <v>Mrs.</v>
      </c>
      <c r="H11" s="1" t="s">
        <v>18</v>
      </c>
      <c r="I11">
        <v>14</v>
      </c>
      <c r="J11" t="str">
        <f>IF(Titanic_Dataset[[#This Row],[Age]]&lt;12,"0-11",
IF(Titanic_Dataset[[#This Row],[Age]]&lt;20,"12-19",
IF(Titanic_Dataset[[#This Row],[Age]]&lt;30,"20-29",
IF(Titanic_Dataset[[#This Row],[Age]]&lt;40,"30-39",
IF(Titanic_Dataset[[#This Row],[Age]]&lt;50,"40-49",
IF(Titanic_Dataset[[#This Row],[Age]]&lt;60,"50-59",
IF(Titanic_Dataset[[#This Row],[Age]]&lt;70,"60-69",)))))))</f>
        <v>12-19</v>
      </c>
      <c r="K11">
        <v>1</v>
      </c>
      <c r="L11">
        <v>0</v>
      </c>
      <c r="M11">
        <f>Titanic_Dataset[[#This Row],[Parch]]+Titanic_Dataset[[#This Row],[SibSp]]</f>
        <v>1</v>
      </c>
      <c r="N11" s="1" t="s">
        <v>40</v>
      </c>
      <c r="O11">
        <v>30.070799999999998</v>
      </c>
      <c r="P11">
        <f>IF(Titanic_Dataset[[#This Row],[Survived]]=1,Titanic_Dataset[[#This Row],[Fare]],NA())</f>
        <v>30.070799999999998</v>
      </c>
      <c r="Q11" t="e">
        <f>IF(Titanic_Dataset[[#This Row],[Survived]]=0,Titanic_Dataset[[#This Row],[Fare]],NA())</f>
        <v>#N/A</v>
      </c>
      <c r="R11" t="str">
        <f>VLOOKUP(Titanic_Dataset[[#This Row],[Fare]],Table2[],2,TRUE)</f>
        <v>very hiegh</v>
      </c>
      <c r="S11" s="1" t="s">
        <v>15</v>
      </c>
      <c r="T11" s="1" t="s">
        <v>21</v>
      </c>
      <c r="U11" s="1"/>
      <c r="V11" s="1"/>
      <c r="W11" s="1"/>
      <c r="X11">
        <f>COUNTA(A:A)</f>
        <v>892</v>
      </c>
      <c r="Z11">
        <f>(SUM(Titanic_Dataset[Survived])/X11)*100</f>
        <v>38.340807174887892</v>
      </c>
      <c r="AB11">
        <f>AVERAGE(Titanic_Dataset[Age])</f>
        <v>29.361582491582489</v>
      </c>
      <c r="AD11">
        <f>AVERAGE(O:O)</f>
        <v>32.2042079685746</v>
      </c>
    </row>
    <row r="12" spans="1:30" x14ac:dyDescent="0.25">
      <c r="A12">
        <v>11</v>
      </c>
      <c r="B12">
        <v>1</v>
      </c>
      <c r="C12" t="str">
        <f>IF(Titanic_Dataset[[#This Row],[Survived]]=1,"Survived","Died")</f>
        <v>Survived</v>
      </c>
      <c r="D12">
        <v>3</v>
      </c>
      <c r="E12" t="str">
        <f>IF(Titanic_Dataset[[#This Row],[Pclass]]=1,"1st",IF(Titanic_Dataset[[#This Row],[Pclass]]=2,"2nd",IF(Titanic_Dataset[[#This Row],[Pclass]]=3,"3rd")))</f>
        <v>3rd</v>
      </c>
      <c r="F12" s="1" t="s">
        <v>41</v>
      </c>
      <c r="G12" s="1" t="str">
        <f>TRIM(MID(Titanic_Dataset[[#This Row],[Name]],
FIND(",",Titanic_Dataset[[#This Row],[Name]])+2,
FIND(".",Titanic_Dataset[[#This Row],[Name]],FIND(",",Titanic_Dataset[[#This Row],[Name]]))-FIND(",",Titanic_Dataset[[#This Row],[Name]])-1))</f>
        <v>Miss.</v>
      </c>
      <c r="H12" s="1" t="s">
        <v>18</v>
      </c>
      <c r="I12">
        <v>4</v>
      </c>
      <c r="J12" t="str">
        <f>IF(Titanic_Dataset[[#This Row],[Age]]&lt;12,"0-11",
IF(Titanic_Dataset[[#This Row],[Age]]&lt;20,"12-19",
IF(Titanic_Dataset[[#This Row],[Age]]&lt;30,"20-29",
IF(Titanic_Dataset[[#This Row],[Age]]&lt;40,"30-39",
IF(Titanic_Dataset[[#This Row],[Age]]&lt;50,"40-49",
IF(Titanic_Dataset[[#This Row],[Age]]&lt;60,"50-59",
IF(Titanic_Dataset[[#This Row],[Age]]&lt;70,"60-69",)))))))</f>
        <v>0-11</v>
      </c>
      <c r="K12">
        <v>1</v>
      </c>
      <c r="L12">
        <v>1</v>
      </c>
      <c r="M12">
        <f>Titanic_Dataset[[#This Row],[Parch]]+Titanic_Dataset[[#This Row],[SibSp]]</f>
        <v>2</v>
      </c>
      <c r="N12" s="1" t="s">
        <v>42</v>
      </c>
      <c r="O12">
        <v>16.7</v>
      </c>
      <c r="P12">
        <f>IF(Titanic_Dataset[[#This Row],[Survived]]=1,Titanic_Dataset[[#This Row],[Fare]],NA())</f>
        <v>16.7</v>
      </c>
      <c r="Q12" t="e">
        <f>IF(Titanic_Dataset[[#This Row],[Survived]]=0,Titanic_Dataset[[#This Row],[Fare]],NA())</f>
        <v>#N/A</v>
      </c>
      <c r="R12" t="str">
        <f>VLOOKUP(Titanic_Dataset[[#This Row],[Fare]],Table2[],2,TRUE)</f>
        <v>high</v>
      </c>
      <c r="S12" s="1" t="s">
        <v>43</v>
      </c>
      <c r="T12" s="1" t="s">
        <v>16</v>
      </c>
      <c r="U12" s="1"/>
      <c r="V12" s="1"/>
      <c r="W12" s="1"/>
    </row>
    <row r="13" spans="1:30" x14ac:dyDescent="0.25">
      <c r="A13">
        <v>12</v>
      </c>
      <c r="B13">
        <v>1</v>
      </c>
      <c r="C13" t="str">
        <f>IF(Titanic_Dataset[[#This Row],[Survived]]=1,"Survived","Died")</f>
        <v>Survived</v>
      </c>
      <c r="D13">
        <v>1</v>
      </c>
      <c r="E13" t="str">
        <f>IF(Titanic_Dataset[[#This Row],[Pclass]]=1,"1st",IF(Titanic_Dataset[[#This Row],[Pclass]]=2,"2nd",IF(Titanic_Dataset[[#This Row],[Pclass]]=3,"3rd")))</f>
        <v>1st</v>
      </c>
      <c r="F13" s="1" t="s">
        <v>44</v>
      </c>
      <c r="G13" s="1" t="str">
        <f>TRIM(MID(Titanic_Dataset[[#This Row],[Name]],
FIND(",",Titanic_Dataset[[#This Row],[Name]])+2,
FIND(".",Titanic_Dataset[[#This Row],[Name]],FIND(",",Titanic_Dataset[[#This Row],[Name]]))-FIND(",",Titanic_Dataset[[#This Row],[Name]])-1))</f>
        <v>Miss.</v>
      </c>
      <c r="H13" s="1" t="s">
        <v>18</v>
      </c>
      <c r="I13">
        <v>58</v>
      </c>
      <c r="J13" t="str">
        <f>IF(Titanic_Dataset[[#This Row],[Age]]&lt;12,"0-11",
IF(Titanic_Dataset[[#This Row],[Age]]&lt;20,"12-19",
IF(Titanic_Dataset[[#This Row],[Age]]&lt;30,"20-29",
IF(Titanic_Dataset[[#This Row],[Age]]&lt;40,"30-39",
IF(Titanic_Dataset[[#This Row],[Age]]&lt;50,"40-49",
IF(Titanic_Dataset[[#This Row],[Age]]&lt;60,"50-59",
IF(Titanic_Dataset[[#This Row],[Age]]&lt;70,"60-69",)))))))</f>
        <v>50-59</v>
      </c>
      <c r="K13">
        <v>0</v>
      </c>
      <c r="L13">
        <v>0</v>
      </c>
      <c r="M13">
        <f>Titanic_Dataset[[#This Row],[Parch]]+Titanic_Dataset[[#This Row],[SibSp]]</f>
        <v>0</v>
      </c>
      <c r="N13" s="1" t="s">
        <v>45</v>
      </c>
      <c r="O13">
        <v>26.55</v>
      </c>
      <c r="P13">
        <f>IF(Titanic_Dataset[[#This Row],[Survived]]=1,Titanic_Dataset[[#This Row],[Fare]],NA())</f>
        <v>26.55</v>
      </c>
      <c r="Q13" t="e">
        <f>IF(Titanic_Dataset[[#This Row],[Survived]]=0,Titanic_Dataset[[#This Row],[Fare]],NA())</f>
        <v>#N/A</v>
      </c>
      <c r="R13" t="str">
        <f>VLOOKUP(Titanic_Dataset[[#This Row],[Fare]],Table2[],2,TRUE)</f>
        <v>high</v>
      </c>
      <c r="S13" s="1" t="s">
        <v>46</v>
      </c>
      <c r="T13" s="1" t="s">
        <v>16</v>
      </c>
      <c r="U13" s="1"/>
      <c r="V13" s="1"/>
      <c r="W13" s="1"/>
    </row>
    <row r="14" spans="1:30" x14ac:dyDescent="0.25">
      <c r="A14">
        <v>13</v>
      </c>
      <c r="B14">
        <v>0</v>
      </c>
      <c r="C14" t="str">
        <f>IF(Titanic_Dataset[[#This Row],[Survived]]=1,"Survived","Died")</f>
        <v>Died</v>
      </c>
      <c r="D14">
        <v>3</v>
      </c>
      <c r="E14" t="str">
        <f>IF(Titanic_Dataset[[#This Row],[Pclass]]=1,"1st",IF(Titanic_Dataset[[#This Row],[Pclass]]=2,"2nd",IF(Titanic_Dataset[[#This Row],[Pclass]]=3,"3rd")))</f>
        <v>3rd</v>
      </c>
      <c r="F14" s="1" t="s">
        <v>47</v>
      </c>
      <c r="G14" s="1" t="str">
        <f>TRIM(MID(Titanic_Dataset[[#This Row],[Name]],
FIND(",",Titanic_Dataset[[#This Row],[Name]])+2,
FIND(".",Titanic_Dataset[[#This Row],[Name]],FIND(",",Titanic_Dataset[[#This Row],[Name]]))-FIND(",",Titanic_Dataset[[#This Row],[Name]])-1))</f>
        <v>Mr.</v>
      </c>
      <c r="H14" s="1" t="s">
        <v>13</v>
      </c>
      <c r="I14">
        <v>20</v>
      </c>
      <c r="J1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4">
        <v>0</v>
      </c>
      <c r="L14">
        <v>0</v>
      </c>
      <c r="M14">
        <f>Titanic_Dataset[[#This Row],[Parch]]+Titanic_Dataset[[#This Row],[SibSp]]</f>
        <v>0</v>
      </c>
      <c r="N14" s="1" t="s">
        <v>48</v>
      </c>
      <c r="O14">
        <v>8.0500000000000007</v>
      </c>
      <c r="P14" t="e">
        <f>IF(Titanic_Dataset[[#This Row],[Survived]]=1,Titanic_Dataset[[#This Row],[Fare]],NA())</f>
        <v>#N/A</v>
      </c>
      <c r="Q14">
        <f>IF(Titanic_Dataset[[#This Row],[Survived]]=0,Titanic_Dataset[[#This Row],[Fare]],NA())</f>
        <v>8.0500000000000007</v>
      </c>
      <c r="R14" t="str">
        <f>VLOOKUP(Titanic_Dataset[[#This Row],[Fare]],Table2[],2,TRUE)</f>
        <v>medium</v>
      </c>
      <c r="S14" s="1" t="s">
        <v>15</v>
      </c>
      <c r="T14" s="1" t="s">
        <v>16</v>
      </c>
      <c r="U14" s="1"/>
      <c r="V14" s="1"/>
      <c r="W14" s="1"/>
    </row>
    <row r="15" spans="1:30" x14ac:dyDescent="0.25">
      <c r="A15">
        <v>14</v>
      </c>
      <c r="B15">
        <v>0</v>
      </c>
      <c r="C15" t="str">
        <f>IF(Titanic_Dataset[[#This Row],[Survived]]=1,"Survived","Died")</f>
        <v>Died</v>
      </c>
      <c r="D15">
        <v>3</v>
      </c>
      <c r="E15" t="str">
        <f>IF(Titanic_Dataset[[#This Row],[Pclass]]=1,"1st",IF(Titanic_Dataset[[#This Row],[Pclass]]=2,"2nd",IF(Titanic_Dataset[[#This Row],[Pclass]]=3,"3rd")))</f>
        <v>3rd</v>
      </c>
      <c r="F15" s="1" t="s">
        <v>49</v>
      </c>
      <c r="G15" s="1" t="str">
        <f>TRIM(MID(Titanic_Dataset[[#This Row],[Name]],
FIND(",",Titanic_Dataset[[#This Row],[Name]])+2,
FIND(".",Titanic_Dataset[[#This Row],[Name]],FIND(",",Titanic_Dataset[[#This Row],[Name]]))-FIND(",",Titanic_Dataset[[#This Row],[Name]])-1))</f>
        <v>Mr.</v>
      </c>
      <c r="H15" s="1" t="s">
        <v>13</v>
      </c>
      <c r="I15">
        <v>39</v>
      </c>
      <c r="J15" t="str">
        <f>IF(Titanic_Dataset[[#This Row],[Age]]&lt;12,"0-11",
IF(Titanic_Dataset[[#This Row],[Age]]&lt;20,"12-19",
IF(Titanic_Dataset[[#This Row],[Age]]&lt;30,"20-29",
IF(Titanic_Dataset[[#This Row],[Age]]&lt;40,"30-39",
IF(Titanic_Dataset[[#This Row],[Age]]&lt;50,"40-49",
IF(Titanic_Dataset[[#This Row],[Age]]&lt;60,"50-59",
IF(Titanic_Dataset[[#This Row],[Age]]&lt;70,"60-69",)))))))</f>
        <v>30-39</v>
      </c>
      <c r="K15">
        <v>1</v>
      </c>
      <c r="L15">
        <v>5</v>
      </c>
      <c r="M15">
        <f>Titanic_Dataset[[#This Row],[Parch]]+Titanic_Dataset[[#This Row],[SibSp]]</f>
        <v>6</v>
      </c>
      <c r="N15" s="1" t="s">
        <v>50</v>
      </c>
      <c r="O15">
        <v>31.274999999999999</v>
      </c>
      <c r="P15" t="e">
        <f>IF(Titanic_Dataset[[#This Row],[Survived]]=1,Titanic_Dataset[[#This Row],[Fare]],NA())</f>
        <v>#N/A</v>
      </c>
      <c r="Q15">
        <f>IF(Titanic_Dataset[[#This Row],[Survived]]=0,Titanic_Dataset[[#This Row],[Fare]],NA())</f>
        <v>31.274999999999999</v>
      </c>
      <c r="R15" t="str">
        <f>VLOOKUP(Titanic_Dataset[[#This Row],[Fare]],Table2[],2,TRUE)</f>
        <v>very hiegh</v>
      </c>
      <c r="S15" s="1" t="s">
        <v>15</v>
      </c>
      <c r="T15" s="1" t="s">
        <v>16</v>
      </c>
      <c r="U15" s="1"/>
      <c r="V15" s="1"/>
      <c r="W15" s="1"/>
    </row>
    <row r="16" spans="1:30" x14ac:dyDescent="0.25">
      <c r="A16">
        <v>15</v>
      </c>
      <c r="B16">
        <v>0</v>
      </c>
      <c r="C16" t="str">
        <f>IF(Titanic_Dataset[[#This Row],[Survived]]=1,"Survived","Died")</f>
        <v>Died</v>
      </c>
      <c r="D16">
        <v>3</v>
      </c>
      <c r="E16" t="str">
        <f>IF(Titanic_Dataset[[#This Row],[Pclass]]=1,"1st",IF(Titanic_Dataset[[#This Row],[Pclass]]=2,"2nd",IF(Titanic_Dataset[[#This Row],[Pclass]]=3,"3rd")))</f>
        <v>3rd</v>
      </c>
      <c r="F16" s="1" t="s">
        <v>51</v>
      </c>
      <c r="G16" s="1" t="str">
        <f>TRIM(MID(Titanic_Dataset[[#This Row],[Name]],
FIND(",",Titanic_Dataset[[#This Row],[Name]])+2,
FIND(".",Titanic_Dataset[[#This Row],[Name]],FIND(",",Titanic_Dataset[[#This Row],[Name]]))-FIND(",",Titanic_Dataset[[#This Row],[Name]])-1))</f>
        <v>Miss.</v>
      </c>
      <c r="H16" s="1" t="s">
        <v>18</v>
      </c>
      <c r="I16">
        <v>14</v>
      </c>
      <c r="J16" t="str">
        <f>IF(Titanic_Dataset[[#This Row],[Age]]&lt;12,"0-11",
IF(Titanic_Dataset[[#This Row],[Age]]&lt;20,"12-19",
IF(Titanic_Dataset[[#This Row],[Age]]&lt;30,"20-29",
IF(Titanic_Dataset[[#This Row],[Age]]&lt;40,"30-39",
IF(Titanic_Dataset[[#This Row],[Age]]&lt;50,"40-49",
IF(Titanic_Dataset[[#This Row],[Age]]&lt;60,"50-59",
IF(Titanic_Dataset[[#This Row],[Age]]&lt;70,"60-69",)))))))</f>
        <v>12-19</v>
      </c>
      <c r="K16">
        <v>0</v>
      </c>
      <c r="L16">
        <v>0</v>
      </c>
      <c r="M16">
        <f>Titanic_Dataset[[#This Row],[Parch]]+Titanic_Dataset[[#This Row],[SibSp]]</f>
        <v>0</v>
      </c>
      <c r="N16" s="1" t="s">
        <v>52</v>
      </c>
      <c r="O16">
        <v>7.8541999999999996</v>
      </c>
      <c r="P16" t="e">
        <f>IF(Titanic_Dataset[[#This Row],[Survived]]=1,Titanic_Dataset[[#This Row],[Fare]],NA())</f>
        <v>#N/A</v>
      </c>
      <c r="Q16">
        <f>IF(Titanic_Dataset[[#This Row],[Survived]]=0,Titanic_Dataset[[#This Row],[Fare]],NA())</f>
        <v>7.8541999999999996</v>
      </c>
      <c r="R16" t="str">
        <f>VLOOKUP(Titanic_Dataset[[#This Row],[Fare]],Table2[],2,TRUE)</f>
        <v>low</v>
      </c>
      <c r="S16" s="1" t="s">
        <v>15</v>
      </c>
      <c r="T16" s="1" t="s">
        <v>16</v>
      </c>
      <c r="U16" s="1"/>
      <c r="V16" s="1"/>
      <c r="W16" s="1"/>
    </row>
    <row r="17" spans="1:23" x14ac:dyDescent="0.25">
      <c r="A17">
        <v>16</v>
      </c>
      <c r="B17">
        <v>1</v>
      </c>
      <c r="C17" t="str">
        <f>IF(Titanic_Dataset[[#This Row],[Survived]]=1,"Survived","Died")</f>
        <v>Survived</v>
      </c>
      <c r="D17">
        <v>2</v>
      </c>
      <c r="E17" t="str">
        <f>IF(Titanic_Dataset[[#This Row],[Pclass]]=1,"1st",IF(Titanic_Dataset[[#This Row],[Pclass]]=2,"2nd",IF(Titanic_Dataset[[#This Row],[Pclass]]=3,"3rd")))</f>
        <v>2nd</v>
      </c>
      <c r="F17" s="1" t="s">
        <v>53</v>
      </c>
      <c r="G17" s="1" t="str">
        <f>TRIM(MID(Titanic_Dataset[[#This Row],[Name]],
FIND(",",Titanic_Dataset[[#This Row],[Name]])+2,
FIND(".",Titanic_Dataset[[#This Row],[Name]],FIND(",",Titanic_Dataset[[#This Row],[Name]]))-FIND(",",Titanic_Dataset[[#This Row],[Name]])-1))</f>
        <v>Mrs.</v>
      </c>
      <c r="H17" s="1" t="s">
        <v>18</v>
      </c>
      <c r="I17">
        <v>55</v>
      </c>
      <c r="J17" t="str">
        <f>IF(Titanic_Dataset[[#This Row],[Age]]&lt;12,"0-11",
IF(Titanic_Dataset[[#This Row],[Age]]&lt;20,"12-19",
IF(Titanic_Dataset[[#This Row],[Age]]&lt;30,"20-29",
IF(Titanic_Dataset[[#This Row],[Age]]&lt;40,"30-39",
IF(Titanic_Dataset[[#This Row],[Age]]&lt;50,"40-49",
IF(Titanic_Dataset[[#This Row],[Age]]&lt;60,"50-59",
IF(Titanic_Dataset[[#This Row],[Age]]&lt;70,"60-69",)))))))</f>
        <v>50-59</v>
      </c>
      <c r="K17">
        <v>0</v>
      </c>
      <c r="L17">
        <v>0</v>
      </c>
      <c r="M17">
        <f>Titanic_Dataset[[#This Row],[Parch]]+Titanic_Dataset[[#This Row],[SibSp]]</f>
        <v>0</v>
      </c>
      <c r="N17" s="1" t="s">
        <v>54</v>
      </c>
      <c r="O17">
        <v>16</v>
      </c>
      <c r="P17">
        <f>IF(Titanic_Dataset[[#This Row],[Survived]]=1,Titanic_Dataset[[#This Row],[Fare]],NA())</f>
        <v>16</v>
      </c>
      <c r="Q17" t="e">
        <f>IF(Titanic_Dataset[[#This Row],[Survived]]=0,Titanic_Dataset[[#This Row],[Fare]],NA())</f>
        <v>#N/A</v>
      </c>
      <c r="R17" t="str">
        <f>VLOOKUP(Titanic_Dataset[[#This Row],[Fare]],Table2[],2,TRUE)</f>
        <v>high</v>
      </c>
      <c r="S17" s="1" t="s">
        <v>15</v>
      </c>
      <c r="T17" s="1" t="s">
        <v>16</v>
      </c>
      <c r="U17" s="1"/>
      <c r="V17" s="1"/>
      <c r="W17" s="1"/>
    </row>
    <row r="18" spans="1:23" x14ac:dyDescent="0.25">
      <c r="A18">
        <v>17</v>
      </c>
      <c r="B18">
        <v>0</v>
      </c>
      <c r="C18" t="str">
        <f>IF(Titanic_Dataset[[#This Row],[Survived]]=1,"Survived","Died")</f>
        <v>Died</v>
      </c>
      <c r="D18">
        <v>3</v>
      </c>
      <c r="E18" t="str">
        <f>IF(Titanic_Dataset[[#This Row],[Pclass]]=1,"1st",IF(Titanic_Dataset[[#This Row],[Pclass]]=2,"2nd",IF(Titanic_Dataset[[#This Row],[Pclass]]=3,"3rd")))</f>
        <v>3rd</v>
      </c>
      <c r="F18" s="1" t="s">
        <v>55</v>
      </c>
      <c r="G18" s="1" t="str">
        <f>TRIM(MID(Titanic_Dataset[[#This Row],[Name]],
FIND(",",Titanic_Dataset[[#This Row],[Name]])+2,
FIND(".",Titanic_Dataset[[#This Row],[Name]],FIND(",",Titanic_Dataset[[#This Row],[Name]]))-FIND(",",Titanic_Dataset[[#This Row],[Name]])-1))</f>
        <v>Master.</v>
      </c>
      <c r="H18" s="1" t="s">
        <v>13</v>
      </c>
      <c r="I18">
        <v>2</v>
      </c>
      <c r="J18" t="str">
        <f>IF(Titanic_Dataset[[#This Row],[Age]]&lt;12,"0-11",
IF(Titanic_Dataset[[#This Row],[Age]]&lt;20,"12-19",
IF(Titanic_Dataset[[#This Row],[Age]]&lt;30,"20-29",
IF(Titanic_Dataset[[#This Row],[Age]]&lt;40,"30-39",
IF(Titanic_Dataset[[#This Row],[Age]]&lt;50,"40-49",
IF(Titanic_Dataset[[#This Row],[Age]]&lt;60,"50-59",
IF(Titanic_Dataset[[#This Row],[Age]]&lt;70,"60-69",)))))))</f>
        <v>0-11</v>
      </c>
      <c r="K18">
        <v>4</v>
      </c>
      <c r="L18">
        <v>1</v>
      </c>
      <c r="M18">
        <f>Titanic_Dataset[[#This Row],[Parch]]+Titanic_Dataset[[#This Row],[SibSp]]</f>
        <v>5</v>
      </c>
      <c r="N18" s="1" t="s">
        <v>56</v>
      </c>
      <c r="O18">
        <v>29.125</v>
      </c>
      <c r="P18" t="e">
        <f>IF(Titanic_Dataset[[#This Row],[Survived]]=1,Titanic_Dataset[[#This Row],[Fare]],NA())</f>
        <v>#N/A</v>
      </c>
      <c r="Q18">
        <f>IF(Titanic_Dataset[[#This Row],[Survived]]=0,Titanic_Dataset[[#This Row],[Fare]],NA())</f>
        <v>29.125</v>
      </c>
      <c r="R18" t="str">
        <f>VLOOKUP(Titanic_Dataset[[#This Row],[Fare]],Table2[],2,TRUE)</f>
        <v>high</v>
      </c>
      <c r="S18" s="1" t="s">
        <v>15</v>
      </c>
      <c r="T18" s="1" t="s">
        <v>31</v>
      </c>
      <c r="U18" s="1"/>
      <c r="V18" s="1"/>
      <c r="W18" s="1"/>
    </row>
    <row r="19" spans="1:23" x14ac:dyDescent="0.25">
      <c r="A19">
        <v>18</v>
      </c>
      <c r="B19">
        <v>1</v>
      </c>
      <c r="C19" t="str">
        <f>IF(Titanic_Dataset[[#This Row],[Survived]]=1,"Survived","Died")</f>
        <v>Survived</v>
      </c>
      <c r="D19">
        <v>2</v>
      </c>
      <c r="E19" t="str">
        <f>IF(Titanic_Dataset[[#This Row],[Pclass]]=1,"1st",IF(Titanic_Dataset[[#This Row],[Pclass]]=2,"2nd",IF(Titanic_Dataset[[#This Row],[Pclass]]=3,"3rd")))</f>
        <v>2nd</v>
      </c>
      <c r="F19" s="1" t="s">
        <v>57</v>
      </c>
      <c r="G19" s="1" t="str">
        <f>TRIM(MID(Titanic_Dataset[[#This Row],[Name]],
FIND(",",Titanic_Dataset[[#This Row],[Name]])+2,
FIND(".",Titanic_Dataset[[#This Row],[Name]],FIND(",",Titanic_Dataset[[#This Row],[Name]]))-FIND(",",Titanic_Dataset[[#This Row],[Name]])-1))</f>
        <v>Mr.</v>
      </c>
      <c r="H19" s="1" t="s">
        <v>13</v>
      </c>
      <c r="I19">
        <v>28</v>
      </c>
      <c r="J1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9">
        <v>0</v>
      </c>
      <c r="L19">
        <v>0</v>
      </c>
      <c r="M19">
        <f>Titanic_Dataset[[#This Row],[Parch]]+Titanic_Dataset[[#This Row],[SibSp]]</f>
        <v>0</v>
      </c>
      <c r="N19" s="1" t="s">
        <v>58</v>
      </c>
      <c r="O19">
        <v>13</v>
      </c>
      <c r="P19">
        <f>IF(Titanic_Dataset[[#This Row],[Survived]]=1,Titanic_Dataset[[#This Row],[Fare]],NA())</f>
        <v>13</v>
      </c>
      <c r="Q19" t="e">
        <f>IF(Titanic_Dataset[[#This Row],[Survived]]=0,Titanic_Dataset[[#This Row],[Fare]],NA())</f>
        <v>#N/A</v>
      </c>
      <c r="R19" t="str">
        <f>VLOOKUP(Titanic_Dataset[[#This Row],[Fare]],Table2[],2,TRUE)</f>
        <v>medium</v>
      </c>
      <c r="S19" s="1" t="s">
        <v>15</v>
      </c>
      <c r="T19" s="1" t="s">
        <v>16</v>
      </c>
      <c r="U19" s="1"/>
      <c r="V19" s="1"/>
      <c r="W19" s="1"/>
    </row>
    <row r="20" spans="1:23" x14ac:dyDescent="0.25">
      <c r="A20">
        <v>19</v>
      </c>
      <c r="B20">
        <v>0</v>
      </c>
      <c r="C20" t="str">
        <f>IF(Titanic_Dataset[[#This Row],[Survived]]=1,"Survived","Died")</f>
        <v>Died</v>
      </c>
      <c r="D20">
        <v>3</v>
      </c>
      <c r="E20" t="str">
        <f>IF(Titanic_Dataset[[#This Row],[Pclass]]=1,"1st",IF(Titanic_Dataset[[#This Row],[Pclass]]=2,"2nd",IF(Titanic_Dataset[[#This Row],[Pclass]]=3,"3rd")))</f>
        <v>3rd</v>
      </c>
      <c r="F20" s="1" t="s">
        <v>59</v>
      </c>
      <c r="G20" s="1" t="str">
        <f>TRIM(MID(Titanic_Dataset[[#This Row],[Name]],
FIND(",",Titanic_Dataset[[#This Row],[Name]])+2,
FIND(".",Titanic_Dataset[[#This Row],[Name]],FIND(",",Titanic_Dataset[[#This Row],[Name]]))-FIND(",",Titanic_Dataset[[#This Row],[Name]])-1))</f>
        <v>Mrs.</v>
      </c>
      <c r="H20" s="1" t="s">
        <v>18</v>
      </c>
      <c r="I20">
        <v>31</v>
      </c>
      <c r="J20" t="str">
        <f>IF(Titanic_Dataset[[#This Row],[Age]]&lt;12,"0-11",
IF(Titanic_Dataset[[#This Row],[Age]]&lt;20,"12-19",
IF(Titanic_Dataset[[#This Row],[Age]]&lt;30,"20-29",
IF(Titanic_Dataset[[#This Row],[Age]]&lt;40,"30-39",
IF(Titanic_Dataset[[#This Row],[Age]]&lt;50,"40-49",
IF(Titanic_Dataset[[#This Row],[Age]]&lt;60,"50-59",
IF(Titanic_Dataset[[#This Row],[Age]]&lt;70,"60-69",)))))))</f>
        <v>30-39</v>
      </c>
      <c r="K20">
        <v>1</v>
      </c>
      <c r="L20">
        <v>0</v>
      </c>
      <c r="M20">
        <f>Titanic_Dataset[[#This Row],[Parch]]+Titanic_Dataset[[#This Row],[SibSp]]</f>
        <v>1</v>
      </c>
      <c r="N20" s="1" t="s">
        <v>60</v>
      </c>
      <c r="O20">
        <v>18</v>
      </c>
      <c r="P20" t="e">
        <f>IF(Titanic_Dataset[[#This Row],[Survived]]=1,Titanic_Dataset[[#This Row],[Fare]],NA())</f>
        <v>#N/A</v>
      </c>
      <c r="Q20">
        <f>IF(Titanic_Dataset[[#This Row],[Survived]]=0,Titanic_Dataset[[#This Row],[Fare]],NA())</f>
        <v>18</v>
      </c>
      <c r="R20" t="str">
        <f>VLOOKUP(Titanic_Dataset[[#This Row],[Fare]],Table2[],2,TRUE)</f>
        <v>high</v>
      </c>
      <c r="S20" s="1" t="s">
        <v>15</v>
      </c>
      <c r="T20" s="1" t="s">
        <v>16</v>
      </c>
      <c r="U20" s="1"/>
      <c r="V20" s="1"/>
      <c r="W20" s="1"/>
    </row>
    <row r="21" spans="1:23" x14ac:dyDescent="0.25">
      <c r="A21">
        <v>20</v>
      </c>
      <c r="B21">
        <v>1</v>
      </c>
      <c r="C21" t="str">
        <f>IF(Titanic_Dataset[[#This Row],[Survived]]=1,"Survived","Died")</f>
        <v>Survived</v>
      </c>
      <c r="D21">
        <v>3</v>
      </c>
      <c r="E21" t="str">
        <f>IF(Titanic_Dataset[[#This Row],[Pclass]]=1,"1st",IF(Titanic_Dataset[[#This Row],[Pclass]]=2,"2nd",IF(Titanic_Dataset[[#This Row],[Pclass]]=3,"3rd")))</f>
        <v>3rd</v>
      </c>
      <c r="F21" s="1" t="s">
        <v>61</v>
      </c>
      <c r="G21" s="1" t="str">
        <f>TRIM(MID(Titanic_Dataset[[#This Row],[Name]],
FIND(",",Titanic_Dataset[[#This Row],[Name]])+2,
FIND(".",Titanic_Dataset[[#This Row],[Name]],FIND(",",Titanic_Dataset[[#This Row],[Name]]))-FIND(",",Titanic_Dataset[[#This Row],[Name]])-1))</f>
        <v>Mrs.</v>
      </c>
      <c r="H21" s="1" t="s">
        <v>18</v>
      </c>
      <c r="I21">
        <v>28</v>
      </c>
      <c r="J2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1">
        <v>0</v>
      </c>
      <c r="L21">
        <v>0</v>
      </c>
      <c r="M21">
        <f>Titanic_Dataset[[#This Row],[Parch]]+Titanic_Dataset[[#This Row],[SibSp]]</f>
        <v>0</v>
      </c>
      <c r="N21" s="1" t="s">
        <v>62</v>
      </c>
      <c r="O21">
        <v>7.2249999999999996</v>
      </c>
      <c r="P21">
        <f>IF(Titanic_Dataset[[#This Row],[Survived]]=1,Titanic_Dataset[[#This Row],[Fare]],NA())</f>
        <v>7.2249999999999996</v>
      </c>
      <c r="Q21" t="e">
        <f>IF(Titanic_Dataset[[#This Row],[Survived]]=0,Titanic_Dataset[[#This Row],[Fare]],NA())</f>
        <v>#N/A</v>
      </c>
      <c r="R21" t="str">
        <f>VLOOKUP(Titanic_Dataset[[#This Row],[Fare]],Table2[],2,TRUE)</f>
        <v>low</v>
      </c>
      <c r="S21" s="1" t="s">
        <v>15</v>
      </c>
      <c r="T21" s="1" t="s">
        <v>21</v>
      </c>
      <c r="U21" s="1"/>
      <c r="V21" s="1"/>
      <c r="W21" s="1"/>
    </row>
    <row r="22" spans="1:23" x14ac:dyDescent="0.25">
      <c r="A22">
        <v>21</v>
      </c>
      <c r="B22">
        <v>0</v>
      </c>
      <c r="C22" t="str">
        <f>IF(Titanic_Dataset[[#This Row],[Survived]]=1,"Survived","Died")</f>
        <v>Died</v>
      </c>
      <c r="D22">
        <v>2</v>
      </c>
      <c r="E22" t="str">
        <f>IF(Titanic_Dataset[[#This Row],[Pclass]]=1,"1st",IF(Titanic_Dataset[[#This Row],[Pclass]]=2,"2nd",IF(Titanic_Dataset[[#This Row],[Pclass]]=3,"3rd")))</f>
        <v>2nd</v>
      </c>
      <c r="F22" s="1" t="s">
        <v>63</v>
      </c>
      <c r="G22" s="1" t="str">
        <f>TRIM(MID(Titanic_Dataset[[#This Row],[Name]],
FIND(",",Titanic_Dataset[[#This Row],[Name]])+2,
FIND(".",Titanic_Dataset[[#This Row],[Name]],FIND(",",Titanic_Dataset[[#This Row],[Name]]))-FIND(",",Titanic_Dataset[[#This Row],[Name]])-1))</f>
        <v>Mr.</v>
      </c>
      <c r="H22" s="1" t="s">
        <v>13</v>
      </c>
      <c r="I22">
        <v>35</v>
      </c>
      <c r="J22" t="str">
        <f>IF(Titanic_Dataset[[#This Row],[Age]]&lt;12,"0-11",
IF(Titanic_Dataset[[#This Row],[Age]]&lt;20,"12-19",
IF(Titanic_Dataset[[#This Row],[Age]]&lt;30,"20-29",
IF(Titanic_Dataset[[#This Row],[Age]]&lt;40,"30-39",
IF(Titanic_Dataset[[#This Row],[Age]]&lt;50,"40-49",
IF(Titanic_Dataset[[#This Row],[Age]]&lt;60,"50-59",
IF(Titanic_Dataset[[#This Row],[Age]]&lt;70,"60-69",)))))))</f>
        <v>30-39</v>
      </c>
      <c r="K22">
        <v>0</v>
      </c>
      <c r="L22">
        <v>0</v>
      </c>
      <c r="M22">
        <f>Titanic_Dataset[[#This Row],[Parch]]+Titanic_Dataset[[#This Row],[SibSp]]</f>
        <v>0</v>
      </c>
      <c r="N22" s="1" t="s">
        <v>64</v>
      </c>
      <c r="O22">
        <v>26</v>
      </c>
      <c r="P22" t="e">
        <f>IF(Titanic_Dataset[[#This Row],[Survived]]=1,Titanic_Dataset[[#This Row],[Fare]],NA())</f>
        <v>#N/A</v>
      </c>
      <c r="Q22">
        <f>IF(Titanic_Dataset[[#This Row],[Survived]]=0,Titanic_Dataset[[#This Row],[Fare]],NA())</f>
        <v>26</v>
      </c>
      <c r="R22" t="str">
        <f>VLOOKUP(Titanic_Dataset[[#This Row],[Fare]],Table2[],2,TRUE)</f>
        <v>high</v>
      </c>
      <c r="S22" s="1" t="s">
        <v>15</v>
      </c>
      <c r="T22" s="1" t="s">
        <v>16</v>
      </c>
      <c r="U22" s="1"/>
      <c r="V22" s="1"/>
      <c r="W22" s="1"/>
    </row>
    <row r="23" spans="1:23" x14ac:dyDescent="0.25">
      <c r="A23">
        <v>22</v>
      </c>
      <c r="B23">
        <v>1</v>
      </c>
      <c r="C23" t="str">
        <f>IF(Titanic_Dataset[[#This Row],[Survived]]=1,"Survived","Died")</f>
        <v>Survived</v>
      </c>
      <c r="D23">
        <v>2</v>
      </c>
      <c r="E23" t="str">
        <f>IF(Titanic_Dataset[[#This Row],[Pclass]]=1,"1st",IF(Titanic_Dataset[[#This Row],[Pclass]]=2,"2nd",IF(Titanic_Dataset[[#This Row],[Pclass]]=3,"3rd")))</f>
        <v>2nd</v>
      </c>
      <c r="F23" s="1" t="s">
        <v>65</v>
      </c>
      <c r="G23" s="1" t="str">
        <f>TRIM(MID(Titanic_Dataset[[#This Row],[Name]],
FIND(",",Titanic_Dataset[[#This Row],[Name]])+2,
FIND(".",Titanic_Dataset[[#This Row],[Name]],FIND(",",Titanic_Dataset[[#This Row],[Name]]))-FIND(",",Titanic_Dataset[[#This Row],[Name]])-1))</f>
        <v>Mr.</v>
      </c>
      <c r="H23" s="1" t="s">
        <v>13</v>
      </c>
      <c r="I23">
        <v>34</v>
      </c>
      <c r="J23" t="str">
        <f>IF(Titanic_Dataset[[#This Row],[Age]]&lt;12,"0-11",
IF(Titanic_Dataset[[#This Row],[Age]]&lt;20,"12-19",
IF(Titanic_Dataset[[#This Row],[Age]]&lt;30,"20-29",
IF(Titanic_Dataset[[#This Row],[Age]]&lt;40,"30-39",
IF(Titanic_Dataset[[#This Row],[Age]]&lt;50,"40-49",
IF(Titanic_Dataset[[#This Row],[Age]]&lt;60,"50-59",
IF(Titanic_Dataset[[#This Row],[Age]]&lt;70,"60-69",)))))))</f>
        <v>30-39</v>
      </c>
      <c r="K23">
        <v>0</v>
      </c>
      <c r="L23">
        <v>0</v>
      </c>
      <c r="M23">
        <f>Titanic_Dataset[[#This Row],[Parch]]+Titanic_Dataset[[#This Row],[SibSp]]</f>
        <v>0</v>
      </c>
      <c r="N23" s="1" t="s">
        <v>66</v>
      </c>
      <c r="O23">
        <v>13</v>
      </c>
      <c r="P23">
        <f>IF(Titanic_Dataset[[#This Row],[Survived]]=1,Titanic_Dataset[[#This Row],[Fare]],NA())</f>
        <v>13</v>
      </c>
      <c r="Q23" t="e">
        <f>IF(Titanic_Dataset[[#This Row],[Survived]]=0,Titanic_Dataset[[#This Row],[Fare]],NA())</f>
        <v>#N/A</v>
      </c>
      <c r="R23" t="str">
        <f>VLOOKUP(Titanic_Dataset[[#This Row],[Fare]],Table2[],2,TRUE)</f>
        <v>medium</v>
      </c>
      <c r="S23" s="1" t="s">
        <v>67</v>
      </c>
      <c r="T23" s="1" t="s">
        <v>16</v>
      </c>
      <c r="U23" s="1"/>
      <c r="V23" s="1"/>
      <c r="W23" s="1"/>
    </row>
    <row r="24" spans="1:23" x14ac:dyDescent="0.25">
      <c r="A24">
        <v>23</v>
      </c>
      <c r="B24">
        <v>1</v>
      </c>
      <c r="C24" t="str">
        <f>IF(Titanic_Dataset[[#This Row],[Survived]]=1,"Survived","Died")</f>
        <v>Survived</v>
      </c>
      <c r="D24">
        <v>3</v>
      </c>
      <c r="E24" t="str">
        <f>IF(Titanic_Dataset[[#This Row],[Pclass]]=1,"1st",IF(Titanic_Dataset[[#This Row],[Pclass]]=2,"2nd",IF(Titanic_Dataset[[#This Row],[Pclass]]=3,"3rd")))</f>
        <v>3rd</v>
      </c>
      <c r="F24" s="1" t="s">
        <v>68</v>
      </c>
      <c r="G24" s="1" t="str">
        <f>TRIM(MID(Titanic_Dataset[[#This Row],[Name]],
FIND(",",Titanic_Dataset[[#This Row],[Name]])+2,
FIND(".",Titanic_Dataset[[#This Row],[Name]],FIND(",",Titanic_Dataset[[#This Row],[Name]]))-FIND(",",Titanic_Dataset[[#This Row],[Name]])-1))</f>
        <v>Miss.</v>
      </c>
      <c r="H24" s="1" t="s">
        <v>18</v>
      </c>
      <c r="I24">
        <v>15</v>
      </c>
      <c r="J24" t="str">
        <f>IF(Titanic_Dataset[[#This Row],[Age]]&lt;12,"0-11",
IF(Titanic_Dataset[[#This Row],[Age]]&lt;20,"12-19",
IF(Titanic_Dataset[[#This Row],[Age]]&lt;30,"20-29",
IF(Titanic_Dataset[[#This Row],[Age]]&lt;40,"30-39",
IF(Titanic_Dataset[[#This Row],[Age]]&lt;50,"40-49",
IF(Titanic_Dataset[[#This Row],[Age]]&lt;60,"50-59",
IF(Titanic_Dataset[[#This Row],[Age]]&lt;70,"60-69",)))))))</f>
        <v>12-19</v>
      </c>
      <c r="K24">
        <v>0</v>
      </c>
      <c r="L24">
        <v>0</v>
      </c>
      <c r="M24">
        <f>Titanic_Dataset[[#This Row],[Parch]]+Titanic_Dataset[[#This Row],[SibSp]]</f>
        <v>0</v>
      </c>
      <c r="N24" s="1" t="s">
        <v>69</v>
      </c>
      <c r="O24">
        <v>8.0291999999999994</v>
      </c>
      <c r="P24">
        <f>IF(Titanic_Dataset[[#This Row],[Survived]]=1,Titanic_Dataset[[#This Row],[Fare]],NA())</f>
        <v>8.0291999999999994</v>
      </c>
      <c r="Q24" t="e">
        <f>IF(Titanic_Dataset[[#This Row],[Survived]]=0,Titanic_Dataset[[#This Row],[Fare]],NA())</f>
        <v>#N/A</v>
      </c>
      <c r="R24" t="str">
        <f>VLOOKUP(Titanic_Dataset[[#This Row],[Fare]],Table2[],2,TRUE)</f>
        <v>medium</v>
      </c>
      <c r="S24" s="1" t="s">
        <v>15</v>
      </c>
      <c r="T24" s="1" t="s">
        <v>31</v>
      </c>
      <c r="U24" s="1"/>
      <c r="V24" s="1"/>
      <c r="W24" s="1"/>
    </row>
    <row r="25" spans="1:23" x14ac:dyDescent="0.25">
      <c r="A25">
        <v>24</v>
      </c>
      <c r="B25">
        <v>1</v>
      </c>
      <c r="C25" t="str">
        <f>IF(Titanic_Dataset[[#This Row],[Survived]]=1,"Survived","Died")</f>
        <v>Survived</v>
      </c>
      <c r="D25">
        <v>1</v>
      </c>
      <c r="E25" t="str">
        <f>IF(Titanic_Dataset[[#This Row],[Pclass]]=1,"1st",IF(Titanic_Dataset[[#This Row],[Pclass]]=2,"2nd",IF(Titanic_Dataset[[#This Row],[Pclass]]=3,"3rd")))</f>
        <v>1st</v>
      </c>
      <c r="F25" s="1" t="s">
        <v>70</v>
      </c>
      <c r="G25" s="1" t="str">
        <f>TRIM(MID(Titanic_Dataset[[#This Row],[Name]],
FIND(",",Titanic_Dataset[[#This Row],[Name]])+2,
FIND(".",Titanic_Dataset[[#This Row],[Name]],FIND(",",Titanic_Dataset[[#This Row],[Name]]))-FIND(",",Titanic_Dataset[[#This Row],[Name]])-1))</f>
        <v>Mr.</v>
      </c>
      <c r="H25" s="1" t="s">
        <v>13</v>
      </c>
      <c r="I25">
        <v>28</v>
      </c>
      <c r="J2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5">
        <v>0</v>
      </c>
      <c r="L25">
        <v>0</v>
      </c>
      <c r="M25">
        <f>Titanic_Dataset[[#This Row],[Parch]]+Titanic_Dataset[[#This Row],[SibSp]]</f>
        <v>0</v>
      </c>
      <c r="N25" s="1" t="s">
        <v>71</v>
      </c>
      <c r="O25">
        <v>35.5</v>
      </c>
      <c r="P25">
        <f>IF(Titanic_Dataset[[#This Row],[Survived]]=1,Titanic_Dataset[[#This Row],[Fare]],NA())</f>
        <v>35.5</v>
      </c>
      <c r="Q25" t="e">
        <f>IF(Titanic_Dataset[[#This Row],[Survived]]=0,Titanic_Dataset[[#This Row],[Fare]],NA())</f>
        <v>#N/A</v>
      </c>
      <c r="R25" t="str">
        <f>VLOOKUP(Titanic_Dataset[[#This Row],[Fare]],Table2[],2,TRUE)</f>
        <v>very hiegh</v>
      </c>
      <c r="S25" s="1" t="s">
        <v>72</v>
      </c>
      <c r="T25" s="1" t="s">
        <v>16</v>
      </c>
      <c r="U25" s="1"/>
      <c r="V25" s="1"/>
      <c r="W25" s="1"/>
    </row>
    <row r="26" spans="1:23" x14ac:dyDescent="0.25">
      <c r="A26">
        <v>25</v>
      </c>
      <c r="B26">
        <v>0</v>
      </c>
      <c r="C26" t="str">
        <f>IF(Titanic_Dataset[[#This Row],[Survived]]=1,"Survived","Died")</f>
        <v>Died</v>
      </c>
      <c r="D26">
        <v>3</v>
      </c>
      <c r="E26" t="str">
        <f>IF(Titanic_Dataset[[#This Row],[Pclass]]=1,"1st",IF(Titanic_Dataset[[#This Row],[Pclass]]=2,"2nd",IF(Titanic_Dataset[[#This Row],[Pclass]]=3,"3rd")))</f>
        <v>3rd</v>
      </c>
      <c r="F26" s="1" t="s">
        <v>73</v>
      </c>
      <c r="G26" s="1" t="str">
        <f>TRIM(MID(Titanic_Dataset[[#This Row],[Name]],
FIND(",",Titanic_Dataset[[#This Row],[Name]])+2,
FIND(".",Titanic_Dataset[[#This Row],[Name]],FIND(",",Titanic_Dataset[[#This Row],[Name]]))-FIND(",",Titanic_Dataset[[#This Row],[Name]])-1))</f>
        <v>Miss.</v>
      </c>
      <c r="H26" s="1" t="s">
        <v>18</v>
      </c>
      <c r="I26">
        <v>8</v>
      </c>
      <c r="J26" t="str">
        <f>IF(Titanic_Dataset[[#This Row],[Age]]&lt;12,"0-11",
IF(Titanic_Dataset[[#This Row],[Age]]&lt;20,"12-19",
IF(Titanic_Dataset[[#This Row],[Age]]&lt;30,"20-29",
IF(Titanic_Dataset[[#This Row],[Age]]&lt;40,"30-39",
IF(Titanic_Dataset[[#This Row],[Age]]&lt;50,"40-49",
IF(Titanic_Dataset[[#This Row],[Age]]&lt;60,"50-59",
IF(Titanic_Dataset[[#This Row],[Age]]&lt;70,"60-69",)))))))</f>
        <v>0-11</v>
      </c>
      <c r="K26">
        <v>3</v>
      </c>
      <c r="L26">
        <v>1</v>
      </c>
      <c r="M26">
        <f>Titanic_Dataset[[#This Row],[Parch]]+Titanic_Dataset[[#This Row],[SibSp]]</f>
        <v>4</v>
      </c>
      <c r="N26" s="1" t="s">
        <v>36</v>
      </c>
      <c r="O26">
        <v>21.074999999999999</v>
      </c>
      <c r="P26" t="e">
        <f>IF(Titanic_Dataset[[#This Row],[Survived]]=1,Titanic_Dataset[[#This Row],[Fare]],NA())</f>
        <v>#N/A</v>
      </c>
      <c r="Q26">
        <f>IF(Titanic_Dataset[[#This Row],[Survived]]=0,Titanic_Dataset[[#This Row],[Fare]],NA())</f>
        <v>21.074999999999999</v>
      </c>
      <c r="R26" t="str">
        <f>VLOOKUP(Titanic_Dataset[[#This Row],[Fare]],Table2[],2,TRUE)</f>
        <v>high</v>
      </c>
      <c r="S26" s="1" t="s">
        <v>15</v>
      </c>
      <c r="T26" s="1" t="s">
        <v>16</v>
      </c>
      <c r="U26" s="1"/>
      <c r="V26" s="1"/>
      <c r="W26" s="1"/>
    </row>
    <row r="27" spans="1:23" x14ac:dyDescent="0.25">
      <c r="A27">
        <v>26</v>
      </c>
      <c r="B27">
        <v>1</v>
      </c>
      <c r="C27" t="str">
        <f>IF(Titanic_Dataset[[#This Row],[Survived]]=1,"Survived","Died")</f>
        <v>Survived</v>
      </c>
      <c r="D27">
        <v>3</v>
      </c>
      <c r="E27" t="str">
        <f>IF(Titanic_Dataset[[#This Row],[Pclass]]=1,"1st",IF(Titanic_Dataset[[#This Row],[Pclass]]=2,"2nd",IF(Titanic_Dataset[[#This Row],[Pclass]]=3,"3rd")))</f>
        <v>3rd</v>
      </c>
      <c r="F27" s="1" t="s">
        <v>74</v>
      </c>
      <c r="G27" s="1" t="str">
        <f>TRIM(MID(Titanic_Dataset[[#This Row],[Name]],
FIND(",",Titanic_Dataset[[#This Row],[Name]])+2,
FIND(".",Titanic_Dataset[[#This Row],[Name]],FIND(",",Titanic_Dataset[[#This Row],[Name]]))-FIND(",",Titanic_Dataset[[#This Row],[Name]])-1))</f>
        <v>Mrs.</v>
      </c>
      <c r="H27" s="1" t="s">
        <v>18</v>
      </c>
      <c r="I27">
        <v>38</v>
      </c>
      <c r="J27" t="str">
        <f>IF(Titanic_Dataset[[#This Row],[Age]]&lt;12,"0-11",
IF(Titanic_Dataset[[#This Row],[Age]]&lt;20,"12-19",
IF(Titanic_Dataset[[#This Row],[Age]]&lt;30,"20-29",
IF(Titanic_Dataset[[#This Row],[Age]]&lt;40,"30-39",
IF(Titanic_Dataset[[#This Row],[Age]]&lt;50,"40-49",
IF(Titanic_Dataset[[#This Row],[Age]]&lt;60,"50-59",
IF(Titanic_Dataset[[#This Row],[Age]]&lt;70,"60-69",)))))))</f>
        <v>30-39</v>
      </c>
      <c r="K27">
        <v>1</v>
      </c>
      <c r="L27">
        <v>5</v>
      </c>
      <c r="M27">
        <f>Titanic_Dataset[[#This Row],[Parch]]+Titanic_Dataset[[#This Row],[SibSp]]</f>
        <v>6</v>
      </c>
      <c r="N27" s="1" t="s">
        <v>75</v>
      </c>
      <c r="O27">
        <v>31.387499999999999</v>
      </c>
      <c r="P27">
        <f>IF(Titanic_Dataset[[#This Row],[Survived]]=1,Titanic_Dataset[[#This Row],[Fare]],NA())</f>
        <v>31.387499999999999</v>
      </c>
      <c r="Q27" t="e">
        <f>IF(Titanic_Dataset[[#This Row],[Survived]]=0,Titanic_Dataset[[#This Row],[Fare]],NA())</f>
        <v>#N/A</v>
      </c>
      <c r="R27" t="str">
        <f>VLOOKUP(Titanic_Dataset[[#This Row],[Fare]],Table2[],2,TRUE)</f>
        <v>very hiegh</v>
      </c>
      <c r="S27" s="1" t="s">
        <v>15</v>
      </c>
      <c r="T27" s="1" t="s">
        <v>16</v>
      </c>
      <c r="U27" s="1"/>
      <c r="V27" s="1"/>
      <c r="W27" s="1"/>
    </row>
    <row r="28" spans="1:23" x14ac:dyDescent="0.25">
      <c r="A28">
        <v>27</v>
      </c>
      <c r="B28">
        <v>0</v>
      </c>
      <c r="C28" t="str">
        <f>IF(Titanic_Dataset[[#This Row],[Survived]]=1,"Survived","Died")</f>
        <v>Died</v>
      </c>
      <c r="D28">
        <v>3</v>
      </c>
      <c r="E28" t="str">
        <f>IF(Titanic_Dataset[[#This Row],[Pclass]]=1,"1st",IF(Titanic_Dataset[[#This Row],[Pclass]]=2,"2nd",IF(Titanic_Dataset[[#This Row],[Pclass]]=3,"3rd")))</f>
        <v>3rd</v>
      </c>
      <c r="F28" s="1" t="s">
        <v>76</v>
      </c>
      <c r="G28" s="1" t="str">
        <f>TRIM(MID(Titanic_Dataset[[#This Row],[Name]],
FIND(",",Titanic_Dataset[[#This Row],[Name]])+2,
FIND(".",Titanic_Dataset[[#This Row],[Name]],FIND(",",Titanic_Dataset[[#This Row],[Name]]))-FIND(",",Titanic_Dataset[[#This Row],[Name]])-1))</f>
        <v>Mr.</v>
      </c>
      <c r="H28" s="1" t="s">
        <v>13</v>
      </c>
      <c r="I28">
        <v>28</v>
      </c>
      <c r="J2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8">
        <v>0</v>
      </c>
      <c r="L28">
        <v>0</v>
      </c>
      <c r="M28">
        <f>Titanic_Dataset[[#This Row],[Parch]]+Titanic_Dataset[[#This Row],[SibSp]]</f>
        <v>0</v>
      </c>
      <c r="N28" s="1" t="s">
        <v>77</v>
      </c>
      <c r="O28">
        <v>7.2249999999999996</v>
      </c>
      <c r="P28" t="e">
        <f>IF(Titanic_Dataset[[#This Row],[Survived]]=1,Titanic_Dataset[[#This Row],[Fare]],NA())</f>
        <v>#N/A</v>
      </c>
      <c r="Q28">
        <f>IF(Titanic_Dataset[[#This Row],[Survived]]=0,Titanic_Dataset[[#This Row],[Fare]],NA())</f>
        <v>7.2249999999999996</v>
      </c>
      <c r="R28" t="str">
        <f>VLOOKUP(Titanic_Dataset[[#This Row],[Fare]],Table2[],2,TRUE)</f>
        <v>low</v>
      </c>
      <c r="S28" s="1" t="s">
        <v>15</v>
      </c>
      <c r="T28" s="1" t="s">
        <v>21</v>
      </c>
      <c r="U28" s="1"/>
      <c r="V28" s="1"/>
      <c r="W28" s="1"/>
    </row>
    <row r="29" spans="1:23" x14ac:dyDescent="0.25">
      <c r="A29">
        <v>28</v>
      </c>
      <c r="B29">
        <v>0</v>
      </c>
      <c r="C29" t="str">
        <f>IF(Titanic_Dataset[[#This Row],[Survived]]=1,"Survived","Died")</f>
        <v>Died</v>
      </c>
      <c r="D29">
        <v>1</v>
      </c>
      <c r="E29" t="str">
        <f>IF(Titanic_Dataset[[#This Row],[Pclass]]=1,"1st",IF(Titanic_Dataset[[#This Row],[Pclass]]=2,"2nd",IF(Titanic_Dataset[[#This Row],[Pclass]]=3,"3rd")))</f>
        <v>1st</v>
      </c>
      <c r="F29" s="1" t="s">
        <v>78</v>
      </c>
      <c r="G29" s="1" t="str">
        <f>TRIM(MID(Titanic_Dataset[[#This Row],[Name]],
FIND(",",Titanic_Dataset[[#This Row],[Name]])+2,
FIND(".",Titanic_Dataset[[#This Row],[Name]],FIND(",",Titanic_Dataset[[#This Row],[Name]]))-FIND(",",Titanic_Dataset[[#This Row],[Name]])-1))</f>
        <v>Mr.</v>
      </c>
      <c r="H29" s="1" t="s">
        <v>13</v>
      </c>
      <c r="I29">
        <v>19</v>
      </c>
      <c r="J29" t="str">
        <f>IF(Titanic_Dataset[[#This Row],[Age]]&lt;12,"0-11",
IF(Titanic_Dataset[[#This Row],[Age]]&lt;20,"12-19",
IF(Titanic_Dataset[[#This Row],[Age]]&lt;30,"20-29",
IF(Titanic_Dataset[[#This Row],[Age]]&lt;40,"30-39",
IF(Titanic_Dataset[[#This Row],[Age]]&lt;50,"40-49",
IF(Titanic_Dataset[[#This Row],[Age]]&lt;60,"50-59",
IF(Titanic_Dataset[[#This Row],[Age]]&lt;70,"60-69",)))))))</f>
        <v>12-19</v>
      </c>
      <c r="K29">
        <v>3</v>
      </c>
      <c r="L29">
        <v>2</v>
      </c>
      <c r="M29">
        <f>Titanic_Dataset[[#This Row],[Parch]]+Titanic_Dataset[[#This Row],[SibSp]]</f>
        <v>5</v>
      </c>
      <c r="N29" s="1" t="s">
        <v>79</v>
      </c>
      <c r="O29">
        <v>263</v>
      </c>
      <c r="P29" t="e">
        <f>IF(Titanic_Dataset[[#This Row],[Survived]]=1,Titanic_Dataset[[#This Row],[Fare]],NA())</f>
        <v>#N/A</v>
      </c>
      <c r="Q29">
        <f>IF(Titanic_Dataset[[#This Row],[Survived]]=0,Titanic_Dataset[[#This Row],[Fare]],NA())</f>
        <v>263</v>
      </c>
      <c r="R29" t="str">
        <f>VLOOKUP(Titanic_Dataset[[#This Row],[Fare]],Table2[],2,TRUE)</f>
        <v>very hiegh</v>
      </c>
      <c r="S29" s="1" t="s">
        <v>80</v>
      </c>
      <c r="T29" s="1" t="s">
        <v>16</v>
      </c>
      <c r="U29" s="1"/>
      <c r="V29" s="1"/>
      <c r="W29" s="1"/>
    </row>
    <row r="30" spans="1:23" x14ac:dyDescent="0.25">
      <c r="A30">
        <v>29</v>
      </c>
      <c r="B30">
        <v>1</v>
      </c>
      <c r="C30" t="str">
        <f>IF(Titanic_Dataset[[#This Row],[Survived]]=1,"Survived","Died")</f>
        <v>Survived</v>
      </c>
      <c r="D30">
        <v>3</v>
      </c>
      <c r="E30" t="str">
        <f>IF(Titanic_Dataset[[#This Row],[Pclass]]=1,"1st",IF(Titanic_Dataset[[#This Row],[Pclass]]=2,"2nd",IF(Titanic_Dataset[[#This Row],[Pclass]]=3,"3rd")))</f>
        <v>3rd</v>
      </c>
      <c r="F30" s="1" t="s">
        <v>81</v>
      </c>
      <c r="G30" s="1" t="str">
        <f>TRIM(MID(Titanic_Dataset[[#This Row],[Name]],
FIND(",",Titanic_Dataset[[#This Row],[Name]])+2,
FIND(".",Titanic_Dataset[[#This Row],[Name]],FIND(",",Titanic_Dataset[[#This Row],[Name]]))-FIND(",",Titanic_Dataset[[#This Row],[Name]])-1))</f>
        <v>Miss.</v>
      </c>
      <c r="H30" s="1" t="s">
        <v>18</v>
      </c>
      <c r="I30">
        <v>28</v>
      </c>
      <c r="J3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0">
        <v>0</v>
      </c>
      <c r="L30">
        <v>0</v>
      </c>
      <c r="M30">
        <f>Titanic_Dataset[[#This Row],[Parch]]+Titanic_Dataset[[#This Row],[SibSp]]</f>
        <v>0</v>
      </c>
      <c r="N30" s="1" t="s">
        <v>82</v>
      </c>
      <c r="O30">
        <v>7.8792</v>
      </c>
      <c r="P30">
        <f>IF(Titanic_Dataset[[#This Row],[Survived]]=1,Titanic_Dataset[[#This Row],[Fare]],NA())</f>
        <v>7.8792</v>
      </c>
      <c r="Q30" t="e">
        <f>IF(Titanic_Dataset[[#This Row],[Survived]]=0,Titanic_Dataset[[#This Row],[Fare]],NA())</f>
        <v>#N/A</v>
      </c>
      <c r="R30" t="str">
        <f>VLOOKUP(Titanic_Dataset[[#This Row],[Fare]],Table2[],2,TRUE)</f>
        <v>low</v>
      </c>
      <c r="S30" s="1" t="s">
        <v>15</v>
      </c>
      <c r="T30" s="1" t="s">
        <v>31</v>
      </c>
      <c r="U30" s="1"/>
      <c r="V30" s="1"/>
      <c r="W30" s="1"/>
    </row>
    <row r="31" spans="1:23" x14ac:dyDescent="0.25">
      <c r="A31">
        <v>30</v>
      </c>
      <c r="B31">
        <v>0</v>
      </c>
      <c r="C31" t="str">
        <f>IF(Titanic_Dataset[[#This Row],[Survived]]=1,"Survived","Died")</f>
        <v>Died</v>
      </c>
      <c r="D31">
        <v>3</v>
      </c>
      <c r="E31" t="str">
        <f>IF(Titanic_Dataset[[#This Row],[Pclass]]=1,"1st",IF(Titanic_Dataset[[#This Row],[Pclass]]=2,"2nd",IF(Titanic_Dataset[[#This Row],[Pclass]]=3,"3rd")))</f>
        <v>3rd</v>
      </c>
      <c r="F31" s="1" t="s">
        <v>83</v>
      </c>
      <c r="G31" s="1" t="str">
        <f>TRIM(MID(Titanic_Dataset[[#This Row],[Name]],
FIND(",",Titanic_Dataset[[#This Row],[Name]])+2,
FIND(".",Titanic_Dataset[[#This Row],[Name]],FIND(",",Titanic_Dataset[[#This Row],[Name]]))-FIND(",",Titanic_Dataset[[#This Row],[Name]])-1))</f>
        <v>Mr.</v>
      </c>
      <c r="H31" s="1" t="s">
        <v>13</v>
      </c>
      <c r="I31">
        <v>28</v>
      </c>
      <c r="J3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1">
        <v>0</v>
      </c>
      <c r="L31">
        <v>0</v>
      </c>
      <c r="M31">
        <f>Titanic_Dataset[[#This Row],[Parch]]+Titanic_Dataset[[#This Row],[SibSp]]</f>
        <v>0</v>
      </c>
      <c r="N31" s="1" t="s">
        <v>84</v>
      </c>
      <c r="O31">
        <v>7.8958000000000004</v>
      </c>
      <c r="P31" t="e">
        <f>IF(Titanic_Dataset[[#This Row],[Survived]]=1,Titanic_Dataset[[#This Row],[Fare]],NA())</f>
        <v>#N/A</v>
      </c>
      <c r="Q31">
        <f>IF(Titanic_Dataset[[#This Row],[Survived]]=0,Titanic_Dataset[[#This Row],[Fare]],NA())</f>
        <v>7.8958000000000004</v>
      </c>
      <c r="R31" t="str">
        <f>VLOOKUP(Titanic_Dataset[[#This Row],[Fare]],Table2[],2,TRUE)</f>
        <v>low</v>
      </c>
      <c r="S31" s="1" t="s">
        <v>15</v>
      </c>
      <c r="T31" s="1" t="s">
        <v>16</v>
      </c>
      <c r="U31" s="1"/>
      <c r="V31" s="1"/>
      <c r="W31" s="1"/>
    </row>
    <row r="32" spans="1:23" x14ac:dyDescent="0.25">
      <c r="A32">
        <v>31</v>
      </c>
      <c r="B32">
        <v>0</v>
      </c>
      <c r="C32" t="str">
        <f>IF(Titanic_Dataset[[#This Row],[Survived]]=1,"Survived","Died")</f>
        <v>Died</v>
      </c>
      <c r="D32">
        <v>1</v>
      </c>
      <c r="E32" t="str">
        <f>IF(Titanic_Dataset[[#This Row],[Pclass]]=1,"1st",IF(Titanic_Dataset[[#This Row],[Pclass]]=2,"2nd",IF(Titanic_Dataset[[#This Row],[Pclass]]=3,"3rd")))</f>
        <v>1st</v>
      </c>
      <c r="F32" s="1" t="s">
        <v>85</v>
      </c>
      <c r="G32" s="1" t="str">
        <f>TRIM(MID(Titanic_Dataset[[#This Row],[Name]],
FIND(",",Titanic_Dataset[[#This Row],[Name]])+2,
FIND(".",Titanic_Dataset[[#This Row],[Name]],FIND(",",Titanic_Dataset[[#This Row],[Name]]))-FIND(",",Titanic_Dataset[[#This Row],[Name]])-1))</f>
        <v>Don.</v>
      </c>
      <c r="H32" s="1" t="s">
        <v>13</v>
      </c>
      <c r="I32">
        <v>40</v>
      </c>
      <c r="J32" t="str">
        <f>IF(Titanic_Dataset[[#This Row],[Age]]&lt;12,"0-11",
IF(Titanic_Dataset[[#This Row],[Age]]&lt;20,"12-19",
IF(Titanic_Dataset[[#This Row],[Age]]&lt;30,"20-29",
IF(Titanic_Dataset[[#This Row],[Age]]&lt;40,"30-39",
IF(Titanic_Dataset[[#This Row],[Age]]&lt;50,"40-49",
IF(Titanic_Dataset[[#This Row],[Age]]&lt;60,"50-59",
IF(Titanic_Dataset[[#This Row],[Age]]&lt;70,"60-69",)))))))</f>
        <v>40-49</v>
      </c>
      <c r="K32">
        <v>0</v>
      </c>
      <c r="L32">
        <v>0</v>
      </c>
      <c r="M32">
        <f>Titanic_Dataset[[#This Row],[Parch]]+Titanic_Dataset[[#This Row],[SibSp]]</f>
        <v>0</v>
      </c>
      <c r="N32" s="1" t="s">
        <v>86</v>
      </c>
      <c r="O32">
        <v>27.720800000000001</v>
      </c>
      <c r="P32" t="e">
        <f>IF(Titanic_Dataset[[#This Row],[Survived]]=1,Titanic_Dataset[[#This Row],[Fare]],NA())</f>
        <v>#N/A</v>
      </c>
      <c r="Q32">
        <f>IF(Titanic_Dataset[[#This Row],[Survived]]=0,Titanic_Dataset[[#This Row],[Fare]],NA())</f>
        <v>27.720800000000001</v>
      </c>
      <c r="R32" t="str">
        <f>VLOOKUP(Titanic_Dataset[[#This Row],[Fare]],Table2[],2,TRUE)</f>
        <v>high</v>
      </c>
      <c r="S32" s="1" t="s">
        <v>15</v>
      </c>
      <c r="T32" s="1" t="s">
        <v>21</v>
      </c>
      <c r="U32" s="1"/>
      <c r="V32" s="1"/>
      <c r="W32" s="1"/>
    </row>
    <row r="33" spans="1:23" x14ac:dyDescent="0.25">
      <c r="A33">
        <v>32</v>
      </c>
      <c r="B33">
        <v>1</v>
      </c>
      <c r="C33" t="str">
        <f>IF(Titanic_Dataset[[#This Row],[Survived]]=1,"Survived","Died")</f>
        <v>Survived</v>
      </c>
      <c r="D33">
        <v>1</v>
      </c>
      <c r="E33" t="str">
        <f>IF(Titanic_Dataset[[#This Row],[Pclass]]=1,"1st",IF(Titanic_Dataset[[#This Row],[Pclass]]=2,"2nd",IF(Titanic_Dataset[[#This Row],[Pclass]]=3,"3rd")))</f>
        <v>1st</v>
      </c>
      <c r="F33" s="1" t="s">
        <v>87</v>
      </c>
      <c r="G33" s="1" t="str">
        <f>TRIM(MID(Titanic_Dataset[[#This Row],[Name]],
FIND(",",Titanic_Dataset[[#This Row],[Name]])+2,
FIND(".",Titanic_Dataset[[#This Row],[Name]],FIND(",",Titanic_Dataset[[#This Row],[Name]]))-FIND(",",Titanic_Dataset[[#This Row],[Name]])-1))</f>
        <v>Mrs.</v>
      </c>
      <c r="H33" s="1" t="s">
        <v>18</v>
      </c>
      <c r="I33">
        <v>28</v>
      </c>
      <c r="J3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3">
        <v>1</v>
      </c>
      <c r="L33">
        <v>0</v>
      </c>
      <c r="M33">
        <f>Titanic_Dataset[[#This Row],[Parch]]+Titanic_Dataset[[#This Row],[SibSp]]</f>
        <v>1</v>
      </c>
      <c r="N33" s="1" t="s">
        <v>88</v>
      </c>
      <c r="O33">
        <v>146.52080000000001</v>
      </c>
      <c r="P33">
        <f>IF(Titanic_Dataset[[#This Row],[Survived]]=1,Titanic_Dataset[[#This Row],[Fare]],NA())</f>
        <v>146.52080000000001</v>
      </c>
      <c r="Q33" t="e">
        <f>IF(Titanic_Dataset[[#This Row],[Survived]]=0,Titanic_Dataset[[#This Row],[Fare]],NA())</f>
        <v>#N/A</v>
      </c>
      <c r="R33" t="str">
        <f>VLOOKUP(Titanic_Dataset[[#This Row],[Fare]],Table2[],2,TRUE)</f>
        <v>very hiegh</v>
      </c>
      <c r="S33" s="1" t="s">
        <v>89</v>
      </c>
      <c r="T33" s="1" t="s">
        <v>21</v>
      </c>
      <c r="U33" s="1"/>
      <c r="V33" s="1"/>
      <c r="W33" s="1"/>
    </row>
    <row r="34" spans="1:23" x14ac:dyDescent="0.25">
      <c r="A34">
        <v>33</v>
      </c>
      <c r="B34">
        <v>1</v>
      </c>
      <c r="C34" t="str">
        <f>IF(Titanic_Dataset[[#This Row],[Survived]]=1,"Survived","Died")</f>
        <v>Survived</v>
      </c>
      <c r="D34">
        <v>3</v>
      </c>
      <c r="E34" t="str">
        <f>IF(Titanic_Dataset[[#This Row],[Pclass]]=1,"1st",IF(Titanic_Dataset[[#This Row],[Pclass]]=2,"2nd",IF(Titanic_Dataset[[#This Row],[Pclass]]=3,"3rd")))</f>
        <v>3rd</v>
      </c>
      <c r="F34" s="1" t="s">
        <v>90</v>
      </c>
      <c r="G34" s="1" t="str">
        <f>TRIM(MID(Titanic_Dataset[[#This Row],[Name]],
FIND(",",Titanic_Dataset[[#This Row],[Name]])+2,
FIND(".",Titanic_Dataset[[#This Row],[Name]],FIND(",",Titanic_Dataset[[#This Row],[Name]]))-FIND(",",Titanic_Dataset[[#This Row],[Name]])-1))</f>
        <v>Miss.</v>
      </c>
      <c r="H34" s="1" t="s">
        <v>18</v>
      </c>
      <c r="I34">
        <v>28</v>
      </c>
      <c r="J3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4">
        <v>0</v>
      </c>
      <c r="L34">
        <v>0</v>
      </c>
      <c r="M34">
        <f>Titanic_Dataset[[#This Row],[Parch]]+Titanic_Dataset[[#This Row],[SibSp]]</f>
        <v>0</v>
      </c>
      <c r="N34" s="1" t="s">
        <v>91</v>
      </c>
      <c r="O34">
        <v>7.75</v>
      </c>
      <c r="P34">
        <f>IF(Titanic_Dataset[[#This Row],[Survived]]=1,Titanic_Dataset[[#This Row],[Fare]],NA())</f>
        <v>7.75</v>
      </c>
      <c r="Q34" t="e">
        <f>IF(Titanic_Dataset[[#This Row],[Survived]]=0,Titanic_Dataset[[#This Row],[Fare]],NA())</f>
        <v>#N/A</v>
      </c>
      <c r="R34" t="str">
        <f>VLOOKUP(Titanic_Dataset[[#This Row],[Fare]],Table2[],2,TRUE)</f>
        <v>low</v>
      </c>
      <c r="S34" s="1" t="s">
        <v>15</v>
      </c>
      <c r="T34" s="1" t="s">
        <v>31</v>
      </c>
      <c r="U34" s="1"/>
      <c r="V34" s="1"/>
      <c r="W34" s="1"/>
    </row>
    <row r="35" spans="1:23" x14ac:dyDescent="0.25">
      <c r="A35">
        <v>34</v>
      </c>
      <c r="B35">
        <v>0</v>
      </c>
      <c r="C35" t="str">
        <f>IF(Titanic_Dataset[[#This Row],[Survived]]=1,"Survived","Died")</f>
        <v>Died</v>
      </c>
      <c r="D35">
        <v>2</v>
      </c>
      <c r="E35" t="str">
        <f>IF(Titanic_Dataset[[#This Row],[Pclass]]=1,"1st",IF(Titanic_Dataset[[#This Row],[Pclass]]=2,"2nd",IF(Titanic_Dataset[[#This Row],[Pclass]]=3,"3rd")))</f>
        <v>2nd</v>
      </c>
      <c r="F35" s="1" t="s">
        <v>92</v>
      </c>
      <c r="G35" s="1" t="str">
        <f>TRIM(MID(Titanic_Dataset[[#This Row],[Name]],
FIND(",",Titanic_Dataset[[#This Row],[Name]])+2,
FIND(".",Titanic_Dataset[[#This Row],[Name]],FIND(",",Titanic_Dataset[[#This Row],[Name]]))-FIND(",",Titanic_Dataset[[#This Row],[Name]])-1))</f>
        <v>Mr.</v>
      </c>
      <c r="H35" s="1" t="s">
        <v>13</v>
      </c>
      <c r="I35">
        <v>66</v>
      </c>
      <c r="J35" t="str">
        <f>IF(Titanic_Dataset[[#This Row],[Age]]&lt;12,"0-11",
IF(Titanic_Dataset[[#This Row],[Age]]&lt;20,"12-19",
IF(Titanic_Dataset[[#This Row],[Age]]&lt;30,"20-29",
IF(Titanic_Dataset[[#This Row],[Age]]&lt;40,"30-39",
IF(Titanic_Dataset[[#This Row],[Age]]&lt;50,"40-49",
IF(Titanic_Dataset[[#This Row],[Age]]&lt;60,"50-59",
IF(Titanic_Dataset[[#This Row],[Age]]&lt;70,"60-69",)))))))</f>
        <v>60-69</v>
      </c>
      <c r="K35">
        <v>0</v>
      </c>
      <c r="L35">
        <v>0</v>
      </c>
      <c r="M35">
        <f>Titanic_Dataset[[#This Row],[Parch]]+Titanic_Dataset[[#This Row],[SibSp]]</f>
        <v>0</v>
      </c>
      <c r="N35" s="1" t="s">
        <v>93</v>
      </c>
      <c r="O35">
        <v>10.5</v>
      </c>
      <c r="P35" t="e">
        <f>IF(Titanic_Dataset[[#This Row],[Survived]]=1,Titanic_Dataset[[#This Row],[Fare]],NA())</f>
        <v>#N/A</v>
      </c>
      <c r="Q35">
        <f>IF(Titanic_Dataset[[#This Row],[Survived]]=0,Titanic_Dataset[[#This Row],[Fare]],NA())</f>
        <v>10.5</v>
      </c>
      <c r="R35" t="str">
        <f>VLOOKUP(Titanic_Dataset[[#This Row],[Fare]],Table2[],2,TRUE)</f>
        <v>medium</v>
      </c>
      <c r="S35" s="1" t="s">
        <v>15</v>
      </c>
      <c r="T35" s="1" t="s">
        <v>16</v>
      </c>
      <c r="U35" s="1"/>
      <c r="V35" s="1"/>
      <c r="W35" s="1"/>
    </row>
    <row r="36" spans="1:23" x14ac:dyDescent="0.25">
      <c r="A36">
        <v>35</v>
      </c>
      <c r="B36">
        <v>0</v>
      </c>
      <c r="C36" t="str">
        <f>IF(Titanic_Dataset[[#This Row],[Survived]]=1,"Survived","Died")</f>
        <v>Died</v>
      </c>
      <c r="D36">
        <v>1</v>
      </c>
      <c r="E36" t="str">
        <f>IF(Titanic_Dataset[[#This Row],[Pclass]]=1,"1st",IF(Titanic_Dataset[[#This Row],[Pclass]]=2,"2nd",IF(Titanic_Dataset[[#This Row],[Pclass]]=3,"3rd")))</f>
        <v>1st</v>
      </c>
      <c r="F36" s="1" t="s">
        <v>94</v>
      </c>
      <c r="G36" s="1" t="str">
        <f>TRIM(MID(Titanic_Dataset[[#This Row],[Name]],
FIND(",",Titanic_Dataset[[#This Row],[Name]])+2,
FIND(".",Titanic_Dataset[[#This Row],[Name]],FIND(",",Titanic_Dataset[[#This Row],[Name]]))-FIND(",",Titanic_Dataset[[#This Row],[Name]])-1))</f>
        <v>Mr.</v>
      </c>
      <c r="H36" s="1" t="s">
        <v>13</v>
      </c>
      <c r="I36">
        <v>28</v>
      </c>
      <c r="J3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6">
        <v>1</v>
      </c>
      <c r="L36">
        <v>0</v>
      </c>
      <c r="M36">
        <f>Titanic_Dataset[[#This Row],[Parch]]+Titanic_Dataset[[#This Row],[SibSp]]</f>
        <v>1</v>
      </c>
      <c r="N36" s="1" t="s">
        <v>95</v>
      </c>
      <c r="O36">
        <v>82.1708</v>
      </c>
      <c r="P36" t="e">
        <f>IF(Titanic_Dataset[[#This Row],[Survived]]=1,Titanic_Dataset[[#This Row],[Fare]],NA())</f>
        <v>#N/A</v>
      </c>
      <c r="Q36">
        <f>IF(Titanic_Dataset[[#This Row],[Survived]]=0,Titanic_Dataset[[#This Row],[Fare]],NA())</f>
        <v>82.1708</v>
      </c>
      <c r="R36" t="str">
        <f>VLOOKUP(Titanic_Dataset[[#This Row],[Fare]],Table2[],2,TRUE)</f>
        <v>very hiegh</v>
      </c>
      <c r="S36" s="1" t="s">
        <v>15</v>
      </c>
      <c r="T36" s="1" t="s">
        <v>21</v>
      </c>
      <c r="U36" s="1"/>
      <c r="V36" s="1"/>
      <c r="W36" s="1"/>
    </row>
    <row r="37" spans="1:23" x14ac:dyDescent="0.25">
      <c r="A37">
        <v>36</v>
      </c>
      <c r="B37">
        <v>0</v>
      </c>
      <c r="C37" t="str">
        <f>IF(Titanic_Dataset[[#This Row],[Survived]]=1,"Survived","Died")</f>
        <v>Died</v>
      </c>
      <c r="D37">
        <v>1</v>
      </c>
      <c r="E37" t="str">
        <f>IF(Titanic_Dataset[[#This Row],[Pclass]]=1,"1st",IF(Titanic_Dataset[[#This Row],[Pclass]]=2,"2nd",IF(Titanic_Dataset[[#This Row],[Pclass]]=3,"3rd")))</f>
        <v>1st</v>
      </c>
      <c r="F37" s="1" t="s">
        <v>96</v>
      </c>
      <c r="G37" s="1" t="str">
        <f>TRIM(MID(Titanic_Dataset[[#This Row],[Name]],
FIND(",",Titanic_Dataset[[#This Row],[Name]])+2,
FIND(".",Titanic_Dataset[[#This Row],[Name]],FIND(",",Titanic_Dataset[[#This Row],[Name]]))-FIND(",",Titanic_Dataset[[#This Row],[Name]])-1))</f>
        <v>Mr.</v>
      </c>
      <c r="H37" s="1" t="s">
        <v>13</v>
      </c>
      <c r="I37">
        <v>42</v>
      </c>
      <c r="J37" t="str">
        <f>IF(Titanic_Dataset[[#This Row],[Age]]&lt;12,"0-11",
IF(Titanic_Dataset[[#This Row],[Age]]&lt;20,"12-19",
IF(Titanic_Dataset[[#This Row],[Age]]&lt;30,"20-29",
IF(Titanic_Dataset[[#This Row],[Age]]&lt;40,"30-39",
IF(Titanic_Dataset[[#This Row],[Age]]&lt;50,"40-49",
IF(Titanic_Dataset[[#This Row],[Age]]&lt;60,"50-59",
IF(Titanic_Dataset[[#This Row],[Age]]&lt;70,"60-69",)))))))</f>
        <v>40-49</v>
      </c>
      <c r="K37">
        <v>1</v>
      </c>
      <c r="L37">
        <v>0</v>
      </c>
      <c r="M37">
        <f>Titanic_Dataset[[#This Row],[Parch]]+Titanic_Dataset[[#This Row],[SibSp]]</f>
        <v>1</v>
      </c>
      <c r="N37" s="1" t="s">
        <v>97</v>
      </c>
      <c r="O37">
        <v>52</v>
      </c>
      <c r="P37" t="e">
        <f>IF(Titanic_Dataset[[#This Row],[Survived]]=1,Titanic_Dataset[[#This Row],[Fare]],NA())</f>
        <v>#N/A</v>
      </c>
      <c r="Q37">
        <f>IF(Titanic_Dataset[[#This Row],[Survived]]=0,Titanic_Dataset[[#This Row],[Fare]],NA())</f>
        <v>52</v>
      </c>
      <c r="R37" t="str">
        <f>VLOOKUP(Titanic_Dataset[[#This Row],[Fare]],Table2[],2,TRUE)</f>
        <v>very hiegh</v>
      </c>
      <c r="S37" s="1" t="s">
        <v>15</v>
      </c>
      <c r="T37" s="1" t="s">
        <v>16</v>
      </c>
      <c r="U37" s="1"/>
      <c r="V37" s="1"/>
      <c r="W37" s="1"/>
    </row>
    <row r="38" spans="1:23" x14ac:dyDescent="0.25">
      <c r="A38">
        <v>37</v>
      </c>
      <c r="B38">
        <v>1</v>
      </c>
      <c r="C38" t="str">
        <f>IF(Titanic_Dataset[[#This Row],[Survived]]=1,"Survived","Died")</f>
        <v>Survived</v>
      </c>
      <c r="D38">
        <v>3</v>
      </c>
      <c r="E38" t="str">
        <f>IF(Titanic_Dataset[[#This Row],[Pclass]]=1,"1st",IF(Titanic_Dataset[[#This Row],[Pclass]]=2,"2nd",IF(Titanic_Dataset[[#This Row],[Pclass]]=3,"3rd")))</f>
        <v>3rd</v>
      </c>
      <c r="F38" s="1" t="s">
        <v>98</v>
      </c>
      <c r="G38" s="1" t="str">
        <f>TRIM(MID(Titanic_Dataset[[#This Row],[Name]],
FIND(",",Titanic_Dataset[[#This Row],[Name]])+2,
FIND(".",Titanic_Dataset[[#This Row],[Name]],FIND(",",Titanic_Dataset[[#This Row],[Name]]))-FIND(",",Titanic_Dataset[[#This Row],[Name]])-1))</f>
        <v>Mr.</v>
      </c>
      <c r="H38" s="1" t="s">
        <v>13</v>
      </c>
      <c r="I38">
        <v>28</v>
      </c>
      <c r="J3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8">
        <v>0</v>
      </c>
      <c r="L38">
        <v>0</v>
      </c>
      <c r="M38">
        <f>Titanic_Dataset[[#This Row],[Parch]]+Titanic_Dataset[[#This Row],[SibSp]]</f>
        <v>0</v>
      </c>
      <c r="N38" s="1" t="s">
        <v>99</v>
      </c>
      <c r="O38">
        <v>7.2291999999999996</v>
      </c>
      <c r="P38">
        <f>IF(Titanic_Dataset[[#This Row],[Survived]]=1,Titanic_Dataset[[#This Row],[Fare]],NA())</f>
        <v>7.2291999999999996</v>
      </c>
      <c r="Q38" t="e">
        <f>IF(Titanic_Dataset[[#This Row],[Survived]]=0,Titanic_Dataset[[#This Row],[Fare]],NA())</f>
        <v>#N/A</v>
      </c>
      <c r="R38" t="str">
        <f>VLOOKUP(Titanic_Dataset[[#This Row],[Fare]],Table2[],2,TRUE)</f>
        <v>low</v>
      </c>
      <c r="S38" s="1" t="s">
        <v>15</v>
      </c>
      <c r="T38" s="1" t="s">
        <v>21</v>
      </c>
      <c r="U38" s="1"/>
      <c r="V38" s="1"/>
      <c r="W38" s="1"/>
    </row>
    <row r="39" spans="1:23" x14ac:dyDescent="0.25">
      <c r="A39">
        <v>38</v>
      </c>
      <c r="B39">
        <v>0</v>
      </c>
      <c r="C39" t="str">
        <f>IF(Titanic_Dataset[[#This Row],[Survived]]=1,"Survived","Died")</f>
        <v>Died</v>
      </c>
      <c r="D39">
        <v>3</v>
      </c>
      <c r="E39" t="str">
        <f>IF(Titanic_Dataset[[#This Row],[Pclass]]=1,"1st",IF(Titanic_Dataset[[#This Row],[Pclass]]=2,"2nd",IF(Titanic_Dataset[[#This Row],[Pclass]]=3,"3rd")))</f>
        <v>3rd</v>
      </c>
      <c r="F39" s="1" t="s">
        <v>100</v>
      </c>
      <c r="G39" s="1" t="str">
        <f>TRIM(MID(Titanic_Dataset[[#This Row],[Name]],
FIND(",",Titanic_Dataset[[#This Row],[Name]])+2,
FIND(".",Titanic_Dataset[[#This Row],[Name]],FIND(",",Titanic_Dataset[[#This Row],[Name]]))-FIND(",",Titanic_Dataset[[#This Row],[Name]])-1))</f>
        <v>Mr.</v>
      </c>
      <c r="H39" s="1" t="s">
        <v>13</v>
      </c>
      <c r="I39">
        <v>21</v>
      </c>
      <c r="J3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9">
        <v>0</v>
      </c>
      <c r="L39">
        <v>0</v>
      </c>
      <c r="M39">
        <f>Titanic_Dataset[[#This Row],[Parch]]+Titanic_Dataset[[#This Row],[SibSp]]</f>
        <v>0</v>
      </c>
      <c r="N39" s="1" t="s">
        <v>101</v>
      </c>
      <c r="O39">
        <v>8.0500000000000007</v>
      </c>
      <c r="P39" t="e">
        <f>IF(Titanic_Dataset[[#This Row],[Survived]]=1,Titanic_Dataset[[#This Row],[Fare]],NA())</f>
        <v>#N/A</v>
      </c>
      <c r="Q39">
        <f>IF(Titanic_Dataset[[#This Row],[Survived]]=0,Titanic_Dataset[[#This Row],[Fare]],NA())</f>
        <v>8.0500000000000007</v>
      </c>
      <c r="R39" t="str">
        <f>VLOOKUP(Titanic_Dataset[[#This Row],[Fare]],Table2[],2,TRUE)</f>
        <v>medium</v>
      </c>
      <c r="S39" s="1" t="s">
        <v>15</v>
      </c>
      <c r="T39" s="1" t="s">
        <v>16</v>
      </c>
      <c r="U39" s="1"/>
      <c r="V39" s="1"/>
      <c r="W39" s="1"/>
    </row>
    <row r="40" spans="1:23" x14ac:dyDescent="0.25">
      <c r="A40">
        <v>39</v>
      </c>
      <c r="B40">
        <v>0</v>
      </c>
      <c r="C40" t="str">
        <f>IF(Titanic_Dataset[[#This Row],[Survived]]=1,"Survived","Died")</f>
        <v>Died</v>
      </c>
      <c r="D40">
        <v>3</v>
      </c>
      <c r="E40" t="str">
        <f>IF(Titanic_Dataset[[#This Row],[Pclass]]=1,"1st",IF(Titanic_Dataset[[#This Row],[Pclass]]=2,"2nd",IF(Titanic_Dataset[[#This Row],[Pclass]]=3,"3rd")))</f>
        <v>3rd</v>
      </c>
      <c r="F40" s="1" t="s">
        <v>102</v>
      </c>
      <c r="G40" s="1" t="str">
        <f>TRIM(MID(Titanic_Dataset[[#This Row],[Name]],
FIND(",",Titanic_Dataset[[#This Row],[Name]])+2,
FIND(".",Titanic_Dataset[[#This Row],[Name]],FIND(",",Titanic_Dataset[[#This Row],[Name]]))-FIND(",",Titanic_Dataset[[#This Row],[Name]])-1))</f>
        <v>Miss.</v>
      </c>
      <c r="H40" s="1" t="s">
        <v>18</v>
      </c>
      <c r="I40">
        <v>18</v>
      </c>
      <c r="J40" t="str">
        <f>IF(Titanic_Dataset[[#This Row],[Age]]&lt;12,"0-11",
IF(Titanic_Dataset[[#This Row],[Age]]&lt;20,"12-19",
IF(Titanic_Dataset[[#This Row],[Age]]&lt;30,"20-29",
IF(Titanic_Dataset[[#This Row],[Age]]&lt;40,"30-39",
IF(Titanic_Dataset[[#This Row],[Age]]&lt;50,"40-49",
IF(Titanic_Dataset[[#This Row],[Age]]&lt;60,"50-59",
IF(Titanic_Dataset[[#This Row],[Age]]&lt;70,"60-69",)))))))</f>
        <v>12-19</v>
      </c>
      <c r="K40">
        <v>2</v>
      </c>
      <c r="L40">
        <v>0</v>
      </c>
      <c r="M40">
        <f>Titanic_Dataset[[#This Row],[Parch]]+Titanic_Dataset[[#This Row],[SibSp]]</f>
        <v>2</v>
      </c>
      <c r="N40" s="1" t="s">
        <v>103</v>
      </c>
      <c r="O40">
        <v>18</v>
      </c>
      <c r="P40" t="e">
        <f>IF(Titanic_Dataset[[#This Row],[Survived]]=1,Titanic_Dataset[[#This Row],[Fare]],NA())</f>
        <v>#N/A</v>
      </c>
      <c r="Q40">
        <f>IF(Titanic_Dataset[[#This Row],[Survived]]=0,Titanic_Dataset[[#This Row],[Fare]],NA())</f>
        <v>18</v>
      </c>
      <c r="R40" t="str">
        <f>VLOOKUP(Titanic_Dataset[[#This Row],[Fare]],Table2[],2,TRUE)</f>
        <v>high</v>
      </c>
      <c r="S40" s="1" t="s">
        <v>15</v>
      </c>
      <c r="T40" s="1" t="s">
        <v>16</v>
      </c>
      <c r="U40" s="1"/>
      <c r="V40" s="1"/>
      <c r="W40" s="1"/>
    </row>
    <row r="41" spans="1:23" x14ac:dyDescent="0.25">
      <c r="A41">
        <v>40</v>
      </c>
      <c r="B41">
        <v>1</v>
      </c>
      <c r="C41" t="str">
        <f>IF(Titanic_Dataset[[#This Row],[Survived]]=1,"Survived","Died")</f>
        <v>Survived</v>
      </c>
      <c r="D41">
        <v>3</v>
      </c>
      <c r="E41" t="str">
        <f>IF(Titanic_Dataset[[#This Row],[Pclass]]=1,"1st",IF(Titanic_Dataset[[#This Row],[Pclass]]=2,"2nd",IF(Titanic_Dataset[[#This Row],[Pclass]]=3,"3rd")))</f>
        <v>3rd</v>
      </c>
      <c r="F41" s="1" t="s">
        <v>104</v>
      </c>
      <c r="G41" s="1" t="str">
        <f>TRIM(MID(Titanic_Dataset[[#This Row],[Name]],
FIND(",",Titanic_Dataset[[#This Row],[Name]])+2,
FIND(".",Titanic_Dataset[[#This Row],[Name]],FIND(",",Titanic_Dataset[[#This Row],[Name]]))-FIND(",",Titanic_Dataset[[#This Row],[Name]])-1))</f>
        <v>Miss.</v>
      </c>
      <c r="H41" s="1" t="s">
        <v>18</v>
      </c>
      <c r="I41">
        <v>14</v>
      </c>
      <c r="J41" t="str">
        <f>IF(Titanic_Dataset[[#This Row],[Age]]&lt;12,"0-11",
IF(Titanic_Dataset[[#This Row],[Age]]&lt;20,"12-19",
IF(Titanic_Dataset[[#This Row],[Age]]&lt;30,"20-29",
IF(Titanic_Dataset[[#This Row],[Age]]&lt;40,"30-39",
IF(Titanic_Dataset[[#This Row],[Age]]&lt;50,"40-49",
IF(Titanic_Dataset[[#This Row],[Age]]&lt;60,"50-59",
IF(Titanic_Dataset[[#This Row],[Age]]&lt;70,"60-69",)))))))</f>
        <v>12-19</v>
      </c>
      <c r="K41">
        <v>1</v>
      </c>
      <c r="L41">
        <v>0</v>
      </c>
      <c r="M41">
        <f>Titanic_Dataset[[#This Row],[Parch]]+Titanic_Dataset[[#This Row],[SibSp]]</f>
        <v>1</v>
      </c>
      <c r="N41" s="1" t="s">
        <v>105</v>
      </c>
      <c r="O41">
        <v>11.2417</v>
      </c>
      <c r="P41">
        <f>IF(Titanic_Dataset[[#This Row],[Survived]]=1,Titanic_Dataset[[#This Row],[Fare]],NA())</f>
        <v>11.2417</v>
      </c>
      <c r="Q41" t="e">
        <f>IF(Titanic_Dataset[[#This Row],[Survived]]=0,Titanic_Dataset[[#This Row],[Fare]],NA())</f>
        <v>#N/A</v>
      </c>
      <c r="R41" t="str">
        <f>VLOOKUP(Titanic_Dataset[[#This Row],[Fare]],Table2[],2,TRUE)</f>
        <v>medium</v>
      </c>
      <c r="S41" s="1" t="s">
        <v>15</v>
      </c>
      <c r="T41" s="1" t="s">
        <v>21</v>
      </c>
      <c r="U41" s="1"/>
      <c r="V41" s="1"/>
      <c r="W41" s="1"/>
    </row>
    <row r="42" spans="1:23" x14ac:dyDescent="0.25">
      <c r="A42">
        <v>41</v>
      </c>
      <c r="B42">
        <v>0</v>
      </c>
      <c r="C42" t="str">
        <f>IF(Titanic_Dataset[[#This Row],[Survived]]=1,"Survived","Died")</f>
        <v>Died</v>
      </c>
      <c r="D42">
        <v>3</v>
      </c>
      <c r="E42" t="str">
        <f>IF(Titanic_Dataset[[#This Row],[Pclass]]=1,"1st",IF(Titanic_Dataset[[#This Row],[Pclass]]=2,"2nd",IF(Titanic_Dataset[[#This Row],[Pclass]]=3,"3rd")))</f>
        <v>3rd</v>
      </c>
      <c r="F42" s="1" t="s">
        <v>106</v>
      </c>
      <c r="G42" s="1" t="str">
        <f>TRIM(MID(Titanic_Dataset[[#This Row],[Name]],
FIND(",",Titanic_Dataset[[#This Row],[Name]])+2,
FIND(".",Titanic_Dataset[[#This Row],[Name]],FIND(",",Titanic_Dataset[[#This Row],[Name]]))-FIND(",",Titanic_Dataset[[#This Row],[Name]])-1))</f>
        <v>Mrs.</v>
      </c>
      <c r="H42" s="1" t="s">
        <v>18</v>
      </c>
      <c r="I42">
        <v>40</v>
      </c>
      <c r="J42" t="str">
        <f>IF(Titanic_Dataset[[#This Row],[Age]]&lt;12,"0-11",
IF(Titanic_Dataset[[#This Row],[Age]]&lt;20,"12-19",
IF(Titanic_Dataset[[#This Row],[Age]]&lt;30,"20-29",
IF(Titanic_Dataset[[#This Row],[Age]]&lt;40,"30-39",
IF(Titanic_Dataset[[#This Row],[Age]]&lt;50,"40-49",
IF(Titanic_Dataset[[#This Row],[Age]]&lt;60,"50-59",
IF(Titanic_Dataset[[#This Row],[Age]]&lt;70,"60-69",)))))))</f>
        <v>40-49</v>
      </c>
      <c r="K42">
        <v>1</v>
      </c>
      <c r="L42">
        <v>0</v>
      </c>
      <c r="M42">
        <f>Titanic_Dataset[[#This Row],[Parch]]+Titanic_Dataset[[#This Row],[SibSp]]</f>
        <v>1</v>
      </c>
      <c r="N42" s="1" t="s">
        <v>107</v>
      </c>
      <c r="O42">
        <v>9.4749999999999996</v>
      </c>
      <c r="P42" t="e">
        <f>IF(Titanic_Dataset[[#This Row],[Survived]]=1,Titanic_Dataset[[#This Row],[Fare]],NA())</f>
        <v>#N/A</v>
      </c>
      <c r="Q42">
        <f>IF(Titanic_Dataset[[#This Row],[Survived]]=0,Titanic_Dataset[[#This Row],[Fare]],NA())</f>
        <v>9.4749999999999996</v>
      </c>
      <c r="R42" t="str">
        <f>VLOOKUP(Titanic_Dataset[[#This Row],[Fare]],Table2[],2,TRUE)</f>
        <v>medium</v>
      </c>
      <c r="S42" s="1" t="s">
        <v>15</v>
      </c>
      <c r="T42" s="1" t="s">
        <v>16</v>
      </c>
      <c r="U42" s="1"/>
      <c r="V42" s="1"/>
      <c r="W42" s="1"/>
    </row>
    <row r="43" spans="1:23" x14ac:dyDescent="0.25">
      <c r="A43">
        <v>42</v>
      </c>
      <c r="B43">
        <v>0</v>
      </c>
      <c r="C43" t="str">
        <f>IF(Titanic_Dataset[[#This Row],[Survived]]=1,"Survived","Died")</f>
        <v>Died</v>
      </c>
      <c r="D43">
        <v>2</v>
      </c>
      <c r="E43" t="str">
        <f>IF(Titanic_Dataset[[#This Row],[Pclass]]=1,"1st",IF(Titanic_Dataset[[#This Row],[Pclass]]=2,"2nd",IF(Titanic_Dataset[[#This Row],[Pclass]]=3,"3rd")))</f>
        <v>2nd</v>
      </c>
      <c r="F43" s="1" t="s">
        <v>108</v>
      </c>
      <c r="G43" s="1" t="str">
        <f>TRIM(MID(Titanic_Dataset[[#This Row],[Name]],
FIND(",",Titanic_Dataset[[#This Row],[Name]])+2,
FIND(".",Titanic_Dataset[[#This Row],[Name]],FIND(",",Titanic_Dataset[[#This Row],[Name]]))-FIND(",",Titanic_Dataset[[#This Row],[Name]])-1))</f>
        <v>Mrs.</v>
      </c>
      <c r="H43" s="1" t="s">
        <v>18</v>
      </c>
      <c r="I43">
        <v>27</v>
      </c>
      <c r="J4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3">
        <v>1</v>
      </c>
      <c r="L43">
        <v>0</v>
      </c>
      <c r="M43">
        <f>Titanic_Dataset[[#This Row],[Parch]]+Titanic_Dataset[[#This Row],[SibSp]]</f>
        <v>1</v>
      </c>
      <c r="N43" s="1" t="s">
        <v>109</v>
      </c>
      <c r="O43">
        <v>21</v>
      </c>
      <c r="P43" t="e">
        <f>IF(Titanic_Dataset[[#This Row],[Survived]]=1,Titanic_Dataset[[#This Row],[Fare]],NA())</f>
        <v>#N/A</v>
      </c>
      <c r="Q43">
        <f>IF(Titanic_Dataset[[#This Row],[Survived]]=0,Titanic_Dataset[[#This Row],[Fare]],NA())</f>
        <v>21</v>
      </c>
      <c r="R43" t="str">
        <f>VLOOKUP(Titanic_Dataset[[#This Row],[Fare]],Table2[],2,TRUE)</f>
        <v>high</v>
      </c>
      <c r="S43" s="1" t="s">
        <v>15</v>
      </c>
      <c r="T43" s="1" t="s">
        <v>16</v>
      </c>
      <c r="U43" s="1"/>
      <c r="V43" s="1"/>
      <c r="W43" s="1"/>
    </row>
    <row r="44" spans="1:23" x14ac:dyDescent="0.25">
      <c r="A44">
        <v>43</v>
      </c>
      <c r="B44">
        <v>0</v>
      </c>
      <c r="C44" t="str">
        <f>IF(Titanic_Dataset[[#This Row],[Survived]]=1,"Survived","Died")</f>
        <v>Died</v>
      </c>
      <c r="D44">
        <v>3</v>
      </c>
      <c r="E44" t="str">
        <f>IF(Titanic_Dataset[[#This Row],[Pclass]]=1,"1st",IF(Titanic_Dataset[[#This Row],[Pclass]]=2,"2nd",IF(Titanic_Dataset[[#This Row],[Pclass]]=3,"3rd")))</f>
        <v>3rd</v>
      </c>
      <c r="F44" s="1" t="s">
        <v>110</v>
      </c>
      <c r="G44" s="1" t="str">
        <f>TRIM(MID(Titanic_Dataset[[#This Row],[Name]],
FIND(",",Titanic_Dataset[[#This Row],[Name]])+2,
FIND(".",Titanic_Dataset[[#This Row],[Name]],FIND(",",Titanic_Dataset[[#This Row],[Name]]))-FIND(",",Titanic_Dataset[[#This Row],[Name]])-1))</f>
        <v>Mr.</v>
      </c>
      <c r="H44" s="1" t="s">
        <v>13</v>
      </c>
      <c r="I44">
        <v>28</v>
      </c>
      <c r="J4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4">
        <v>0</v>
      </c>
      <c r="L44">
        <v>0</v>
      </c>
      <c r="M44">
        <f>Titanic_Dataset[[#This Row],[Parch]]+Titanic_Dataset[[#This Row],[SibSp]]</f>
        <v>0</v>
      </c>
      <c r="N44" s="1" t="s">
        <v>111</v>
      </c>
      <c r="O44">
        <v>7.8958000000000004</v>
      </c>
      <c r="P44" t="e">
        <f>IF(Titanic_Dataset[[#This Row],[Survived]]=1,Titanic_Dataset[[#This Row],[Fare]],NA())</f>
        <v>#N/A</v>
      </c>
      <c r="Q44">
        <f>IF(Titanic_Dataset[[#This Row],[Survived]]=0,Titanic_Dataset[[#This Row],[Fare]],NA())</f>
        <v>7.8958000000000004</v>
      </c>
      <c r="R44" t="str">
        <f>VLOOKUP(Titanic_Dataset[[#This Row],[Fare]],Table2[],2,TRUE)</f>
        <v>low</v>
      </c>
      <c r="S44" s="1" t="s">
        <v>15</v>
      </c>
      <c r="T44" s="1" t="s">
        <v>21</v>
      </c>
      <c r="U44" s="1"/>
      <c r="V44" s="1"/>
      <c r="W44" s="1"/>
    </row>
    <row r="45" spans="1:23" x14ac:dyDescent="0.25">
      <c r="A45">
        <v>44</v>
      </c>
      <c r="B45">
        <v>1</v>
      </c>
      <c r="C45" t="str">
        <f>IF(Titanic_Dataset[[#This Row],[Survived]]=1,"Survived","Died")</f>
        <v>Survived</v>
      </c>
      <c r="D45">
        <v>2</v>
      </c>
      <c r="E45" t="str">
        <f>IF(Titanic_Dataset[[#This Row],[Pclass]]=1,"1st",IF(Titanic_Dataset[[#This Row],[Pclass]]=2,"2nd",IF(Titanic_Dataset[[#This Row],[Pclass]]=3,"3rd")))</f>
        <v>2nd</v>
      </c>
      <c r="F45" s="1" t="s">
        <v>112</v>
      </c>
      <c r="G45" s="1" t="str">
        <f>TRIM(MID(Titanic_Dataset[[#This Row],[Name]],
FIND(",",Titanic_Dataset[[#This Row],[Name]])+2,
FIND(".",Titanic_Dataset[[#This Row],[Name]],FIND(",",Titanic_Dataset[[#This Row],[Name]]))-FIND(",",Titanic_Dataset[[#This Row],[Name]])-1))</f>
        <v>Miss.</v>
      </c>
      <c r="H45" s="1" t="s">
        <v>18</v>
      </c>
      <c r="I45">
        <v>3</v>
      </c>
      <c r="J45" t="str">
        <f>IF(Titanic_Dataset[[#This Row],[Age]]&lt;12,"0-11",
IF(Titanic_Dataset[[#This Row],[Age]]&lt;20,"12-19",
IF(Titanic_Dataset[[#This Row],[Age]]&lt;30,"20-29",
IF(Titanic_Dataset[[#This Row],[Age]]&lt;40,"30-39",
IF(Titanic_Dataset[[#This Row],[Age]]&lt;50,"40-49",
IF(Titanic_Dataset[[#This Row],[Age]]&lt;60,"50-59",
IF(Titanic_Dataset[[#This Row],[Age]]&lt;70,"60-69",)))))))</f>
        <v>0-11</v>
      </c>
      <c r="K45">
        <v>1</v>
      </c>
      <c r="L45">
        <v>2</v>
      </c>
      <c r="M45">
        <f>Titanic_Dataset[[#This Row],[Parch]]+Titanic_Dataset[[#This Row],[SibSp]]</f>
        <v>3</v>
      </c>
      <c r="N45" s="1" t="s">
        <v>113</v>
      </c>
      <c r="O45">
        <v>41.5792</v>
      </c>
      <c r="P45">
        <f>IF(Titanic_Dataset[[#This Row],[Survived]]=1,Titanic_Dataset[[#This Row],[Fare]],NA())</f>
        <v>41.5792</v>
      </c>
      <c r="Q45" t="e">
        <f>IF(Titanic_Dataset[[#This Row],[Survived]]=0,Titanic_Dataset[[#This Row],[Fare]],NA())</f>
        <v>#N/A</v>
      </c>
      <c r="R45" t="str">
        <f>VLOOKUP(Titanic_Dataset[[#This Row],[Fare]],Table2[],2,TRUE)</f>
        <v>very hiegh</v>
      </c>
      <c r="S45" s="1" t="s">
        <v>15</v>
      </c>
      <c r="T45" s="1" t="s">
        <v>21</v>
      </c>
      <c r="U45" s="1"/>
      <c r="V45" s="1"/>
      <c r="W45" s="1"/>
    </row>
    <row r="46" spans="1:23" x14ac:dyDescent="0.25">
      <c r="A46">
        <v>45</v>
      </c>
      <c r="B46">
        <v>1</v>
      </c>
      <c r="C46" t="str">
        <f>IF(Titanic_Dataset[[#This Row],[Survived]]=1,"Survived","Died")</f>
        <v>Survived</v>
      </c>
      <c r="D46">
        <v>3</v>
      </c>
      <c r="E46" t="str">
        <f>IF(Titanic_Dataset[[#This Row],[Pclass]]=1,"1st",IF(Titanic_Dataset[[#This Row],[Pclass]]=2,"2nd",IF(Titanic_Dataset[[#This Row],[Pclass]]=3,"3rd")))</f>
        <v>3rd</v>
      </c>
      <c r="F46" s="1" t="s">
        <v>114</v>
      </c>
      <c r="G46" s="1" t="str">
        <f>TRIM(MID(Titanic_Dataset[[#This Row],[Name]],
FIND(",",Titanic_Dataset[[#This Row],[Name]])+2,
FIND(".",Titanic_Dataset[[#This Row],[Name]],FIND(",",Titanic_Dataset[[#This Row],[Name]]))-FIND(",",Titanic_Dataset[[#This Row],[Name]])-1))</f>
        <v>Miss.</v>
      </c>
      <c r="H46" s="1" t="s">
        <v>18</v>
      </c>
      <c r="I46">
        <v>19</v>
      </c>
      <c r="J46" t="str">
        <f>IF(Titanic_Dataset[[#This Row],[Age]]&lt;12,"0-11",
IF(Titanic_Dataset[[#This Row],[Age]]&lt;20,"12-19",
IF(Titanic_Dataset[[#This Row],[Age]]&lt;30,"20-29",
IF(Titanic_Dataset[[#This Row],[Age]]&lt;40,"30-39",
IF(Titanic_Dataset[[#This Row],[Age]]&lt;50,"40-49",
IF(Titanic_Dataset[[#This Row],[Age]]&lt;60,"50-59",
IF(Titanic_Dataset[[#This Row],[Age]]&lt;70,"60-69",)))))))</f>
        <v>12-19</v>
      </c>
      <c r="K46">
        <v>0</v>
      </c>
      <c r="L46">
        <v>0</v>
      </c>
      <c r="M46">
        <f>Titanic_Dataset[[#This Row],[Parch]]+Titanic_Dataset[[#This Row],[SibSp]]</f>
        <v>0</v>
      </c>
      <c r="N46" s="1" t="s">
        <v>115</v>
      </c>
      <c r="O46">
        <v>7.8792</v>
      </c>
      <c r="P46">
        <f>IF(Titanic_Dataset[[#This Row],[Survived]]=1,Titanic_Dataset[[#This Row],[Fare]],NA())</f>
        <v>7.8792</v>
      </c>
      <c r="Q46" t="e">
        <f>IF(Titanic_Dataset[[#This Row],[Survived]]=0,Titanic_Dataset[[#This Row],[Fare]],NA())</f>
        <v>#N/A</v>
      </c>
      <c r="R46" t="str">
        <f>VLOOKUP(Titanic_Dataset[[#This Row],[Fare]],Table2[],2,TRUE)</f>
        <v>low</v>
      </c>
      <c r="S46" s="1" t="s">
        <v>15</v>
      </c>
      <c r="T46" s="1" t="s">
        <v>31</v>
      </c>
      <c r="U46" s="1"/>
      <c r="V46" s="1"/>
      <c r="W46" s="1"/>
    </row>
    <row r="47" spans="1:23" x14ac:dyDescent="0.25">
      <c r="A47">
        <v>46</v>
      </c>
      <c r="B47">
        <v>0</v>
      </c>
      <c r="C47" t="str">
        <f>IF(Titanic_Dataset[[#This Row],[Survived]]=1,"Survived","Died")</f>
        <v>Died</v>
      </c>
      <c r="D47">
        <v>3</v>
      </c>
      <c r="E47" t="str">
        <f>IF(Titanic_Dataset[[#This Row],[Pclass]]=1,"1st",IF(Titanic_Dataset[[#This Row],[Pclass]]=2,"2nd",IF(Titanic_Dataset[[#This Row],[Pclass]]=3,"3rd")))</f>
        <v>3rd</v>
      </c>
      <c r="F47" s="1" t="s">
        <v>116</v>
      </c>
      <c r="G47" s="1" t="str">
        <f>TRIM(MID(Titanic_Dataset[[#This Row],[Name]],
FIND(",",Titanic_Dataset[[#This Row],[Name]])+2,
FIND(".",Titanic_Dataset[[#This Row],[Name]],FIND(",",Titanic_Dataset[[#This Row],[Name]]))-FIND(",",Titanic_Dataset[[#This Row],[Name]])-1))</f>
        <v>Mr.</v>
      </c>
      <c r="H47" s="1" t="s">
        <v>13</v>
      </c>
      <c r="I47">
        <v>28</v>
      </c>
      <c r="J4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7">
        <v>0</v>
      </c>
      <c r="L47">
        <v>0</v>
      </c>
      <c r="M47">
        <f>Titanic_Dataset[[#This Row],[Parch]]+Titanic_Dataset[[#This Row],[SibSp]]</f>
        <v>0</v>
      </c>
      <c r="N47" s="1" t="s">
        <v>117</v>
      </c>
      <c r="O47">
        <v>8.0500000000000007</v>
      </c>
      <c r="P47" t="e">
        <f>IF(Titanic_Dataset[[#This Row],[Survived]]=1,Titanic_Dataset[[#This Row],[Fare]],NA())</f>
        <v>#N/A</v>
      </c>
      <c r="Q47">
        <f>IF(Titanic_Dataset[[#This Row],[Survived]]=0,Titanic_Dataset[[#This Row],[Fare]],NA())</f>
        <v>8.0500000000000007</v>
      </c>
      <c r="R47" t="str">
        <f>VLOOKUP(Titanic_Dataset[[#This Row],[Fare]],Table2[],2,TRUE)</f>
        <v>medium</v>
      </c>
      <c r="S47" s="1" t="s">
        <v>15</v>
      </c>
      <c r="T47" s="1" t="s">
        <v>16</v>
      </c>
      <c r="U47" s="1"/>
      <c r="V47" s="1"/>
      <c r="W47" s="1"/>
    </row>
    <row r="48" spans="1:23" x14ac:dyDescent="0.25">
      <c r="A48">
        <v>47</v>
      </c>
      <c r="B48">
        <v>0</v>
      </c>
      <c r="C48" t="str">
        <f>IF(Titanic_Dataset[[#This Row],[Survived]]=1,"Survived","Died")</f>
        <v>Died</v>
      </c>
      <c r="D48">
        <v>3</v>
      </c>
      <c r="E48" t="str">
        <f>IF(Titanic_Dataset[[#This Row],[Pclass]]=1,"1st",IF(Titanic_Dataset[[#This Row],[Pclass]]=2,"2nd",IF(Titanic_Dataset[[#This Row],[Pclass]]=3,"3rd")))</f>
        <v>3rd</v>
      </c>
      <c r="F48" s="1" t="s">
        <v>118</v>
      </c>
      <c r="G48" s="1" t="str">
        <f>TRIM(MID(Titanic_Dataset[[#This Row],[Name]],
FIND(",",Titanic_Dataset[[#This Row],[Name]])+2,
FIND(".",Titanic_Dataset[[#This Row],[Name]],FIND(",",Titanic_Dataset[[#This Row],[Name]]))-FIND(",",Titanic_Dataset[[#This Row],[Name]])-1))</f>
        <v>Mr.</v>
      </c>
      <c r="H48" s="1" t="s">
        <v>13</v>
      </c>
      <c r="I48">
        <v>28</v>
      </c>
      <c r="J4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8">
        <v>1</v>
      </c>
      <c r="L48">
        <v>0</v>
      </c>
      <c r="M48">
        <f>Titanic_Dataset[[#This Row],[Parch]]+Titanic_Dataset[[#This Row],[SibSp]]</f>
        <v>1</v>
      </c>
      <c r="N48" s="1" t="s">
        <v>119</v>
      </c>
      <c r="O48">
        <v>15.5</v>
      </c>
      <c r="P48" t="e">
        <f>IF(Titanic_Dataset[[#This Row],[Survived]]=1,Titanic_Dataset[[#This Row],[Fare]],NA())</f>
        <v>#N/A</v>
      </c>
      <c r="Q48">
        <f>IF(Titanic_Dataset[[#This Row],[Survived]]=0,Titanic_Dataset[[#This Row],[Fare]],NA())</f>
        <v>15.5</v>
      </c>
      <c r="R48" t="str">
        <f>VLOOKUP(Titanic_Dataset[[#This Row],[Fare]],Table2[],2,TRUE)</f>
        <v>high</v>
      </c>
      <c r="S48" s="1" t="s">
        <v>15</v>
      </c>
      <c r="T48" s="1" t="s">
        <v>31</v>
      </c>
      <c r="U48" s="1"/>
      <c r="V48" s="1"/>
      <c r="W48" s="1"/>
    </row>
    <row r="49" spans="1:23" x14ac:dyDescent="0.25">
      <c r="A49">
        <v>48</v>
      </c>
      <c r="B49">
        <v>1</v>
      </c>
      <c r="C49" t="str">
        <f>IF(Titanic_Dataset[[#This Row],[Survived]]=1,"Survived","Died")</f>
        <v>Survived</v>
      </c>
      <c r="D49">
        <v>3</v>
      </c>
      <c r="E49" t="str">
        <f>IF(Titanic_Dataset[[#This Row],[Pclass]]=1,"1st",IF(Titanic_Dataset[[#This Row],[Pclass]]=2,"2nd",IF(Titanic_Dataset[[#This Row],[Pclass]]=3,"3rd")))</f>
        <v>3rd</v>
      </c>
      <c r="F49" s="1" t="s">
        <v>120</v>
      </c>
      <c r="G49" s="1" t="str">
        <f>TRIM(MID(Titanic_Dataset[[#This Row],[Name]],
FIND(",",Titanic_Dataset[[#This Row],[Name]])+2,
FIND(".",Titanic_Dataset[[#This Row],[Name]],FIND(",",Titanic_Dataset[[#This Row],[Name]]))-FIND(",",Titanic_Dataset[[#This Row],[Name]])-1))</f>
        <v>Miss.</v>
      </c>
      <c r="H49" s="1" t="s">
        <v>18</v>
      </c>
      <c r="I49">
        <v>28</v>
      </c>
      <c r="J4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9">
        <v>0</v>
      </c>
      <c r="L49">
        <v>0</v>
      </c>
      <c r="M49">
        <f>Titanic_Dataset[[#This Row],[Parch]]+Titanic_Dataset[[#This Row],[SibSp]]</f>
        <v>0</v>
      </c>
      <c r="N49" s="1" t="s">
        <v>121</v>
      </c>
      <c r="O49">
        <v>7.75</v>
      </c>
      <c r="P49">
        <f>IF(Titanic_Dataset[[#This Row],[Survived]]=1,Titanic_Dataset[[#This Row],[Fare]],NA())</f>
        <v>7.75</v>
      </c>
      <c r="Q49" t="e">
        <f>IF(Titanic_Dataset[[#This Row],[Survived]]=0,Titanic_Dataset[[#This Row],[Fare]],NA())</f>
        <v>#N/A</v>
      </c>
      <c r="R49" t="str">
        <f>VLOOKUP(Titanic_Dataset[[#This Row],[Fare]],Table2[],2,TRUE)</f>
        <v>low</v>
      </c>
      <c r="S49" s="1" t="s">
        <v>15</v>
      </c>
      <c r="T49" s="1" t="s">
        <v>31</v>
      </c>
      <c r="U49" s="1"/>
      <c r="V49" s="1"/>
      <c r="W49" s="1"/>
    </row>
    <row r="50" spans="1:23" x14ac:dyDescent="0.25">
      <c r="A50">
        <v>49</v>
      </c>
      <c r="B50">
        <v>0</v>
      </c>
      <c r="C50" t="str">
        <f>IF(Titanic_Dataset[[#This Row],[Survived]]=1,"Survived","Died")</f>
        <v>Died</v>
      </c>
      <c r="D50">
        <v>3</v>
      </c>
      <c r="E50" t="str">
        <f>IF(Titanic_Dataset[[#This Row],[Pclass]]=1,"1st",IF(Titanic_Dataset[[#This Row],[Pclass]]=2,"2nd",IF(Titanic_Dataset[[#This Row],[Pclass]]=3,"3rd")))</f>
        <v>3rd</v>
      </c>
      <c r="F50" s="1" t="s">
        <v>122</v>
      </c>
      <c r="G50" s="1" t="str">
        <f>TRIM(MID(Titanic_Dataset[[#This Row],[Name]],
FIND(",",Titanic_Dataset[[#This Row],[Name]])+2,
FIND(".",Titanic_Dataset[[#This Row],[Name]],FIND(",",Titanic_Dataset[[#This Row],[Name]]))-FIND(",",Titanic_Dataset[[#This Row],[Name]])-1))</f>
        <v>Mr.</v>
      </c>
      <c r="H50" s="1" t="s">
        <v>13</v>
      </c>
      <c r="I50">
        <v>28</v>
      </c>
      <c r="J5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0">
        <v>2</v>
      </c>
      <c r="L50">
        <v>0</v>
      </c>
      <c r="M50">
        <f>Titanic_Dataset[[#This Row],[Parch]]+Titanic_Dataset[[#This Row],[SibSp]]</f>
        <v>2</v>
      </c>
      <c r="N50" s="1" t="s">
        <v>123</v>
      </c>
      <c r="O50">
        <v>21.679200000000002</v>
      </c>
      <c r="P50" t="e">
        <f>IF(Titanic_Dataset[[#This Row],[Survived]]=1,Titanic_Dataset[[#This Row],[Fare]],NA())</f>
        <v>#N/A</v>
      </c>
      <c r="Q50">
        <f>IF(Titanic_Dataset[[#This Row],[Survived]]=0,Titanic_Dataset[[#This Row],[Fare]],NA())</f>
        <v>21.679200000000002</v>
      </c>
      <c r="R50" t="str">
        <f>VLOOKUP(Titanic_Dataset[[#This Row],[Fare]],Table2[],2,TRUE)</f>
        <v>high</v>
      </c>
      <c r="S50" s="1" t="s">
        <v>15</v>
      </c>
      <c r="T50" s="1" t="s">
        <v>21</v>
      </c>
      <c r="U50" s="1"/>
      <c r="V50" s="1"/>
      <c r="W50" s="1"/>
    </row>
    <row r="51" spans="1:23" x14ac:dyDescent="0.25">
      <c r="A51">
        <v>50</v>
      </c>
      <c r="B51">
        <v>0</v>
      </c>
      <c r="C51" t="str">
        <f>IF(Titanic_Dataset[[#This Row],[Survived]]=1,"Survived","Died")</f>
        <v>Died</v>
      </c>
      <c r="D51">
        <v>3</v>
      </c>
      <c r="E51" t="str">
        <f>IF(Titanic_Dataset[[#This Row],[Pclass]]=1,"1st",IF(Titanic_Dataset[[#This Row],[Pclass]]=2,"2nd",IF(Titanic_Dataset[[#This Row],[Pclass]]=3,"3rd")))</f>
        <v>3rd</v>
      </c>
      <c r="F51" s="1" t="s">
        <v>124</v>
      </c>
      <c r="G51" s="1" t="str">
        <f>TRIM(MID(Titanic_Dataset[[#This Row],[Name]],
FIND(",",Titanic_Dataset[[#This Row],[Name]])+2,
FIND(".",Titanic_Dataset[[#This Row],[Name]],FIND(",",Titanic_Dataset[[#This Row],[Name]]))-FIND(",",Titanic_Dataset[[#This Row],[Name]])-1))</f>
        <v>Mrs.</v>
      </c>
      <c r="H51" s="1" t="s">
        <v>18</v>
      </c>
      <c r="I51">
        <v>18</v>
      </c>
      <c r="J51" t="str">
        <f>IF(Titanic_Dataset[[#This Row],[Age]]&lt;12,"0-11",
IF(Titanic_Dataset[[#This Row],[Age]]&lt;20,"12-19",
IF(Titanic_Dataset[[#This Row],[Age]]&lt;30,"20-29",
IF(Titanic_Dataset[[#This Row],[Age]]&lt;40,"30-39",
IF(Titanic_Dataset[[#This Row],[Age]]&lt;50,"40-49",
IF(Titanic_Dataset[[#This Row],[Age]]&lt;60,"50-59",
IF(Titanic_Dataset[[#This Row],[Age]]&lt;70,"60-69",)))))))</f>
        <v>12-19</v>
      </c>
      <c r="K51">
        <v>1</v>
      </c>
      <c r="L51">
        <v>0</v>
      </c>
      <c r="M51">
        <f>Titanic_Dataset[[#This Row],[Parch]]+Titanic_Dataset[[#This Row],[SibSp]]</f>
        <v>1</v>
      </c>
      <c r="N51" s="1" t="s">
        <v>125</v>
      </c>
      <c r="O51">
        <v>17.8</v>
      </c>
      <c r="P51" t="e">
        <f>IF(Titanic_Dataset[[#This Row],[Survived]]=1,Titanic_Dataset[[#This Row],[Fare]],NA())</f>
        <v>#N/A</v>
      </c>
      <c r="Q51">
        <f>IF(Titanic_Dataset[[#This Row],[Survived]]=0,Titanic_Dataset[[#This Row],[Fare]],NA())</f>
        <v>17.8</v>
      </c>
      <c r="R51" t="str">
        <f>VLOOKUP(Titanic_Dataset[[#This Row],[Fare]],Table2[],2,TRUE)</f>
        <v>high</v>
      </c>
      <c r="S51" s="1" t="s">
        <v>15</v>
      </c>
      <c r="T51" s="1" t="s">
        <v>16</v>
      </c>
      <c r="U51" s="1"/>
      <c r="V51" s="1"/>
      <c r="W51" s="1"/>
    </row>
    <row r="52" spans="1:23" x14ac:dyDescent="0.25">
      <c r="A52">
        <v>51</v>
      </c>
      <c r="B52">
        <v>0</v>
      </c>
      <c r="C52" t="str">
        <f>IF(Titanic_Dataset[[#This Row],[Survived]]=1,"Survived","Died")</f>
        <v>Died</v>
      </c>
      <c r="D52">
        <v>3</v>
      </c>
      <c r="E52" t="str">
        <f>IF(Titanic_Dataset[[#This Row],[Pclass]]=1,"1st",IF(Titanic_Dataset[[#This Row],[Pclass]]=2,"2nd",IF(Titanic_Dataset[[#This Row],[Pclass]]=3,"3rd")))</f>
        <v>3rd</v>
      </c>
      <c r="F52" s="1" t="s">
        <v>126</v>
      </c>
      <c r="G52" s="1" t="str">
        <f>TRIM(MID(Titanic_Dataset[[#This Row],[Name]],
FIND(",",Titanic_Dataset[[#This Row],[Name]])+2,
FIND(".",Titanic_Dataset[[#This Row],[Name]],FIND(",",Titanic_Dataset[[#This Row],[Name]]))-FIND(",",Titanic_Dataset[[#This Row],[Name]])-1))</f>
        <v>Master.</v>
      </c>
      <c r="H52" s="1" t="s">
        <v>13</v>
      </c>
      <c r="I52">
        <v>7</v>
      </c>
      <c r="J52" t="str">
        <f>IF(Titanic_Dataset[[#This Row],[Age]]&lt;12,"0-11",
IF(Titanic_Dataset[[#This Row],[Age]]&lt;20,"12-19",
IF(Titanic_Dataset[[#This Row],[Age]]&lt;30,"20-29",
IF(Titanic_Dataset[[#This Row],[Age]]&lt;40,"30-39",
IF(Titanic_Dataset[[#This Row],[Age]]&lt;50,"40-49",
IF(Titanic_Dataset[[#This Row],[Age]]&lt;60,"50-59",
IF(Titanic_Dataset[[#This Row],[Age]]&lt;70,"60-69",)))))))</f>
        <v>0-11</v>
      </c>
      <c r="K52">
        <v>4</v>
      </c>
      <c r="L52">
        <v>1</v>
      </c>
      <c r="M52">
        <f>Titanic_Dataset[[#This Row],[Parch]]+Titanic_Dataset[[#This Row],[SibSp]]</f>
        <v>5</v>
      </c>
      <c r="N52" s="1" t="s">
        <v>127</v>
      </c>
      <c r="O52">
        <v>39.6875</v>
      </c>
      <c r="P52" t="e">
        <f>IF(Titanic_Dataset[[#This Row],[Survived]]=1,Titanic_Dataset[[#This Row],[Fare]],NA())</f>
        <v>#N/A</v>
      </c>
      <c r="Q52">
        <f>IF(Titanic_Dataset[[#This Row],[Survived]]=0,Titanic_Dataset[[#This Row],[Fare]],NA())</f>
        <v>39.6875</v>
      </c>
      <c r="R52" t="str">
        <f>VLOOKUP(Titanic_Dataset[[#This Row],[Fare]],Table2[],2,TRUE)</f>
        <v>very hiegh</v>
      </c>
      <c r="S52" s="1" t="s">
        <v>15</v>
      </c>
      <c r="T52" s="1" t="s">
        <v>16</v>
      </c>
      <c r="U52" s="1"/>
      <c r="V52" s="1"/>
      <c r="W52" s="1"/>
    </row>
    <row r="53" spans="1:23" x14ac:dyDescent="0.25">
      <c r="A53">
        <v>52</v>
      </c>
      <c r="B53">
        <v>0</v>
      </c>
      <c r="C53" t="str">
        <f>IF(Titanic_Dataset[[#This Row],[Survived]]=1,"Survived","Died")</f>
        <v>Died</v>
      </c>
      <c r="D53">
        <v>3</v>
      </c>
      <c r="E53" t="str">
        <f>IF(Titanic_Dataset[[#This Row],[Pclass]]=1,"1st",IF(Titanic_Dataset[[#This Row],[Pclass]]=2,"2nd",IF(Titanic_Dataset[[#This Row],[Pclass]]=3,"3rd")))</f>
        <v>3rd</v>
      </c>
      <c r="F53" s="1" t="s">
        <v>128</v>
      </c>
      <c r="G53" s="1" t="str">
        <f>TRIM(MID(Titanic_Dataset[[#This Row],[Name]],
FIND(",",Titanic_Dataset[[#This Row],[Name]])+2,
FIND(".",Titanic_Dataset[[#This Row],[Name]],FIND(",",Titanic_Dataset[[#This Row],[Name]]))-FIND(",",Titanic_Dataset[[#This Row],[Name]])-1))</f>
        <v>Mr.</v>
      </c>
      <c r="H53" s="1" t="s">
        <v>13</v>
      </c>
      <c r="I53">
        <v>21</v>
      </c>
      <c r="J5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3">
        <v>0</v>
      </c>
      <c r="L53">
        <v>0</v>
      </c>
      <c r="M53">
        <f>Titanic_Dataset[[#This Row],[Parch]]+Titanic_Dataset[[#This Row],[SibSp]]</f>
        <v>0</v>
      </c>
      <c r="N53" s="1" t="s">
        <v>129</v>
      </c>
      <c r="O53">
        <v>7.8</v>
      </c>
      <c r="P53" t="e">
        <f>IF(Titanic_Dataset[[#This Row],[Survived]]=1,Titanic_Dataset[[#This Row],[Fare]],NA())</f>
        <v>#N/A</v>
      </c>
      <c r="Q53">
        <f>IF(Titanic_Dataset[[#This Row],[Survived]]=0,Titanic_Dataset[[#This Row],[Fare]],NA())</f>
        <v>7.8</v>
      </c>
      <c r="R53" t="str">
        <f>VLOOKUP(Titanic_Dataset[[#This Row],[Fare]],Table2[],2,TRUE)</f>
        <v>low</v>
      </c>
      <c r="S53" s="1" t="s">
        <v>15</v>
      </c>
      <c r="T53" s="1" t="s">
        <v>16</v>
      </c>
      <c r="U53" s="1"/>
      <c r="V53" s="1"/>
      <c r="W53" s="1"/>
    </row>
    <row r="54" spans="1:23" x14ac:dyDescent="0.25">
      <c r="A54">
        <v>53</v>
      </c>
      <c r="B54">
        <v>1</v>
      </c>
      <c r="C54" t="str">
        <f>IF(Titanic_Dataset[[#This Row],[Survived]]=1,"Survived","Died")</f>
        <v>Survived</v>
      </c>
      <c r="D54">
        <v>1</v>
      </c>
      <c r="E54" t="str">
        <f>IF(Titanic_Dataset[[#This Row],[Pclass]]=1,"1st",IF(Titanic_Dataset[[#This Row],[Pclass]]=2,"2nd",IF(Titanic_Dataset[[#This Row],[Pclass]]=3,"3rd")))</f>
        <v>1st</v>
      </c>
      <c r="F54" s="1" t="s">
        <v>130</v>
      </c>
      <c r="G54" s="1" t="str">
        <f>TRIM(MID(Titanic_Dataset[[#This Row],[Name]],
FIND(",",Titanic_Dataset[[#This Row],[Name]])+2,
FIND(".",Titanic_Dataset[[#This Row],[Name]],FIND(",",Titanic_Dataset[[#This Row],[Name]]))-FIND(",",Titanic_Dataset[[#This Row],[Name]])-1))</f>
        <v>Mrs.</v>
      </c>
      <c r="H54" s="1" t="s">
        <v>18</v>
      </c>
      <c r="I54">
        <v>49</v>
      </c>
      <c r="J54" t="str">
        <f>IF(Titanic_Dataset[[#This Row],[Age]]&lt;12,"0-11",
IF(Titanic_Dataset[[#This Row],[Age]]&lt;20,"12-19",
IF(Titanic_Dataset[[#This Row],[Age]]&lt;30,"20-29",
IF(Titanic_Dataset[[#This Row],[Age]]&lt;40,"30-39",
IF(Titanic_Dataset[[#This Row],[Age]]&lt;50,"40-49",
IF(Titanic_Dataset[[#This Row],[Age]]&lt;60,"50-59",
IF(Titanic_Dataset[[#This Row],[Age]]&lt;70,"60-69",)))))))</f>
        <v>40-49</v>
      </c>
      <c r="K54">
        <v>1</v>
      </c>
      <c r="L54">
        <v>0</v>
      </c>
      <c r="M54">
        <f>Titanic_Dataset[[#This Row],[Parch]]+Titanic_Dataset[[#This Row],[SibSp]]</f>
        <v>1</v>
      </c>
      <c r="N54" s="1" t="s">
        <v>131</v>
      </c>
      <c r="O54">
        <v>76.729200000000006</v>
      </c>
      <c r="P54">
        <f>IF(Titanic_Dataset[[#This Row],[Survived]]=1,Titanic_Dataset[[#This Row],[Fare]],NA())</f>
        <v>76.729200000000006</v>
      </c>
      <c r="Q54" t="e">
        <f>IF(Titanic_Dataset[[#This Row],[Survived]]=0,Titanic_Dataset[[#This Row],[Fare]],NA())</f>
        <v>#N/A</v>
      </c>
      <c r="R54" t="str">
        <f>VLOOKUP(Titanic_Dataset[[#This Row],[Fare]],Table2[],2,TRUE)</f>
        <v>very hiegh</v>
      </c>
      <c r="S54" s="1" t="s">
        <v>132</v>
      </c>
      <c r="T54" s="1" t="s">
        <v>21</v>
      </c>
      <c r="U54" s="1"/>
      <c r="V54" s="1"/>
      <c r="W54" s="1"/>
    </row>
    <row r="55" spans="1:23" x14ac:dyDescent="0.25">
      <c r="A55">
        <v>54</v>
      </c>
      <c r="B55">
        <v>1</v>
      </c>
      <c r="C55" t="str">
        <f>IF(Titanic_Dataset[[#This Row],[Survived]]=1,"Survived","Died")</f>
        <v>Survived</v>
      </c>
      <c r="D55">
        <v>2</v>
      </c>
      <c r="E55" t="str">
        <f>IF(Titanic_Dataset[[#This Row],[Pclass]]=1,"1st",IF(Titanic_Dataset[[#This Row],[Pclass]]=2,"2nd",IF(Titanic_Dataset[[#This Row],[Pclass]]=3,"3rd")))</f>
        <v>2nd</v>
      </c>
      <c r="F55" s="1" t="s">
        <v>133</v>
      </c>
      <c r="G55" s="1" t="str">
        <f>TRIM(MID(Titanic_Dataset[[#This Row],[Name]],
FIND(",",Titanic_Dataset[[#This Row],[Name]])+2,
FIND(".",Titanic_Dataset[[#This Row],[Name]],FIND(",",Titanic_Dataset[[#This Row],[Name]]))-FIND(",",Titanic_Dataset[[#This Row],[Name]])-1))</f>
        <v>Mrs.</v>
      </c>
      <c r="H55" s="1" t="s">
        <v>18</v>
      </c>
      <c r="I55">
        <v>29</v>
      </c>
      <c r="J5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5">
        <v>1</v>
      </c>
      <c r="L55">
        <v>0</v>
      </c>
      <c r="M55">
        <f>Titanic_Dataset[[#This Row],[Parch]]+Titanic_Dataset[[#This Row],[SibSp]]</f>
        <v>1</v>
      </c>
      <c r="N55" s="1" t="s">
        <v>134</v>
      </c>
      <c r="O55">
        <v>26</v>
      </c>
      <c r="P55">
        <f>IF(Titanic_Dataset[[#This Row],[Survived]]=1,Titanic_Dataset[[#This Row],[Fare]],NA())</f>
        <v>26</v>
      </c>
      <c r="Q55" t="e">
        <f>IF(Titanic_Dataset[[#This Row],[Survived]]=0,Titanic_Dataset[[#This Row],[Fare]],NA())</f>
        <v>#N/A</v>
      </c>
      <c r="R55" t="str">
        <f>VLOOKUP(Titanic_Dataset[[#This Row],[Fare]],Table2[],2,TRUE)</f>
        <v>high</v>
      </c>
      <c r="S55" s="1" t="s">
        <v>15</v>
      </c>
      <c r="T55" s="1" t="s">
        <v>16</v>
      </c>
      <c r="U55" s="1"/>
      <c r="V55" s="1"/>
      <c r="W55" s="1"/>
    </row>
    <row r="56" spans="1:23" x14ac:dyDescent="0.25">
      <c r="A56">
        <v>55</v>
      </c>
      <c r="B56">
        <v>0</v>
      </c>
      <c r="C56" t="str">
        <f>IF(Titanic_Dataset[[#This Row],[Survived]]=1,"Survived","Died")</f>
        <v>Died</v>
      </c>
      <c r="D56">
        <v>1</v>
      </c>
      <c r="E56" t="str">
        <f>IF(Titanic_Dataset[[#This Row],[Pclass]]=1,"1st",IF(Titanic_Dataset[[#This Row],[Pclass]]=2,"2nd",IF(Titanic_Dataset[[#This Row],[Pclass]]=3,"3rd")))</f>
        <v>1st</v>
      </c>
      <c r="F56" s="1" t="s">
        <v>135</v>
      </c>
      <c r="G56" s="1" t="str">
        <f>TRIM(MID(Titanic_Dataset[[#This Row],[Name]],
FIND(",",Titanic_Dataset[[#This Row],[Name]])+2,
FIND(".",Titanic_Dataset[[#This Row],[Name]],FIND(",",Titanic_Dataset[[#This Row],[Name]]))-FIND(",",Titanic_Dataset[[#This Row],[Name]])-1))</f>
        <v>Mr.</v>
      </c>
      <c r="H56" s="1" t="s">
        <v>13</v>
      </c>
      <c r="I56">
        <v>65</v>
      </c>
      <c r="J56" t="str">
        <f>IF(Titanic_Dataset[[#This Row],[Age]]&lt;12,"0-11",
IF(Titanic_Dataset[[#This Row],[Age]]&lt;20,"12-19",
IF(Titanic_Dataset[[#This Row],[Age]]&lt;30,"20-29",
IF(Titanic_Dataset[[#This Row],[Age]]&lt;40,"30-39",
IF(Titanic_Dataset[[#This Row],[Age]]&lt;50,"40-49",
IF(Titanic_Dataset[[#This Row],[Age]]&lt;60,"50-59",
IF(Titanic_Dataset[[#This Row],[Age]]&lt;70,"60-69",)))))))</f>
        <v>60-69</v>
      </c>
      <c r="K56">
        <v>0</v>
      </c>
      <c r="L56">
        <v>1</v>
      </c>
      <c r="M56">
        <f>Titanic_Dataset[[#This Row],[Parch]]+Titanic_Dataset[[#This Row],[SibSp]]</f>
        <v>1</v>
      </c>
      <c r="N56" s="1" t="s">
        <v>136</v>
      </c>
      <c r="O56">
        <v>61.979199999999999</v>
      </c>
      <c r="P56" t="e">
        <f>IF(Titanic_Dataset[[#This Row],[Survived]]=1,Titanic_Dataset[[#This Row],[Fare]],NA())</f>
        <v>#N/A</v>
      </c>
      <c r="Q56">
        <f>IF(Titanic_Dataset[[#This Row],[Survived]]=0,Titanic_Dataset[[#This Row],[Fare]],NA())</f>
        <v>61.979199999999999</v>
      </c>
      <c r="R56" t="str">
        <f>VLOOKUP(Titanic_Dataset[[#This Row],[Fare]],Table2[],2,TRUE)</f>
        <v>very hiegh</v>
      </c>
      <c r="S56" s="1" t="s">
        <v>137</v>
      </c>
      <c r="T56" s="1" t="s">
        <v>21</v>
      </c>
      <c r="U56" s="1"/>
      <c r="V56" s="1"/>
      <c r="W56" s="1"/>
    </row>
    <row r="57" spans="1:23" x14ac:dyDescent="0.25">
      <c r="A57">
        <v>56</v>
      </c>
      <c r="B57">
        <v>1</v>
      </c>
      <c r="C57" t="str">
        <f>IF(Titanic_Dataset[[#This Row],[Survived]]=1,"Survived","Died")</f>
        <v>Survived</v>
      </c>
      <c r="D57">
        <v>1</v>
      </c>
      <c r="E57" t="str">
        <f>IF(Titanic_Dataset[[#This Row],[Pclass]]=1,"1st",IF(Titanic_Dataset[[#This Row],[Pclass]]=2,"2nd",IF(Titanic_Dataset[[#This Row],[Pclass]]=3,"3rd")))</f>
        <v>1st</v>
      </c>
      <c r="F57" s="1" t="s">
        <v>138</v>
      </c>
      <c r="G57" s="1" t="str">
        <f>TRIM(MID(Titanic_Dataset[[#This Row],[Name]],
FIND(",",Titanic_Dataset[[#This Row],[Name]])+2,
FIND(".",Titanic_Dataset[[#This Row],[Name]],FIND(",",Titanic_Dataset[[#This Row],[Name]]))-FIND(",",Titanic_Dataset[[#This Row],[Name]])-1))</f>
        <v>Mr.</v>
      </c>
      <c r="H57" s="1" t="s">
        <v>13</v>
      </c>
      <c r="I57">
        <v>28</v>
      </c>
      <c r="J5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7">
        <v>0</v>
      </c>
      <c r="L57">
        <v>0</v>
      </c>
      <c r="M57">
        <f>Titanic_Dataset[[#This Row],[Parch]]+Titanic_Dataset[[#This Row],[SibSp]]</f>
        <v>0</v>
      </c>
      <c r="N57" s="1" t="s">
        <v>139</v>
      </c>
      <c r="O57">
        <v>35.5</v>
      </c>
      <c r="P57">
        <f>IF(Titanic_Dataset[[#This Row],[Survived]]=1,Titanic_Dataset[[#This Row],[Fare]],NA())</f>
        <v>35.5</v>
      </c>
      <c r="Q57" t="e">
        <f>IF(Titanic_Dataset[[#This Row],[Survived]]=0,Titanic_Dataset[[#This Row],[Fare]],NA())</f>
        <v>#N/A</v>
      </c>
      <c r="R57" t="str">
        <f>VLOOKUP(Titanic_Dataset[[#This Row],[Fare]],Table2[],2,TRUE)</f>
        <v>very hiegh</v>
      </c>
      <c r="S57" s="1" t="s">
        <v>140</v>
      </c>
      <c r="T57" s="1" t="s">
        <v>16</v>
      </c>
      <c r="U57" s="1"/>
      <c r="V57" s="1"/>
      <c r="W57" s="1"/>
    </row>
    <row r="58" spans="1:23" x14ac:dyDescent="0.25">
      <c r="A58">
        <v>57</v>
      </c>
      <c r="B58">
        <v>1</v>
      </c>
      <c r="C58" t="str">
        <f>IF(Titanic_Dataset[[#This Row],[Survived]]=1,"Survived","Died")</f>
        <v>Survived</v>
      </c>
      <c r="D58">
        <v>2</v>
      </c>
      <c r="E58" t="str">
        <f>IF(Titanic_Dataset[[#This Row],[Pclass]]=1,"1st",IF(Titanic_Dataset[[#This Row],[Pclass]]=2,"2nd",IF(Titanic_Dataset[[#This Row],[Pclass]]=3,"3rd")))</f>
        <v>2nd</v>
      </c>
      <c r="F58" s="1" t="s">
        <v>141</v>
      </c>
      <c r="G58" s="1" t="str">
        <f>TRIM(MID(Titanic_Dataset[[#This Row],[Name]],
FIND(",",Titanic_Dataset[[#This Row],[Name]])+2,
FIND(".",Titanic_Dataset[[#This Row],[Name]],FIND(",",Titanic_Dataset[[#This Row],[Name]]))-FIND(",",Titanic_Dataset[[#This Row],[Name]])-1))</f>
        <v>Miss.</v>
      </c>
      <c r="H58" s="1" t="s">
        <v>18</v>
      </c>
      <c r="I58">
        <v>21</v>
      </c>
      <c r="J5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8">
        <v>0</v>
      </c>
      <c r="L58">
        <v>0</v>
      </c>
      <c r="M58">
        <f>Titanic_Dataset[[#This Row],[Parch]]+Titanic_Dataset[[#This Row],[SibSp]]</f>
        <v>0</v>
      </c>
      <c r="N58" s="1" t="s">
        <v>142</v>
      </c>
      <c r="O58">
        <v>10.5</v>
      </c>
      <c r="P58">
        <f>IF(Titanic_Dataset[[#This Row],[Survived]]=1,Titanic_Dataset[[#This Row],[Fare]],NA())</f>
        <v>10.5</v>
      </c>
      <c r="Q58" t="e">
        <f>IF(Titanic_Dataset[[#This Row],[Survived]]=0,Titanic_Dataset[[#This Row],[Fare]],NA())</f>
        <v>#N/A</v>
      </c>
      <c r="R58" t="str">
        <f>VLOOKUP(Titanic_Dataset[[#This Row],[Fare]],Table2[],2,TRUE)</f>
        <v>medium</v>
      </c>
      <c r="S58" s="1" t="s">
        <v>15</v>
      </c>
      <c r="T58" s="1" t="s">
        <v>16</v>
      </c>
      <c r="U58" s="1"/>
      <c r="V58" s="1"/>
      <c r="W58" s="1"/>
    </row>
    <row r="59" spans="1:23" x14ac:dyDescent="0.25">
      <c r="A59">
        <v>58</v>
      </c>
      <c r="B59">
        <v>0</v>
      </c>
      <c r="C59" t="str">
        <f>IF(Titanic_Dataset[[#This Row],[Survived]]=1,"Survived","Died")</f>
        <v>Died</v>
      </c>
      <c r="D59">
        <v>3</v>
      </c>
      <c r="E59" t="str">
        <f>IF(Titanic_Dataset[[#This Row],[Pclass]]=1,"1st",IF(Titanic_Dataset[[#This Row],[Pclass]]=2,"2nd",IF(Titanic_Dataset[[#This Row],[Pclass]]=3,"3rd")))</f>
        <v>3rd</v>
      </c>
      <c r="F59" s="1" t="s">
        <v>143</v>
      </c>
      <c r="G59" s="1" t="str">
        <f>TRIM(MID(Titanic_Dataset[[#This Row],[Name]],
FIND(",",Titanic_Dataset[[#This Row],[Name]])+2,
FIND(".",Titanic_Dataset[[#This Row],[Name]],FIND(",",Titanic_Dataset[[#This Row],[Name]]))-FIND(",",Titanic_Dataset[[#This Row],[Name]])-1))</f>
        <v>Mr.</v>
      </c>
      <c r="H59" s="1" t="s">
        <v>13</v>
      </c>
      <c r="I59">
        <v>28.5</v>
      </c>
      <c r="J5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9">
        <v>0</v>
      </c>
      <c r="L59">
        <v>0</v>
      </c>
      <c r="M59">
        <f>Titanic_Dataset[[#This Row],[Parch]]+Titanic_Dataset[[#This Row],[SibSp]]</f>
        <v>0</v>
      </c>
      <c r="N59" s="1" t="s">
        <v>144</v>
      </c>
      <c r="O59">
        <v>7.2291999999999996</v>
      </c>
      <c r="P59" t="e">
        <f>IF(Titanic_Dataset[[#This Row],[Survived]]=1,Titanic_Dataset[[#This Row],[Fare]],NA())</f>
        <v>#N/A</v>
      </c>
      <c r="Q59">
        <f>IF(Titanic_Dataset[[#This Row],[Survived]]=0,Titanic_Dataset[[#This Row],[Fare]],NA())</f>
        <v>7.2291999999999996</v>
      </c>
      <c r="R59" t="str">
        <f>VLOOKUP(Titanic_Dataset[[#This Row],[Fare]],Table2[],2,TRUE)</f>
        <v>low</v>
      </c>
      <c r="S59" s="1" t="s">
        <v>15</v>
      </c>
      <c r="T59" s="1" t="s">
        <v>21</v>
      </c>
      <c r="U59" s="1"/>
      <c r="V59" s="1"/>
      <c r="W59" s="1"/>
    </row>
    <row r="60" spans="1:23" x14ac:dyDescent="0.25">
      <c r="A60">
        <v>59</v>
      </c>
      <c r="B60">
        <v>1</v>
      </c>
      <c r="C60" t="str">
        <f>IF(Titanic_Dataset[[#This Row],[Survived]]=1,"Survived","Died")</f>
        <v>Survived</v>
      </c>
      <c r="D60">
        <v>2</v>
      </c>
      <c r="E60" t="str">
        <f>IF(Titanic_Dataset[[#This Row],[Pclass]]=1,"1st",IF(Titanic_Dataset[[#This Row],[Pclass]]=2,"2nd",IF(Titanic_Dataset[[#This Row],[Pclass]]=3,"3rd")))</f>
        <v>2nd</v>
      </c>
      <c r="F60" s="1" t="s">
        <v>145</v>
      </c>
      <c r="G60" s="1" t="str">
        <f>TRIM(MID(Titanic_Dataset[[#This Row],[Name]],
FIND(",",Titanic_Dataset[[#This Row],[Name]])+2,
FIND(".",Titanic_Dataset[[#This Row],[Name]],FIND(",",Titanic_Dataset[[#This Row],[Name]]))-FIND(",",Titanic_Dataset[[#This Row],[Name]])-1))</f>
        <v>Miss.</v>
      </c>
      <c r="H60" s="1" t="s">
        <v>18</v>
      </c>
      <c r="I60">
        <v>5</v>
      </c>
      <c r="J60" t="str">
        <f>IF(Titanic_Dataset[[#This Row],[Age]]&lt;12,"0-11",
IF(Titanic_Dataset[[#This Row],[Age]]&lt;20,"12-19",
IF(Titanic_Dataset[[#This Row],[Age]]&lt;30,"20-29",
IF(Titanic_Dataset[[#This Row],[Age]]&lt;40,"30-39",
IF(Titanic_Dataset[[#This Row],[Age]]&lt;50,"40-49",
IF(Titanic_Dataset[[#This Row],[Age]]&lt;60,"50-59",
IF(Titanic_Dataset[[#This Row],[Age]]&lt;70,"60-69",)))))))</f>
        <v>0-11</v>
      </c>
      <c r="K60">
        <v>1</v>
      </c>
      <c r="L60">
        <v>2</v>
      </c>
      <c r="M60">
        <f>Titanic_Dataset[[#This Row],[Parch]]+Titanic_Dataset[[#This Row],[SibSp]]</f>
        <v>3</v>
      </c>
      <c r="N60" s="1" t="s">
        <v>146</v>
      </c>
      <c r="O60">
        <v>27.75</v>
      </c>
      <c r="P60">
        <f>IF(Titanic_Dataset[[#This Row],[Survived]]=1,Titanic_Dataset[[#This Row],[Fare]],NA())</f>
        <v>27.75</v>
      </c>
      <c r="Q60" t="e">
        <f>IF(Titanic_Dataset[[#This Row],[Survived]]=0,Titanic_Dataset[[#This Row],[Fare]],NA())</f>
        <v>#N/A</v>
      </c>
      <c r="R60" t="str">
        <f>VLOOKUP(Titanic_Dataset[[#This Row],[Fare]],Table2[],2,TRUE)</f>
        <v>high</v>
      </c>
      <c r="S60" s="1" t="s">
        <v>15</v>
      </c>
      <c r="T60" s="1" t="s">
        <v>16</v>
      </c>
      <c r="U60" s="1"/>
      <c r="V60" s="1"/>
      <c r="W60" s="1"/>
    </row>
    <row r="61" spans="1:23" x14ac:dyDescent="0.25">
      <c r="A61">
        <v>60</v>
      </c>
      <c r="B61">
        <v>0</v>
      </c>
      <c r="C61" t="str">
        <f>IF(Titanic_Dataset[[#This Row],[Survived]]=1,"Survived","Died")</f>
        <v>Died</v>
      </c>
      <c r="D61">
        <v>3</v>
      </c>
      <c r="E61" t="str">
        <f>IF(Titanic_Dataset[[#This Row],[Pclass]]=1,"1st",IF(Titanic_Dataset[[#This Row],[Pclass]]=2,"2nd",IF(Titanic_Dataset[[#This Row],[Pclass]]=3,"3rd")))</f>
        <v>3rd</v>
      </c>
      <c r="F61" s="1" t="s">
        <v>147</v>
      </c>
      <c r="G61" s="1" t="str">
        <f>TRIM(MID(Titanic_Dataset[[#This Row],[Name]],
FIND(",",Titanic_Dataset[[#This Row],[Name]])+2,
FIND(".",Titanic_Dataset[[#This Row],[Name]],FIND(",",Titanic_Dataset[[#This Row],[Name]]))-FIND(",",Titanic_Dataset[[#This Row],[Name]])-1))</f>
        <v>Master.</v>
      </c>
      <c r="H61" s="1" t="s">
        <v>13</v>
      </c>
      <c r="I61">
        <v>11</v>
      </c>
      <c r="J61" t="str">
        <f>IF(Titanic_Dataset[[#This Row],[Age]]&lt;12,"0-11",
IF(Titanic_Dataset[[#This Row],[Age]]&lt;20,"12-19",
IF(Titanic_Dataset[[#This Row],[Age]]&lt;30,"20-29",
IF(Titanic_Dataset[[#This Row],[Age]]&lt;40,"30-39",
IF(Titanic_Dataset[[#This Row],[Age]]&lt;50,"40-49",
IF(Titanic_Dataset[[#This Row],[Age]]&lt;60,"50-59",
IF(Titanic_Dataset[[#This Row],[Age]]&lt;70,"60-69",)))))))</f>
        <v>0-11</v>
      </c>
      <c r="K61">
        <v>5</v>
      </c>
      <c r="L61">
        <v>2</v>
      </c>
      <c r="M61">
        <f>Titanic_Dataset[[#This Row],[Parch]]+Titanic_Dataset[[#This Row],[SibSp]]</f>
        <v>7</v>
      </c>
      <c r="N61" s="1" t="s">
        <v>148</v>
      </c>
      <c r="O61">
        <v>46.9</v>
      </c>
      <c r="P61" t="e">
        <f>IF(Titanic_Dataset[[#This Row],[Survived]]=1,Titanic_Dataset[[#This Row],[Fare]],NA())</f>
        <v>#N/A</v>
      </c>
      <c r="Q61">
        <f>IF(Titanic_Dataset[[#This Row],[Survived]]=0,Titanic_Dataset[[#This Row],[Fare]],NA())</f>
        <v>46.9</v>
      </c>
      <c r="R61" t="str">
        <f>VLOOKUP(Titanic_Dataset[[#This Row],[Fare]],Table2[],2,TRUE)</f>
        <v>very hiegh</v>
      </c>
      <c r="S61" s="1" t="s">
        <v>15</v>
      </c>
      <c r="T61" s="1" t="s">
        <v>16</v>
      </c>
      <c r="U61" s="1"/>
      <c r="V61" s="1"/>
      <c r="W61" s="1"/>
    </row>
    <row r="62" spans="1:23" x14ac:dyDescent="0.25">
      <c r="A62">
        <v>61</v>
      </c>
      <c r="B62">
        <v>0</v>
      </c>
      <c r="C62" t="str">
        <f>IF(Titanic_Dataset[[#This Row],[Survived]]=1,"Survived","Died")</f>
        <v>Died</v>
      </c>
      <c r="D62">
        <v>3</v>
      </c>
      <c r="E62" t="str">
        <f>IF(Titanic_Dataset[[#This Row],[Pclass]]=1,"1st",IF(Titanic_Dataset[[#This Row],[Pclass]]=2,"2nd",IF(Titanic_Dataset[[#This Row],[Pclass]]=3,"3rd")))</f>
        <v>3rd</v>
      </c>
      <c r="F62" s="1" t="s">
        <v>149</v>
      </c>
      <c r="G62" s="1" t="str">
        <f>TRIM(MID(Titanic_Dataset[[#This Row],[Name]],
FIND(",",Titanic_Dataset[[#This Row],[Name]])+2,
FIND(".",Titanic_Dataset[[#This Row],[Name]],FIND(",",Titanic_Dataset[[#This Row],[Name]]))-FIND(",",Titanic_Dataset[[#This Row],[Name]])-1))</f>
        <v>Mr.</v>
      </c>
      <c r="H62" s="1" t="s">
        <v>13</v>
      </c>
      <c r="I62">
        <v>22</v>
      </c>
      <c r="J6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2">
        <v>0</v>
      </c>
      <c r="L62">
        <v>0</v>
      </c>
      <c r="M62">
        <f>Titanic_Dataset[[#This Row],[Parch]]+Titanic_Dataset[[#This Row],[SibSp]]</f>
        <v>0</v>
      </c>
      <c r="N62" s="1" t="s">
        <v>150</v>
      </c>
      <c r="O62">
        <v>7.2291999999999996</v>
      </c>
      <c r="P62" t="e">
        <f>IF(Titanic_Dataset[[#This Row],[Survived]]=1,Titanic_Dataset[[#This Row],[Fare]],NA())</f>
        <v>#N/A</v>
      </c>
      <c r="Q62">
        <f>IF(Titanic_Dataset[[#This Row],[Survived]]=0,Titanic_Dataset[[#This Row],[Fare]],NA())</f>
        <v>7.2291999999999996</v>
      </c>
      <c r="R62" t="str">
        <f>VLOOKUP(Titanic_Dataset[[#This Row],[Fare]],Table2[],2,TRUE)</f>
        <v>low</v>
      </c>
      <c r="S62" s="1" t="s">
        <v>15</v>
      </c>
      <c r="T62" s="1" t="s">
        <v>21</v>
      </c>
      <c r="U62" s="1"/>
      <c r="V62" s="1"/>
      <c r="W62" s="1"/>
    </row>
    <row r="63" spans="1:23" x14ac:dyDescent="0.25">
      <c r="A63">
        <v>62</v>
      </c>
      <c r="B63">
        <v>1</v>
      </c>
      <c r="C63" t="str">
        <f>IF(Titanic_Dataset[[#This Row],[Survived]]=1,"Survived","Died")</f>
        <v>Survived</v>
      </c>
      <c r="D63">
        <v>1</v>
      </c>
      <c r="E63" t="str">
        <f>IF(Titanic_Dataset[[#This Row],[Pclass]]=1,"1st",IF(Titanic_Dataset[[#This Row],[Pclass]]=2,"2nd",IF(Titanic_Dataset[[#This Row],[Pclass]]=3,"3rd")))</f>
        <v>1st</v>
      </c>
      <c r="F63" s="1" t="s">
        <v>151</v>
      </c>
      <c r="G63" s="1" t="str">
        <f>TRIM(MID(Titanic_Dataset[[#This Row],[Name]],
FIND(",",Titanic_Dataset[[#This Row],[Name]])+2,
FIND(".",Titanic_Dataset[[#This Row],[Name]],FIND(",",Titanic_Dataset[[#This Row],[Name]]))-FIND(",",Titanic_Dataset[[#This Row],[Name]])-1))</f>
        <v>Miss.</v>
      </c>
      <c r="H63" s="1" t="s">
        <v>18</v>
      </c>
      <c r="I63">
        <v>38</v>
      </c>
      <c r="J63" t="str">
        <f>IF(Titanic_Dataset[[#This Row],[Age]]&lt;12,"0-11",
IF(Titanic_Dataset[[#This Row],[Age]]&lt;20,"12-19",
IF(Titanic_Dataset[[#This Row],[Age]]&lt;30,"20-29",
IF(Titanic_Dataset[[#This Row],[Age]]&lt;40,"30-39",
IF(Titanic_Dataset[[#This Row],[Age]]&lt;50,"40-49",
IF(Titanic_Dataset[[#This Row],[Age]]&lt;60,"50-59",
IF(Titanic_Dataset[[#This Row],[Age]]&lt;70,"60-69",)))))))</f>
        <v>30-39</v>
      </c>
      <c r="K63">
        <v>0</v>
      </c>
      <c r="L63">
        <v>0</v>
      </c>
      <c r="M63">
        <f>Titanic_Dataset[[#This Row],[Parch]]+Titanic_Dataset[[#This Row],[SibSp]]</f>
        <v>0</v>
      </c>
      <c r="N63" s="1" t="s">
        <v>152</v>
      </c>
      <c r="O63">
        <v>80</v>
      </c>
      <c r="P63">
        <f>IF(Titanic_Dataset[[#This Row],[Survived]]=1,Titanic_Dataset[[#This Row],[Fare]],NA())</f>
        <v>80</v>
      </c>
      <c r="Q63" t="e">
        <f>IF(Titanic_Dataset[[#This Row],[Survived]]=0,Titanic_Dataset[[#This Row],[Fare]],NA())</f>
        <v>#N/A</v>
      </c>
      <c r="R63" t="str">
        <f>VLOOKUP(Titanic_Dataset[[#This Row],[Fare]],Table2[],2,TRUE)</f>
        <v>very hiegh</v>
      </c>
      <c r="S63" s="1" t="s">
        <v>153</v>
      </c>
      <c r="T63" s="1" t="s">
        <v>1769</v>
      </c>
      <c r="U63" s="1"/>
      <c r="V63" s="1"/>
      <c r="W63" s="1"/>
    </row>
    <row r="64" spans="1:23" x14ac:dyDescent="0.25">
      <c r="A64">
        <v>63</v>
      </c>
      <c r="B64">
        <v>0</v>
      </c>
      <c r="C64" t="str">
        <f>IF(Titanic_Dataset[[#This Row],[Survived]]=1,"Survived","Died")</f>
        <v>Died</v>
      </c>
      <c r="D64">
        <v>1</v>
      </c>
      <c r="E64" t="str">
        <f>IF(Titanic_Dataset[[#This Row],[Pclass]]=1,"1st",IF(Titanic_Dataset[[#This Row],[Pclass]]=2,"2nd",IF(Titanic_Dataset[[#This Row],[Pclass]]=3,"3rd")))</f>
        <v>1st</v>
      </c>
      <c r="F64" s="1" t="s">
        <v>154</v>
      </c>
      <c r="G64" s="1" t="str">
        <f>TRIM(MID(Titanic_Dataset[[#This Row],[Name]],
FIND(",",Titanic_Dataset[[#This Row],[Name]])+2,
FIND(".",Titanic_Dataset[[#This Row],[Name]],FIND(",",Titanic_Dataset[[#This Row],[Name]]))-FIND(",",Titanic_Dataset[[#This Row],[Name]])-1))</f>
        <v>Mr.</v>
      </c>
      <c r="H64" s="1" t="s">
        <v>13</v>
      </c>
      <c r="I64">
        <v>45</v>
      </c>
      <c r="J64" t="str">
        <f>IF(Titanic_Dataset[[#This Row],[Age]]&lt;12,"0-11",
IF(Titanic_Dataset[[#This Row],[Age]]&lt;20,"12-19",
IF(Titanic_Dataset[[#This Row],[Age]]&lt;30,"20-29",
IF(Titanic_Dataset[[#This Row],[Age]]&lt;40,"30-39",
IF(Titanic_Dataset[[#This Row],[Age]]&lt;50,"40-49",
IF(Titanic_Dataset[[#This Row],[Age]]&lt;60,"50-59",
IF(Titanic_Dataset[[#This Row],[Age]]&lt;70,"60-69",)))))))</f>
        <v>40-49</v>
      </c>
      <c r="K64">
        <v>1</v>
      </c>
      <c r="L64">
        <v>0</v>
      </c>
      <c r="M64">
        <f>Titanic_Dataset[[#This Row],[Parch]]+Titanic_Dataset[[#This Row],[SibSp]]</f>
        <v>1</v>
      </c>
      <c r="N64" s="1" t="s">
        <v>155</v>
      </c>
      <c r="O64">
        <v>83.474999999999994</v>
      </c>
      <c r="P64" t="e">
        <f>IF(Titanic_Dataset[[#This Row],[Survived]]=1,Titanic_Dataset[[#This Row],[Fare]],NA())</f>
        <v>#N/A</v>
      </c>
      <c r="Q64">
        <f>IF(Titanic_Dataset[[#This Row],[Survived]]=0,Titanic_Dataset[[#This Row],[Fare]],NA())</f>
        <v>83.474999999999994</v>
      </c>
      <c r="R64" t="str">
        <f>VLOOKUP(Titanic_Dataset[[#This Row],[Fare]],Table2[],2,TRUE)</f>
        <v>very hiegh</v>
      </c>
      <c r="S64" s="1" t="s">
        <v>156</v>
      </c>
      <c r="T64" s="1" t="s">
        <v>16</v>
      </c>
      <c r="U64" s="1"/>
      <c r="V64" s="1"/>
      <c r="W64" s="1"/>
    </row>
    <row r="65" spans="1:23" x14ac:dyDescent="0.25">
      <c r="A65">
        <v>64</v>
      </c>
      <c r="B65">
        <v>0</v>
      </c>
      <c r="C65" t="str">
        <f>IF(Titanic_Dataset[[#This Row],[Survived]]=1,"Survived","Died")</f>
        <v>Died</v>
      </c>
      <c r="D65">
        <v>3</v>
      </c>
      <c r="E65" t="str">
        <f>IF(Titanic_Dataset[[#This Row],[Pclass]]=1,"1st",IF(Titanic_Dataset[[#This Row],[Pclass]]=2,"2nd",IF(Titanic_Dataset[[#This Row],[Pclass]]=3,"3rd")))</f>
        <v>3rd</v>
      </c>
      <c r="F65" s="1" t="s">
        <v>157</v>
      </c>
      <c r="G65" s="1" t="str">
        <f>TRIM(MID(Titanic_Dataset[[#This Row],[Name]],
FIND(",",Titanic_Dataset[[#This Row],[Name]])+2,
FIND(".",Titanic_Dataset[[#This Row],[Name]],FIND(",",Titanic_Dataset[[#This Row],[Name]]))-FIND(",",Titanic_Dataset[[#This Row],[Name]])-1))</f>
        <v>Master.</v>
      </c>
      <c r="H65" s="1" t="s">
        <v>13</v>
      </c>
      <c r="I65">
        <v>4</v>
      </c>
      <c r="J65" t="str">
        <f>IF(Titanic_Dataset[[#This Row],[Age]]&lt;12,"0-11",
IF(Titanic_Dataset[[#This Row],[Age]]&lt;20,"12-19",
IF(Titanic_Dataset[[#This Row],[Age]]&lt;30,"20-29",
IF(Titanic_Dataset[[#This Row],[Age]]&lt;40,"30-39",
IF(Titanic_Dataset[[#This Row],[Age]]&lt;50,"40-49",
IF(Titanic_Dataset[[#This Row],[Age]]&lt;60,"50-59",
IF(Titanic_Dataset[[#This Row],[Age]]&lt;70,"60-69",)))))))</f>
        <v>0-11</v>
      </c>
      <c r="K65">
        <v>3</v>
      </c>
      <c r="L65">
        <v>2</v>
      </c>
      <c r="M65">
        <f>Titanic_Dataset[[#This Row],[Parch]]+Titanic_Dataset[[#This Row],[SibSp]]</f>
        <v>5</v>
      </c>
      <c r="N65" s="1" t="s">
        <v>158</v>
      </c>
      <c r="O65">
        <v>27.9</v>
      </c>
      <c r="P65" t="e">
        <f>IF(Titanic_Dataset[[#This Row],[Survived]]=1,Titanic_Dataset[[#This Row],[Fare]],NA())</f>
        <v>#N/A</v>
      </c>
      <c r="Q65">
        <f>IF(Titanic_Dataset[[#This Row],[Survived]]=0,Titanic_Dataset[[#This Row],[Fare]],NA())</f>
        <v>27.9</v>
      </c>
      <c r="R65" t="str">
        <f>VLOOKUP(Titanic_Dataset[[#This Row],[Fare]],Table2[],2,TRUE)</f>
        <v>high</v>
      </c>
      <c r="S65" s="1" t="s">
        <v>15</v>
      </c>
      <c r="T65" s="1" t="s">
        <v>16</v>
      </c>
      <c r="U65" s="1"/>
      <c r="V65" s="1"/>
      <c r="W65" s="1"/>
    </row>
    <row r="66" spans="1:23" x14ac:dyDescent="0.25">
      <c r="A66">
        <v>65</v>
      </c>
      <c r="B66">
        <v>0</v>
      </c>
      <c r="C66" t="str">
        <f>IF(Titanic_Dataset[[#This Row],[Survived]]=1,"Survived","Died")</f>
        <v>Died</v>
      </c>
      <c r="D66">
        <v>1</v>
      </c>
      <c r="E66" t="str">
        <f>IF(Titanic_Dataset[[#This Row],[Pclass]]=1,"1st",IF(Titanic_Dataset[[#This Row],[Pclass]]=2,"2nd",IF(Titanic_Dataset[[#This Row],[Pclass]]=3,"3rd")))</f>
        <v>1st</v>
      </c>
      <c r="F66" s="1" t="s">
        <v>159</v>
      </c>
      <c r="G66" s="1" t="str">
        <f>TRIM(MID(Titanic_Dataset[[#This Row],[Name]],
FIND(",",Titanic_Dataset[[#This Row],[Name]])+2,
FIND(".",Titanic_Dataset[[#This Row],[Name]],FIND(",",Titanic_Dataset[[#This Row],[Name]]))-FIND(",",Titanic_Dataset[[#This Row],[Name]])-1))</f>
        <v>Mr.</v>
      </c>
      <c r="H66" s="1" t="s">
        <v>13</v>
      </c>
      <c r="I66">
        <v>28</v>
      </c>
      <c r="J6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6">
        <v>0</v>
      </c>
      <c r="L66">
        <v>0</v>
      </c>
      <c r="M66">
        <f>Titanic_Dataset[[#This Row],[Parch]]+Titanic_Dataset[[#This Row],[SibSp]]</f>
        <v>0</v>
      </c>
      <c r="N66" s="1" t="s">
        <v>160</v>
      </c>
      <c r="O66">
        <v>27.720800000000001</v>
      </c>
      <c r="P66" t="e">
        <f>IF(Titanic_Dataset[[#This Row],[Survived]]=1,Titanic_Dataset[[#This Row],[Fare]],NA())</f>
        <v>#N/A</v>
      </c>
      <c r="Q66">
        <f>IF(Titanic_Dataset[[#This Row],[Survived]]=0,Titanic_Dataset[[#This Row],[Fare]],NA())</f>
        <v>27.720800000000001</v>
      </c>
      <c r="R66" t="str">
        <f>VLOOKUP(Titanic_Dataset[[#This Row],[Fare]],Table2[],2,TRUE)</f>
        <v>high</v>
      </c>
      <c r="S66" s="1" t="s">
        <v>15</v>
      </c>
      <c r="T66" s="1" t="s">
        <v>21</v>
      </c>
      <c r="U66" s="1"/>
      <c r="V66" s="1"/>
      <c r="W66" s="1"/>
    </row>
    <row r="67" spans="1:23" x14ac:dyDescent="0.25">
      <c r="A67">
        <v>66</v>
      </c>
      <c r="B67">
        <v>1</v>
      </c>
      <c r="C67" t="str">
        <f>IF(Titanic_Dataset[[#This Row],[Survived]]=1,"Survived","Died")</f>
        <v>Survived</v>
      </c>
      <c r="D67">
        <v>3</v>
      </c>
      <c r="E67" t="str">
        <f>IF(Titanic_Dataset[[#This Row],[Pclass]]=1,"1st",IF(Titanic_Dataset[[#This Row],[Pclass]]=2,"2nd",IF(Titanic_Dataset[[#This Row],[Pclass]]=3,"3rd")))</f>
        <v>3rd</v>
      </c>
      <c r="F67" s="1" t="s">
        <v>161</v>
      </c>
      <c r="G67" s="1" t="str">
        <f>TRIM(MID(Titanic_Dataset[[#This Row],[Name]],
FIND(",",Titanic_Dataset[[#This Row],[Name]])+2,
FIND(".",Titanic_Dataset[[#This Row],[Name]],FIND(",",Titanic_Dataset[[#This Row],[Name]]))-FIND(",",Titanic_Dataset[[#This Row],[Name]])-1))</f>
        <v>Master.</v>
      </c>
      <c r="H67" s="1" t="s">
        <v>13</v>
      </c>
      <c r="I67">
        <v>28</v>
      </c>
      <c r="J6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7">
        <v>1</v>
      </c>
      <c r="L67">
        <v>1</v>
      </c>
      <c r="M67">
        <f>Titanic_Dataset[[#This Row],[Parch]]+Titanic_Dataset[[#This Row],[SibSp]]</f>
        <v>2</v>
      </c>
      <c r="N67" s="1" t="s">
        <v>162</v>
      </c>
      <c r="O67">
        <v>15.245799999999999</v>
      </c>
      <c r="P67">
        <f>IF(Titanic_Dataset[[#This Row],[Survived]]=1,Titanic_Dataset[[#This Row],[Fare]],NA())</f>
        <v>15.245799999999999</v>
      </c>
      <c r="Q67" t="e">
        <f>IF(Titanic_Dataset[[#This Row],[Survived]]=0,Titanic_Dataset[[#This Row],[Fare]],NA())</f>
        <v>#N/A</v>
      </c>
      <c r="R67" t="str">
        <f>VLOOKUP(Titanic_Dataset[[#This Row],[Fare]],Table2[],2,TRUE)</f>
        <v>high</v>
      </c>
      <c r="S67" s="1" t="s">
        <v>15</v>
      </c>
      <c r="T67" s="1" t="s">
        <v>21</v>
      </c>
      <c r="U67" s="1"/>
      <c r="V67" s="1"/>
      <c r="W67" s="1"/>
    </row>
    <row r="68" spans="1:23" x14ac:dyDescent="0.25">
      <c r="A68">
        <v>67</v>
      </c>
      <c r="B68">
        <v>1</v>
      </c>
      <c r="C68" t="str">
        <f>IF(Titanic_Dataset[[#This Row],[Survived]]=1,"Survived","Died")</f>
        <v>Survived</v>
      </c>
      <c r="D68">
        <v>2</v>
      </c>
      <c r="E68" t="str">
        <f>IF(Titanic_Dataset[[#This Row],[Pclass]]=1,"1st",IF(Titanic_Dataset[[#This Row],[Pclass]]=2,"2nd",IF(Titanic_Dataset[[#This Row],[Pclass]]=3,"3rd")))</f>
        <v>2nd</v>
      </c>
      <c r="F68" s="1" t="s">
        <v>163</v>
      </c>
      <c r="G68" s="1" t="str">
        <f>TRIM(MID(Titanic_Dataset[[#This Row],[Name]],
FIND(",",Titanic_Dataset[[#This Row],[Name]])+2,
FIND(".",Titanic_Dataset[[#This Row],[Name]],FIND(",",Titanic_Dataset[[#This Row],[Name]]))-FIND(",",Titanic_Dataset[[#This Row],[Name]])-1))</f>
        <v>Mrs.</v>
      </c>
      <c r="H68" s="1" t="s">
        <v>18</v>
      </c>
      <c r="I68">
        <v>29</v>
      </c>
      <c r="J6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8">
        <v>0</v>
      </c>
      <c r="L68">
        <v>0</v>
      </c>
      <c r="M68">
        <f>Titanic_Dataset[[#This Row],[Parch]]+Titanic_Dataset[[#This Row],[SibSp]]</f>
        <v>0</v>
      </c>
      <c r="N68" s="1" t="s">
        <v>164</v>
      </c>
      <c r="O68">
        <v>10.5</v>
      </c>
      <c r="P68">
        <f>IF(Titanic_Dataset[[#This Row],[Survived]]=1,Titanic_Dataset[[#This Row],[Fare]],NA())</f>
        <v>10.5</v>
      </c>
      <c r="Q68" t="e">
        <f>IF(Titanic_Dataset[[#This Row],[Survived]]=0,Titanic_Dataset[[#This Row],[Fare]],NA())</f>
        <v>#N/A</v>
      </c>
      <c r="R68" t="str">
        <f>VLOOKUP(Titanic_Dataset[[#This Row],[Fare]],Table2[],2,TRUE)</f>
        <v>medium</v>
      </c>
      <c r="S68" s="1" t="s">
        <v>165</v>
      </c>
      <c r="T68" s="1" t="s">
        <v>16</v>
      </c>
      <c r="U68" s="1"/>
      <c r="V68" s="1"/>
      <c r="W68" s="1"/>
    </row>
    <row r="69" spans="1:23" x14ac:dyDescent="0.25">
      <c r="A69">
        <v>68</v>
      </c>
      <c r="B69">
        <v>0</v>
      </c>
      <c r="C69" t="str">
        <f>IF(Titanic_Dataset[[#This Row],[Survived]]=1,"Survived","Died")</f>
        <v>Died</v>
      </c>
      <c r="D69">
        <v>3</v>
      </c>
      <c r="E69" t="str">
        <f>IF(Titanic_Dataset[[#This Row],[Pclass]]=1,"1st",IF(Titanic_Dataset[[#This Row],[Pclass]]=2,"2nd",IF(Titanic_Dataset[[#This Row],[Pclass]]=3,"3rd")))</f>
        <v>3rd</v>
      </c>
      <c r="F69" s="1" t="s">
        <v>166</v>
      </c>
      <c r="G69" s="1" t="str">
        <f>TRIM(MID(Titanic_Dataset[[#This Row],[Name]],
FIND(",",Titanic_Dataset[[#This Row],[Name]])+2,
FIND(".",Titanic_Dataset[[#This Row],[Name]],FIND(",",Titanic_Dataset[[#This Row],[Name]]))-FIND(",",Titanic_Dataset[[#This Row],[Name]])-1))</f>
        <v>Mr.</v>
      </c>
      <c r="H69" s="1" t="s">
        <v>13</v>
      </c>
      <c r="I69">
        <v>19</v>
      </c>
      <c r="J69" t="str">
        <f>IF(Titanic_Dataset[[#This Row],[Age]]&lt;12,"0-11",
IF(Titanic_Dataset[[#This Row],[Age]]&lt;20,"12-19",
IF(Titanic_Dataset[[#This Row],[Age]]&lt;30,"20-29",
IF(Titanic_Dataset[[#This Row],[Age]]&lt;40,"30-39",
IF(Titanic_Dataset[[#This Row],[Age]]&lt;50,"40-49",
IF(Titanic_Dataset[[#This Row],[Age]]&lt;60,"50-59",
IF(Titanic_Dataset[[#This Row],[Age]]&lt;70,"60-69",)))))))</f>
        <v>12-19</v>
      </c>
      <c r="K69">
        <v>0</v>
      </c>
      <c r="L69">
        <v>0</v>
      </c>
      <c r="M69">
        <f>Titanic_Dataset[[#This Row],[Parch]]+Titanic_Dataset[[#This Row],[SibSp]]</f>
        <v>0</v>
      </c>
      <c r="N69" s="1" t="s">
        <v>167</v>
      </c>
      <c r="O69">
        <v>8.1583000000000006</v>
      </c>
      <c r="P69" t="e">
        <f>IF(Titanic_Dataset[[#This Row],[Survived]]=1,Titanic_Dataset[[#This Row],[Fare]],NA())</f>
        <v>#N/A</v>
      </c>
      <c r="Q69">
        <f>IF(Titanic_Dataset[[#This Row],[Survived]]=0,Titanic_Dataset[[#This Row],[Fare]],NA())</f>
        <v>8.1583000000000006</v>
      </c>
      <c r="R69" t="str">
        <f>VLOOKUP(Titanic_Dataset[[#This Row],[Fare]],Table2[],2,TRUE)</f>
        <v>medium</v>
      </c>
      <c r="S69" s="1" t="s">
        <v>15</v>
      </c>
      <c r="T69" s="1" t="s">
        <v>16</v>
      </c>
      <c r="U69" s="1"/>
      <c r="V69" s="1"/>
      <c r="W69" s="1"/>
    </row>
    <row r="70" spans="1:23" x14ac:dyDescent="0.25">
      <c r="A70">
        <v>69</v>
      </c>
      <c r="B70">
        <v>1</v>
      </c>
      <c r="C70" t="str">
        <f>IF(Titanic_Dataset[[#This Row],[Survived]]=1,"Survived","Died")</f>
        <v>Survived</v>
      </c>
      <c r="D70">
        <v>3</v>
      </c>
      <c r="E70" t="str">
        <f>IF(Titanic_Dataset[[#This Row],[Pclass]]=1,"1st",IF(Titanic_Dataset[[#This Row],[Pclass]]=2,"2nd",IF(Titanic_Dataset[[#This Row],[Pclass]]=3,"3rd")))</f>
        <v>3rd</v>
      </c>
      <c r="F70" s="1" t="s">
        <v>168</v>
      </c>
      <c r="G70" s="1" t="str">
        <f>TRIM(MID(Titanic_Dataset[[#This Row],[Name]],
FIND(",",Titanic_Dataset[[#This Row],[Name]])+2,
FIND(".",Titanic_Dataset[[#This Row],[Name]],FIND(",",Titanic_Dataset[[#This Row],[Name]]))-FIND(",",Titanic_Dataset[[#This Row],[Name]])-1))</f>
        <v>Miss.</v>
      </c>
      <c r="H70" s="1" t="s">
        <v>18</v>
      </c>
      <c r="I70">
        <v>17</v>
      </c>
      <c r="J70" t="str">
        <f>IF(Titanic_Dataset[[#This Row],[Age]]&lt;12,"0-11",
IF(Titanic_Dataset[[#This Row],[Age]]&lt;20,"12-19",
IF(Titanic_Dataset[[#This Row],[Age]]&lt;30,"20-29",
IF(Titanic_Dataset[[#This Row],[Age]]&lt;40,"30-39",
IF(Titanic_Dataset[[#This Row],[Age]]&lt;50,"40-49",
IF(Titanic_Dataset[[#This Row],[Age]]&lt;60,"50-59",
IF(Titanic_Dataset[[#This Row],[Age]]&lt;70,"60-69",)))))))</f>
        <v>12-19</v>
      </c>
      <c r="K70">
        <v>4</v>
      </c>
      <c r="L70">
        <v>2</v>
      </c>
      <c r="M70">
        <f>Titanic_Dataset[[#This Row],[Parch]]+Titanic_Dataset[[#This Row],[SibSp]]</f>
        <v>6</v>
      </c>
      <c r="N70" s="1" t="s">
        <v>169</v>
      </c>
      <c r="O70">
        <v>7.9249999999999998</v>
      </c>
      <c r="P70">
        <f>IF(Titanic_Dataset[[#This Row],[Survived]]=1,Titanic_Dataset[[#This Row],[Fare]],NA())</f>
        <v>7.9249999999999998</v>
      </c>
      <c r="Q70" t="e">
        <f>IF(Titanic_Dataset[[#This Row],[Survived]]=0,Titanic_Dataset[[#This Row],[Fare]],NA())</f>
        <v>#N/A</v>
      </c>
      <c r="R70" t="str">
        <f>VLOOKUP(Titanic_Dataset[[#This Row],[Fare]],Table2[],2,TRUE)</f>
        <v>low</v>
      </c>
      <c r="S70" s="1" t="s">
        <v>15</v>
      </c>
      <c r="T70" s="1" t="s">
        <v>16</v>
      </c>
      <c r="U70" s="1"/>
      <c r="V70" s="1"/>
      <c r="W70" s="1"/>
    </row>
    <row r="71" spans="1:23" x14ac:dyDescent="0.25">
      <c r="A71">
        <v>70</v>
      </c>
      <c r="B71">
        <v>0</v>
      </c>
      <c r="C71" t="str">
        <f>IF(Titanic_Dataset[[#This Row],[Survived]]=1,"Survived","Died")</f>
        <v>Died</v>
      </c>
      <c r="D71">
        <v>3</v>
      </c>
      <c r="E71" t="str">
        <f>IF(Titanic_Dataset[[#This Row],[Pclass]]=1,"1st",IF(Titanic_Dataset[[#This Row],[Pclass]]=2,"2nd",IF(Titanic_Dataset[[#This Row],[Pclass]]=3,"3rd")))</f>
        <v>3rd</v>
      </c>
      <c r="F71" s="1" t="s">
        <v>170</v>
      </c>
      <c r="G71" s="1" t="str">
        <f>TRIM(MID(Titanic_Dataset[[#This Row],[Name]],
FIND(",",Titanic_Dataset[[#This Row],[Name]])+2,
FIND(".",Titanic_Dataset[[#This Row],[Name]],FIND(",",Titanic_Dataset[[#This Row],[Name]]))-FIND(",",Titanic_Dataset[[#This Row],[Name]])-1))</f>
        <v>Mr.</v>
      </c>
      <c r="H71" s="1" t="s">
        <v>13</v>
      </c>
      <c r="I71">
        <v>26</v>
      </c>
      <c r="J7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1">
        <v>2</v>
      </c>
      <c r="L71">
        <v>0</v>
      </c>
      <c r="M71">
        <f>Titanic_Dataset[[#This Row],[Parch]]+Titanic_Dataset[[#This Row],[SibSp]]</f>
        <v>2</v>
      </c>
      <c r="N71" s="1" t="s">
        <v>171</v>
      </c>
      <c r="O71">
        <v>8.6624999999999996</v>
      </c>
      <c r="P71" t="e">
        <f>IF(Titanic_Dataset[[#This Row],[Survived]]=1,Titanic_Dataset[[#This Row],[Fare]],NA())</f>
        <v>#N/A</v>
      </c>
      <c r="Q71">
        <f>IF(Titanic_Dataset[[#This Row],[Survived]]=0,Titanic_Dataset[[#This Row],[Fare]],NA())</f>
        <v>8.6624999999999996</v>
      </c>
      <c r="R71" t="str">
        <f>VLOOKUP(Titanic_Dataset[[#This Row],[Fare]],Table2[],2,TRUE)</f>
        <v>medium</v>
      </c>
      <c r="S71" s="1" t="s">
        <v>15</v>
      </c>
      <c r="T71" s="1" t="s">
        <v>16</v>
      </c>
      <c r="U71" s="1"/>
      <c r="V71" s="1"/>
      <c r="W71" s="1"/>
    </row>
    <row r="72" spans="1:23" x14ac:dyDescent="0.25">
      <c r="A72">
        <v>71</v>
      </c>
      <c r="B72">
        <v>0</v>
      </c>
      <c r="C72" t="str">
        <f>IF(Titanic_Dataset[[#This Row],[Survived]]=1,"Survived","Died")</f>
        <v>Died</v>
      </c>
      <c r="D72">
        <v>2</v>
      </c>
      <c r="E72" t="str">
        <f>IF(Titanic_Dataset[[#This Row],[Pclass]]=1,"1st",IF(Titanic_Dataset[[#This Row],[Pclass]]=2,"2nd",IF(Titanic_Dataset[[#This Row],[Pclass]]=3,"3rd")))</f>
        <v>2nd</v>
      </c>
      <c r="F72" s="1" t="s">
        <v>172</v>
      </c>
      <c r="G72" s="1" t="str">
        <f>TRIM(MID(Titanic_Dataset[[#This Row],[Name]],
FIND(",",Titanic_Dataset[[#This Row],[Name]])+2,
FIND(".",Titanic_Dataset[[#This Row],[Name]],FIND(",",Titanic_Dataset[[#This Row],[Name]]))-FIND(",",Titanic_Dataset[[#This Row],[Name]])-1))</f>
        <v>Mr.</v>
      </c>
      <c r="H72" s="1" t="s">
        <v>13</v>
      </c>
      <c r="I72">
        <v>32</v>
      </c>
      <c r="J72" t="str">
        <f>IF(Titanic_Dataset[[#This Row],[Age]]&lt;12,"0-11",
IF(Titanic_Dataset[[#This Row],[Age]]&lt;20,"12-19",
IF(Titanic_Dataset[[#This Row],[Age]]&lt;30,"20-29",
IF(Titanic_Dataset[[#This Row],[Age]]&lt;40,"30-39",
IF(Titanic_Dataset[[#This Row],[Age]]&lt;50,"40-49",
IF(Titanic_Dataset[[#This Row],[Age]]&lt;60,"50-59",
IF(Titanic_Dataset[[#This Row],[Age]]&lt;70,"60-69",)))))))</f>
        <v>30-39</v>
      </c>
      <c r="K72">
        <v>0</v>
      </c>
      <c r="L72">
        <v>0</v>
      </c>
      <c r="M72">
        <f>Titanic_Dataset[[#This Row],[Parch]]+Titanic_Dataset[[#This Row],[SibSp]]</f>
        <v>0</v>
      </c>
      <c r="N72" s="1" t="s">
        <v>173</v>
      </c>
      <c r="O72">
        <v>10.5</v>
      </c>
      <c r="P72" t="e">
        <f>IF(Titanic_Dataset[[#This Row],[Survived]]=1,Titanic_Dataset[[#This Row],[Fare]],NA())</f>
        <v>#N/A</v>
      </c>
      <c r="Q72">
        <f>IF(Titanic_Dataset[[#This Row],[Survived]]=0,Titanic_Dataset[[#This Row],[Fare]],NA())</f>
        <v>10.5</v>
      </c>
      <c r="R72" t="str">
        <f>VLOOKUP(Titanic_Dataset[[#This Row],[Fare]],Table2[],2,TRUE)</f>
        <v>medium</v>
      </c>
      <c r="S72" s="1" t="s">
        <v>15</v>
      </c>
      <c r="T72" s="1" t="s">
        <v>16</v>
      </c>
      <c r="U72" s="1"/>
      <c r="V72" s="1"/>
      <c r="W72" s="1"/>
    </row>
    <row r="73" spans="1:23" x14ac:dyDescent="0.25">
      <c r="A73">
        <v>72</v>
      </c>
      <c r="B73">
        <v>0</v>
      </c>
      <c r="C73" t="str">
        <f>IF(Titanic_Dataset[[#This Row],[Survived]]=1,"Survived","Died")</f>
        <v>Died</v>
      </c>
      <c r="D73">
        <v>3</v>
      </c>
      <c r="E73" t="str">
        <f>IF(Titanic_Dataset[[#This Row],[Pclass]]=1,"1st",IF(Titanic_Dataset[[#This Row],[Pclass]]=2,"2nd",IF(Titanic_Dataset[[#This Row],[Pclass]]=3,"3rd")))</f>
        <v>3rd</v>
      </c>
      <c r="F73" s="1" t="s">
        <v>174</v>
      </c>
      <c r="G73" s="1" t="str">
        <f>TRIM(MID(Titanic_Dataset[[#This Row],[Name]],
FIND(",",Titanic_Dataset[[#This Row],[Name]])+2,
FIND(".",Titanic_Dataset[[#This Row],[Name]],FIND(",",Titanic_Dataset[[#This Row],[Name]]))-FIND(",",Titanic_Dataset[[#This Row],[Name]])-1))</f>
        <v>Miss.</v>
      </c>
      <c r="H73" s="1" t="s">
        <v>18</v>
      </c>
      <c r="I73">
        <v>16</v>
      </c>
      <c r="J73" t="str">
        <f>IF(Titanic_Dataset[[#This Row],[Age]]&lt;12,"0-11",
IF(Titanic_Dataset[[#This Row],[Age]]&lt;20,"12-19",
IF(Titanic_Dataset[[#This Row],[Age]]&lt;30,"20-29",
IF(Titanic_Dataset[[#This Row],[Age]]&lt;40,"30-39",
IF(Titanic_Dataset[[#This Row],[Age]]&lt;50,"40-49",
IF(Titanic_Dataset[[#This Row],[Age]]&lt;60,"50-59",
IF(Titanic_Dataset[[#This Row],[Age]]&lt;70,"60-69",)))))))</f>
        <v>12-19</v>
      </c>
      <c r="K73">
        <v>5</v>
      </c>
      <c r="L73">
        <v>2</v>
      </c>
      <c r="M73">
        <f>Titanic_Dataset[[#This Row],[Parch]]+Titanic_Dataset[[#This Row],[SibSp]]</f>
        <v>7</v>
      </c>
      <c r="N73" s="1" t="s">
        <v>148</v>
      </c>
      <c r="O73">
        <v>46.9</v>
      </c>
      <c r="P73" t="e">
        <f>IF(Titanic_Dataset[[#This Row],[Survived]]=1,Titanic_Dataset[[#This Row],[Fare]],NA())</f>
        <v>#N/A</v>
      </c>
      <c r="Q73">
        <f>IF(Titanic_Dataset[[#This Row],[Survived]]=0,Titanic_Dataset[[#This Row],[Fare]],NA())</f>
        <v>46.9</v>
      </c>
      <c r="R73" t="str">
        <f>VLOOKUP(Titanic_Dataset[[#This Row],[Fare]],Table2[],2,TRUE)</f>
        <v>very hiegh</v>
      </c>
      <c r="S73" s="1" t="s">
        <v>15</v>
      </c>
      <c r="T73" s="1" t="s">
        <v>16</v>
      </c>
      <c r="U73" s="1"/>
      <c r="V73" s="1"/>
      <c r="W73" s="1"/>
    </row>
    <row r="74" spans="1:23" x14ac:dyDescent="0.25">
      <c r="A74">
        <v>73</v>
      </c>
      <c r="B74">
        <v>0</v>
      </c>
      <c r="C74" t="str">
        <f>IF(Titanic_Dataset[[#This Row],[Survived]]=1,"Survived","Died")</f>
        <v>Died</v>
      </c>
      <c r="D74">
        <v>2</v>
      </c>
      <c r="E74" t="str">
        <f>IF(Titanic_Dataset[[#This Row],[Pclass]]=1,"1st",IF(Titanic_Dataset[[#This Row],[Pclass]]=2,"2nd",IF(Titanic_Dataset[[#This Row],[Pclass]]=3,"3rd")))</f>
        <v>2nd</v>
      </c>
      <c r="F74" s="1" t="s">
        <v>175</v>
      </c>
      <c r="G74" s="1" t="str">
        <f>TRIM(MID(Titanic_Dataset[[#This Row],[Name]],
FIND(",",Titanic_Dataset[[#This Row],[Name]])+2,
FIND(".",Titanic_Dataset[[#This Row],[Name]],FIND(",",Titanic_Dataset[[#This Row],[Name]]))-FIND(",",Titanic_Dataset[[#This Row],[Name]])-1))</f>
        <v>Mr.</v>
      </c>
      <c r="H74" s="1" t="s">
        <v>13</v>
      </c>
      <c r="I74">
        <v>21</v>
      </c>
      <c r="J7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4">
        <v>0</v>
      </c>
      <c r="L74">
        <v>0</v>
      </c>
      <c r="M74">
        <f>Titanic_Dataset[[#This Row],[Parch]]+Titanic_Dataset[[#This Row],[SibSp]]</f>
        <v>0</v>
      </c>
      <c r="N74" s="1" t="s">
        <v>176</v>
      </c>
      <c r="O74">
        <v>73.5</v>
      </c>
      <c r="P74" t="e">
        <f>IF(Titanic_Dataset[[#This Row],[Survived]]=1,Titanic_Dataset[[#This Row],[Fare]],NA())</f>
        <v>#N/A</v>
      </c>
      <c r="Q74">
        <f>IF(Titanic_Dataset[[#This Row],[Survived]]=0,Titanic_Dataset[[#This Row],[Fare]],NA())</f>
        <v>73.5</v>
      </c>
      <c r="R74" t="str">
        <f>VLOOKUP(Titanic_Dataset[[#This Row],[Fare]],Table2[],2,TRUE)</f>
        <v>very hiegh</v>
      </c>
      <c r="S74" s="1" t="s">
        <v>15</v>
      </c>
      <c r="T74" s="1" t="s">
        <v>16</v>
      </c>
      <c r="U74" s="1"/>
      <c r="V74" s="1"/>
      <c r="W74" s="1"/>
    </row>
    <row r="75" spans="1:23" x14ac:dyDescent="0.25">
      <c r="A75">
        <v>74</v>
      </c>
      <c r="B75">
        <v>0</v>
      </c>
      <c r="C75" t="str">
        <f>IF(Titanic_Dataset[[#This Row],[Survived]]=1,"Survived","Died")</f>
        <v>Died</v>
      </c>
      <c r="D75">
        <v>3</v>
      </c>
      <c r="E75" t="str">
        <f>IF(Titanic_Dataset[[#This Row],[Pclass]]=1,"1st",IF(Titanic_Dataset[[#This Row],[Pclass]]=2,"2nd",IF(Titanic_Dataset[[#This Row],[Pclass]]=3,"3rd")))</f>
        <v>3rd</v>
      </c>
      <c r="F75" s="1" t="s">
        <v>177</v>
      </c>
      <c r="G75" s="1" t="str">
        <f>TRIM(MID(Titanic_Dataset[[#This Row],[Name]],
FIND(",",Titanic_Dataset[[#This Row],[Name]])+2,
FIND(".",Titanic_Dataset[[#This Row],[Name]],FIND(",",Titanic_Dataset[[#This Row],[Name]]))-FIND(",",Titanic_Dataset[[#This Row],[Name]])-1))</f>
        <v>Mr.</v>
      </c>
      <c r="H75" s="1" t="s">
        <v>13</v>
      </c>
      <c r="I75">
        <v>26</v>
      </c>
      <c r="J7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5">
        <v>1</v>
      </c>
      <c r="L75">
        <v>0</v>
      </c>
      <c r="M75">
        <f>Titanic_Dataset[[#This Row],[Parch]]+Titanic_Dataset[[#This Row],[SibSp]]</f>
        <v>1</v>
      </c>
      <c r="N75" s="1" t="s">
        <v>178</v>
      </c>
      <c r="O75">
        <v>14.4542</v>
      </c>
      <c r="P75" t="e">
        <f>IF(Titanic_Dataset[[#This Row],[Survived]]=1,Titanic_Dataset[[#This Row],[Fare]],NA())</f>
        <v>#N/A</v>
      </c>
      <c r="Q75">
        <f>IF(Titanic_Dataset[[#This Row],[Survived]]=0,Titanic_Dataset[[#This Row],[Fare]],NA())</f>
        <v>14.4542</v>
      </c>
      <c r="R75" t="str">
        <f>VLOOKUP(Titanic_Dataset[[#This Row],[Fare]],Table2[],2,TRUE)</f>
        <v>medium</v>
      </c>
      <c r="S75" s="1" t="s">
        <v>15</v>
      </c>
      <c r="T75" s="1" t="s">
        <v>21</v>
      </c>
      <c r="U75" s="1"/>
      <c r="V75" s="1"/>
      <c r="W75" s="1"/>
    </row>
    <row r="76" spans="1:23" x14ac:dyDescent="0.25">
      <c r="A76">
        <v>75</v>
      </c>
      <c r="B76">
        <v>1</v>
      </c>
      <c r="C76" t="str">
        <f>IF(Titanic_Dataset[[#This Row],[Survived]]=1,"Survived","Died")</f>
        <v>Survived</v>
      </c>
      <c r="D76">
        <v>3</v>
      </c>
      <c r="E76" t="str">
        <f>IF(Titanic_Dataset[[#This Row],[Pclass]]=1,"1st",IF(Titanic_Dataset[[#This Row],[Pclass]]=2,"2nd",IF(Titanic_Dataset[[#This Row],[Pclass]]=3,"3rd")))</f>
        <v>3rd</v>
      </c>
      <c r="F76" s="1" t="s">
        <v>179</v>
      </c>
      <c r="G76" s="1" t="str">
        <f>TRIM(MID(Titanic_Dataset[[#This Row],[Name]],
FIND(",",Titanic_Dataset[[#This Row],[Name]])+2,
FIND(".",Titanic_Dataset[[#This Row],[Name]],FIND(",",Titanic_Dataset[[#This Row],[Name]]))-FIND(",",Titanic_Dataset[[#This Row],[Name]])-1))</f>
        <v>Mr.</v>
      </c>
      <c r="H76" s="1" t="s">
        <v>13</v>
      </c>
      <c r="I76">
        <v>32</v>
      </c>
      <c r="J76" t="str">
        <f>IF(Titanic_Dataset[[#This Row],[Age]]&lt;12,"0-11",
IF(Titanic_Dataset[[#This Row],[Age]]&lt;20,"12-19",
IF(Titanic_Dataset[[#This Row],[Age]]&lt;30,"20-29",
IF(Titanic_Dataset[[#This Row],[Age]]&lt;40,"30-39",
IF(Titanic_Dataset[[#This Row],[Age]]&lt;50,"40-49",
IF(Titanic_Dataset[[#This Row],[Age]]&lt;60,"50-59",
IF(Titanic_Dataset[[#This Row],[Age]]&lt;70,"60-69",)))))))</f>
        <v>30-39</v>
      </c>
      <c r="K76">
        <v>0</v>
      </c>
      <c r="L76">
        <v>0</v>
      </c>
      <c r="M76">
        <f>Titanic_Dataset[[#This Row],[Parch]]+Titanic_Dataset[[#This Row],[SibSp]]</f>
        <v>0</v>
      </c>
      <c r="N76" s="1" t="s">
        <v>180</v>
      </c>
      <c r="O76">
        <v>56.495800000000003</v>
      </c>
      <c r="P76">
        <f>IF(Titanic_Dataset[[#This Row],[Survived]]=1,Titanic_Dataset[[#This Row],[Fare]],NA())</f>
        <v>56.495800000000003</v>
      </c>
      <c r="Q76" t="e">
        <f>IF(Titanic_Dataset[[#This Row],[Survived]]=0,Titanic_Dataset[[#This Row],[Fare]],NA())</f>
        <v>#N/A</v>
      </c>
      <c r="R76" t="str">
        <f>VLOOKUP(Titanic_Dataset[[#This Row],[Fare]],Table2[],2,TRUE)</f>
        <v>very hiegh</v>
      </c>
      <c r="S76" s="1" t="s">
        <v>15</v>
      </c>
      <c r="T76" s="1" t="s">
        <v>16</v>
      </c>
      <c r="U76" s="1"/>
      <c r="V76" s="1"/>
      <c r="W76" s="1"/>
    </row>
    <row r="77" spans="1:23" x14ac:dyDescent="0.25">
      <c r="A77">
        <v>76</v>
      </c>
      <c r="B77">
        <v>0</v>
      </c>
      <c r="C77" t="str">
        <f>IF(Titanic_Dataset[[#This Row],[Survived]]=1,"Survived","Died")</f>
        <v>Died</v>
      </c>
      <c r="D77">
        <v>3</v>
      </c>
      <c r="E77" t="str">
        <f>IF(Titanic_Dataset[[#This Row],[Pclass]]=1,"1st",IF(Titanic_Dataset[[#This Row],[Pclass]]=2,"2nd",IF(Titanic_Dataset[[#This Row],[Pclass]]=3,"3rd")))</f>
        <v>3rd</v>
      </c>
      <c r="F77" s="1" t="s">
        <v>181</v>
      </c>
      <c r="G77" s="1" t="str">
        <f>TRIM(MID(Titanic_Dataset[[#This Row],[Name]],
FIND(",",Titanic_Dataset[[#This Row],[Name]])+2,
FIND(".",Titanic_Dataset[[#This Row],[Name]],FIND(",",Titanic_Dataset[[#This Row],[Name]]))-FIND(",",Titanic_Dataset[[#This Row],[Name]])-1))</f>
        <v>Mr.</v>
      </c>
      <c r="H77" s="1" t="s">
        <v>13</v>
      </c>
      <c r="I77">
        <v>25</v>
      </c>
      <c r="J7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7">
        <v>0</v>
      </c>
      <c r="L77">
        <v>0</v>
      </c>
      <c r="M77">
        <f>Titanic_Dataset[[#This Row],[Parch]]+Titanic_Dataset[[#This Row],[SibSp]]</f>
        <v>0</v>
      </c>
      <c r="N77" s="1" t="s">
        <v>182</v>
      </c>
      <c r="O77">
        <v>7.65</v>
      </c>
      <c r="P77" t="e">
        <f>IF(Titanic_Dataset[[#This Row],[Survived]]=1,Titanic_Dataset[[#This Row],[Fare]],NA())</f>
        <v>#N/A</v>
      </c>
      <c r="Q77">
        <f>IF(Titanic_Dataset[[#This Row],[Survived]]=0,Titanic_Dataset[[#This Row],[Fare]],NA())</f>
        <v>7.65</v>
      </c>
      <c r="R77" t="str">
        <f>VLOOKUP(Titanic_Dataset[[#This Row],[Fare]],Table2[],2,TRUE)</f>
        <v>low</v>
      </c>
      <c r="S77" s="1" t="s">
        <v>183</v>
      </c>
      <c r="T77" s="1" t="s">
        <v>16</v>
      </c>
      <c r="U77" s="1"/>
      <c r="V77" s="1"/>
      <c r="W77" s="1"/>
    </row>
    <row r="78" spans="1:23" x14ac:dyDescent="0.25">
      <c r="A78">
        <v>77</v>
      </c>
      <c r="B78">
        <v>0</v>
      </c>
      <c r="C78" t="str">
        <f>IF(Titanic_Dataset[[#This Row],[Survived]]=1,"Survived","Died")</f>
        <v>Died</v>
      </c>
      <c r="D78">
        <v>3</v>
      </c>
      <c r="E78" t="str">
        <f>IF(Titanic_Dataset[[#This Row],[Pclass]]=1,"1st",IF(Titanic_Dataset[[#This Row],[Pclass]]=2,"2nd",IF(Titanic_Dataset[[#This Row],[Pclass]]=3,"3rd")))</f>
        <v>3rd</v>
      </c>
      <c r="F78" s="1" t="s">
        <v>184</v>
      </c>
      <c r="G78" s="1" t="str">
        <f>TRIM(MID(Titanic_Dataset[[#This Row],[Name]],
FIND(",",Titanic_Dataset[[#This Row],[Name]])+2,
FIND(".",Titanic_Dataset[[#This Row],[Name]],FIND(",",Titanic_Dataset[[#This Row],[Name]]))-FIND(",",Titanic_Dataset[[#This Row],[Name]])-1))</f>
        <v>Mr.</v>
      </c>
      <c r="H78" s="1" t="s">
        <v>13</v>
      </c>
      <c r="I78">
        <v>28</v>
      </c>
      <c r="J7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8">
        <v>0</v>
      </c>
      <c r="L78">
        <v>0</v>
      </c>
      <c r="M78">
        <f>Titanic_Dataset[[#This Row],[Parch]]+Titanic_Dataset[[#This Row],[SibSp]]</f>
        <v>0</v>
      </c>
      <c r="N78" s="1" t="s">
        <v>185</v>
      </c>
      <c r="O78">
        <v>7.8958000000000004</v>
      </c>
      <c r="P78" t="e">
        <f>IF(Titanic_Dataset[[#This Row],[Survived]]=1,Titanic_Dataset[[#This Row],[Fare]],NA())</f>
        <v>#N/A</v>
      </c>
      <c r="Q78">
        <f>IF(Titanic_Dataset[[#This Row],[Survived]]=0,Titanic_Dataset[[#This Row],[Fare]],NA())</f>
        <v>7.8958000000000004</v>
      </c>
      <c r="R78" t="str">
        <f>VLOOKUP(Titanic_Dataset[[#This Row],[Fare]],Table2[],2,TRUE)</f>
        <v>low</v>
      </c>
      <c r="S78" s="1" t="s">
        <v>15</v>
      </c>
      <c r="T78" s="1" t="s">
        <v>16</v>
      </c>
      <c r="U78" s="1"/>
      <c r="V78" s="1"/>
      <c r="W78" s="1"/>
    </row>
    <row r="79" spans="1:23" x14ac:dyDescent="0.25">
      <c r="A79">
        <v>78</v>
      </c>
      <c r="B79">
        <v>0</v>
      </c>
      <c r="C79" t="str">
        <f>IF(Titanic_Dataset[[#This Row],[Survived]]=1,"Survived","Died")</f>
        <v>Died</v>
      </c>
      <c r="D79">
        <v>3</v>
      </c>
      <c r="E79" t="str">
        <f>IF(Titanic_Dataset[[#This Row],[Pclass]]=1,"1st",IF(Titanic_Dataset[[#This Row],[Pclass]]=2,"2nd",IF(Titanic_Dataset[[#This Row],[Pclass]]=3,"3rd")))</f>
        <v>3rd</v>
      </c>
      <c r="F79" s="1" t="s">
        <v>186</v>
      </c>
      <c r="G79" s="1" t="str">
        <f>TRIM(MID(Titanic_Dataset[[#This Row],[Name]],
FIND(",",Titanic_Dataset[[#This Row],[Name]])+2,
FIND(".",Titanic_Dataset[[#This Row],[Name]],FIND(",",Titanic_Dataset[[#This Row],[Name]]))-FIND(",",Titanic_Dataset[[#This Row],[Name]])-1))</f>
        <v>Mr.</v>
      </c>
      <c r="H79" s="1" t="s">
        <v>13</v>
      </c>
      <c r="I79">
        <v>28</v>
      </c>
      <c r="J7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9">
        <v>0</v>
      </c>
      <c r="L79">
        <v>0</v>
      </c>
      <c r="M79">
        <f>Titanic_Dataset[[#This Row],[Parch]]+Titanic_Dataset[[#This Row],[SibSp]]</f>
        <v>0</v>
      </c>
      <c r="N79" s="1" t="s">
        <v>187</v>
      </c>
      <c r="O79">
        <v>8.0500000000000007</v>
      </c>
      <c r="P79" t="e">
        <f>IF(Titanic_Dataset[[#This Row],[Survived]]=1,Titanic_Dataset[[#This Row],[Fare]],NA())</f>
        <v>#N/A</v>
      </c>
      <c r="Q79">
        <f>IF(Titanic_Dataset[[#This Row],[Survived]]=0,Titanic_Dataset[[#This Row],[Fare]],NA())</f>
        <v>8.0500000000000007</v>
      </c>
      <c r="R79" t="str">
        <f>VLOOKUP(Titanic_Dataset[[#This Row],[Fare]],Table2[],2,TRUE)</f>
        <v>medium</v>
      </c>
      <c r="S79" s="1" t="s">
        <v>15</v>
      </c>
      <c r="T79" s="1" t="s">
        <v>16</v>
      </c>
      <c r="U79" s="1"/>
      <c r="V79" s="1"/>
      <c r="W79" s="1"/>
    </row>
    <row r="80" spans="1:23" x14ac:dyDescent="0.25">
      <c r="A80">
        <v>79</v>
      </c>
      <c r="B80">
        <v>1</v>
      </c>
      <c r="C80" t="str">
        <f>IF(Titanic_Dataset[[#This Row],[Survived]]=1,"Survived","Died")</f>
        <v>Survived</v>
      </c>
      <c r="D80">
        <v>2</v>
      </c>
      <c r="E80" t="str">
        <f>IF(Titanic_Dataset[[#This Row],[Pclass]]=1,"1st",IF(Titanic_Dataset[[#This Row],[Pclass]]=2,"2nd",IF(Titanic_Dataset[[#This Row],[Pclass]]=3,"3rd")))</f>
        <v>2nd</v>
      </c>
      <c r="F80" s="1" t="s">
        <v>188</v>
      </c>
      <c r="G80" s="1" t="str">
        <f>TRIM(MID(Titanic_Dataset[[#This Row],[Name]],
FIND(",",Titanic_Dataset[[#This Row],[Name]])+2,
FIND(".",Titanic_Dataset[[#This Row],[Name]],FIND(",",Titanic_Dataset[[#This Row],[Name]]))-FIND(",",Titanic_Dataset[[#This Row],[Name]])-1))</f>
        <v>Master.</v>
      </c>
      <c r="H80" s="1" t="s">
        <v>13</v>
      </c>
      <c r="I80">
        <v>0.83</v>
      </c>
      <c r="J80" t="str">
        <f>IF(Titanic_Dataset[[#This Row],[Age]]&lt;12,"0-11",
IF(Titanic_Dataset[[#This Row],[Age]]&lt;20,"12-19",
IF(Titanic_Dataset[[#This Row],[Age]]&lt;30,"20-29",
IF(Titanic_Dataset[[#This Row],[Age]]&lt;40,"30-39",
IF(Titanic_Dataset[[#This Row],[Age]]&lt;50,"40-49",
IF(Titanic_Dataset[[#This Row],[Age]]&lt;60,"50-59",
IF(Titanic_Dataset[[#This Row],[Age]]&lt;70,"60-69",)))))))</f>
        <v>0-11</v>
      </c>
      <c r="K80">
        <v>0</v>
      </c>
      <c r="L80">
        <v>2</v>
      </c>
      <c r="M80">
        <f>Titanic_Dataset[[#This Row],[Parch]]+Titanic_Dataset[[#This Row],[SibSp]]</f>
        <v>2</v>
      </c>
      <c r="N80" s="1" t="s">
        <v>189</v>
      </c>
      <c r="O80">
        <v>29</v>
      </c>
      <c r="P80">
        <f>IF(Titanic_Dataset[[#This Row],[Survived]]=1,Titanic_Dataset[[#This Row],[Fare]],NA())</f>
        <v>29</v>
      </c>
      <c r="Q80" t="e">
        <f>IF(Titanic_Dataset[[#This Row],[Survived]]=0,Titanic_Dataset[[#This Row],[Fare]],NA())</f>
        <v>#N/A</v>
      </c>
      <c r="R80" t="str">
        <f>VLOOKUP(Titanic_Dataset[[#This Row],[Fare]],Table2[],2,TRUE)</f>
        <v>high</v>
      </c>
      <c r="S80" s="1" t="s">
        <v>15</v>
      </c>
      <c r="T80" s="1" t="s">
        <v>16</v>
      </c>
      <c r="U80" s="1"/>
      <c r="V80" s="1"/>
      <c r="W80" s="1"/>
    </row>
    <row r="81" spans="1:23" x14ac:dyDescent="0.25">
      <c r="A81">
        <v>80</v>
      </c>
      <c r="B81">
        <v>1</v>
      </c>
      <c r="C81" t="str">
        <f>IF(Titanic_Dataset[[#This Row],[Survived]]=1,"Survived","Died")</f>
        <v>Survived</v>
      </c>
      <c r="D81">
        <v>3</v>
      </c>
      <c r="E81" t="str">
        <f>IF(Titanic_Dataset[[#This Row],[Pclass]]=1,"1st",IF(Titanic_Dataset[[#This Row],[Pclass]]=2,"2nd",IF(Titanic_Dataset[[#This Row],[Pclass]]=3,"3rd")))</f>
        <v>3rd</v>
      </c>
      <c r="F81" s="1" t="s">
        <v>190</v>
      </c>
      <c r="G81" s="1" t="str">
        <f>TRIM(MID(Titanic_Dataset[[#This Row],[Name]],
FIND(",",Titanic_Dataset[[#This Row],[Name]])+2,
FIND(".",Titanic_Dataset[[#This Row],[Name]],FIND(",",Titanic_Dataset[[#This Row],[Name]]))-FIND(",",Titanic_Dataset[[#This Row],[Name]])-1))</f>
        <v>Miss.</v>
      </c>
      <c r="H81" s="1" t="s">
        <v>18</v>
      </c>
      <c r="I81">
        <v>30</v>
      </c>
      <c r="J81" t="str">
        <f>IF(Titanic_Dataset[[#This Row],[Age]]&lt;12,"0-11",
IF(Titanic_Dataset[[#This Row],[Age]]&lt;20,"12-19",
IF(Titanic_Dataset[[#This Row],[Age]]&lt;30,"20-29",
IF(Titanic_Dataset[[#This Row],[Age]]&lt;40,"30-39",
IF(Titanic_Dataset[[#This Row],[Age]]&lt;50,"40-49",
IF(Titanic_Dataset[[#This Row],[Age]]&lt;60,"50-59",
IF(Titanic_Dataset[[#This Row],[Age]]&lt;70,"60-69",)))))))</f>
        <v>30-39</v>
      </c>
      <c r="K81">
        <v>0</v>
      </c>
      <c r="L81">
        <v>0</v>
      </c>
      <c r="M81">
        <f>Titanic_Dataset[[#This Row],[Parch]]+Titanic_Dataset[[#This Row],[SibSp]]</f>
        <v>0</v>
      </c>
      <c r="N81" s="1" t="s">
        <v>191</v>
      </c>
      <c r="O81">
        <v>12.475</v>
      </c>
      <c r="P81">
        <f>IF(Titanic_Dataset[[#This Row],[Survived]]=1,Titanic_Dataset[[#This Row],[Fare]],NA())</f>
        <v>12.475</v>
      </c>
      <c r="Q81" t="e">
        <f>IF(Titanic_Dataset[[#This Row],[Survived]]=0,Titanic_Dataset[[#This Row],[Fare]],NA())</f>
        <v>#N/A</v>
      </c>
      <c r="R81" t="str">
        <f>VLOOKUP(Titanic_Dataset[[#This Row],[Fare]],Table2[],2,TRUE)</f>
        <v>medium</v>
      </c>
      <c r="S81" s="1" t="s">
        <v>15</v>
      </c>
      <c r="T81" s="1" t="s">
        <v>16</v>
      </c>
      <c r="U81" s="1"/>
      <c r="V81" s="1"/>
      <c r="W81" s="1"/>
    </row>
    <row r="82" spans="1:23" x14ac:dyDescent="0.25">
      <c r="A82">
        <v>81</v>
      </c>
      <c r="B82">
        <v>0</v>
      </c>
      <c r="C82" t="str">
        <f>IF(Titanic_Dataset[[#This Row],[Survived]]=1,"Survived","Died")</f>
        <v>Died</v>
      </c>
      <c r="D82">
        <v>3</v>
      </c>
      <c r="E82" t="str">
        <f>IF(Titanic_Dataset[[#This Row],[Pclass]]=1,"1st",IF(Titanic_Dataset[[#This Row],[Pclass]]=2,"2nd",IF(Titanic_Dataset[[#This Row],[Pclass]]=3,"3rd")))</f>
        <v>3rd</v>
      </c>
      <c r="F82" s="1" t="s">
        <v>192</v>
      </c>
      <c r="G82" s="1" t="str">
        <f>TRIM(MID(Titanic_Dataset[[#This Row],[Name]],
FIND(",",Titanic_Dataset[[#This Row],[Name]])+2,
FIND(".",Titanic_Dataset[[#This Row],[Name]],FIND(",",Titanic_Dataset[[#This Row],[Name]]))-FIND(",",Titanic_Dataset[[#This Row],[Name]])-1))</f>
        <v>Mr.</v>
      </c>
      <c r="H82" s="1" t="s">
        <v>13</v>
      </c>
      <c r="I82">
        <v>22</v>
      </c>
      <c r="J8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2">
        <v>0</v>
      </c>
      <c r="L82">
        <v>0</v>
      </c>
      <c r="M82">
        <f>Titanic_Dataset[[#This Row],[Parch]]+Titanic_Dataset[[#This Row],[SibSp]]</f>
        <v>0</v>
      </c>
      <c r="N82" s="1" t="s">
        <v>193</v>
      </c>
      <c r="O82">
        <v>9</v>
      </c>
      <c r="P82" t="e">
        <f>IF(Titanic_Dataset[[#This Row],[Survived]]=1,Titanic_Dataset[[#This Row],[Fare]],NA())</f>
        <v>#N/A</v>
      </c>
      <c r="Q82">
        <f>IF(Titanic_Dataset[[#This Row],[Survived]]=0,Titanic_Dataset[[#This Row],[Fare]],NA())</f>
        <v>9</v>
      </c>
      <c r="R82" t="str">
        <f>VLOOKUP(Titanic_Dataset[[#This Row],[Fare]],Table2[],2,TRUE)</f>
        <v>medium</v>
      </c>
      <c r="S82" s="1" t="s">
        <v>15</v>
      </c>
      <c r="T82" s="1" t="s">
        <v>16</v>
      </c>
      <c r="U82" s="1"/>
      <c r="V82" s="1"/>
      <c r="W82" s="1"/>
    </row>
    <row r="83" spans="1:23" x14ac:dyDescent="0.25">
      <c r="A83">
        <v>82</v>
      </c>
      <c r="B83">
        <v>1</v>
      </c>
      <c r="C83" t="str">
        <f>IF(Titanic_Dataset[[#This Row],[Survived]]=1,"Survived","Died")</f>
        <v>Survived</v>
      </c>
      <c r="D83">
        <v>3</v>
      </c>
      <c r="E83" t="str">
        <f>IF(Titanic_Dataset[[#This Row],[Pclass]]=1,"1st",IF(Titanic_Dataset[[#This Row],[Pclass]]=2,"2nd",IF(Titanic_Dataset[[#This Row],[Pclass]]=3,"3rd")))</f>
        <v>3rd</v>
      </c>
      <c r="F83" s="1" t="s">
        <v>194</v>
      </c>
      <c r="G83" s="1" t="str">
        <f>TRIM(MID(Titanic_Dataset[[#This Row],[Name]],
FIND(",",Titanic_Dataset[[#This Row],[Name]])+2,
FIND(".",Titanic_Dataset[[#This Row],[Name]],FIND(",",Titanic_Dataset[[#This Row],[Name]]))-FIND(",",Titanic_Dataset[[#This Row],[Name]])-1))</f>
        <v>Mr.</v>
      </c>
      <c r="H83" s="1" t="s">
        <v>13</v>
      </c>
      <c r="I83">
        <v>29</v>
      </c>
      <c r="J8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3">
        <v>0</v>
      </c>
      <c r="L83">
        <v>0</v>
      </c>
      <c r="M83">
        <f>Titanic_Dataset[[#This Row],[Parch]]+Titanic_Dataset[[#This Row],[SibSp]]</f>
        <v>0</v>
      </c>
      <c r="N83" s="1" t="s">
        <v>195</v>
      </c>
      <c r="O83">
        <v>9.5</v>
      </c>
      <c r="P83">
        <f>IF(Titanic_Dataset[[#This Row],[Survived]]=1,Titanic_Dataset[[#This Row],[Fare]],NA())</f>
        <v>9.5</v>
      </c>
      <c r="Q83" t="e">
        <f>IF(Titanic_Dataset[[#This Row],[Survived]]=0,Titanic_Dataset[[#This Row],[Fare]],NA())</f>
        <v>#N/A</v>
      </c>
      <c r="R83" t="str">
        <f>VLOOKUP(Titanic_Dataset[[#This Row],[Fare]],Table2[],2,TRUE)</f>
        <v>medium</v>
      </c>
      <c r="S83" s="1" t="s">
        <v>15</v>
      </c>
      <c r="T83" s="1" t="s">
        <v>16</v>
      </c>
      <c r="U83" s="1"/>
      <c r="V83" s="1"/>
      <c r="W83" s="1"/>
    </row>
    <row r="84" spans="1:23" x14ac:dyDescent="0.25">
      <c r="A84">
        <v>83</v>
      </c>
      <c r="B84">
        <v>1</v>
      </c>
      <c r="C84" t="str">
        <f>IF(Titanic_Dataset[[#This Row],[Survived]]=1,"Survived","Died")</f>
        <v>Survived</v>
      </c>
      <c r="D84">
        <v>3</v>
      </c>
      <c r="E84" t="str">
        <f>IF(Titanic_Dataset[[#This Row],[Pclass]]=1,"1st",IF(Titanic_Dataset[[#This Row],[Pclass]]=2,"2nd",IF(Titanic_Dataset[[#This Row],[Pclass]]=3,"3rd")))</f>
        <v>3rd</v>
      </c>
      <c r="F84" s="1" t="s">
        <v>196</v>
      </c>
      <c r="G84" s="1" t="str">
        <f>TRIM(MID(Titanic_Dataset[[#This Row],[Name]],
FIND(",",Titanic_Dataset[[#This Row],[Name]])+2,
FIND(".",Titanic_Dataset[[#This Row],[Name]],FIND(",",Titanic_Dataset[[#This Row],[Name]]))-FIND(",",Titanic_Dataset[[#This Row],[Name]])-1))</f>
        <v>Miss.</v>
      </c>
      <c r="H84" s="1" t="s">
        <v>18</v>
      </c>
      <c r="I84">
        <v>28</v>
      </c>
      <c r="J8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4">
        <v>0</v>
      </c>
      <c r="L84">
        <v>0</v>
      </c>
      <c r="M84">
        <f>Titanic_Dataset[[#This Row],[Parch]]+Titanic_Dataset[[#This Row],[SibSp]]</f>
        <v>0</v>
      </c>
      <c r="N84" s="1" t="s">
        <v>197</v>
      </c>
      <c r="O84">
        <v>7.7874999999999996</v>
      </c>
      <c r="P84">
        <f>IF(Titanic_Dataset[[#This Row],[Survived]]=1,Titanic_Dataset[[#This Row],[Fare]],NA())</f>
        <v>7.7874999999999996</v>
      </c>
      <c r="Q84" t="e">
        <f>IF(Titanic_Dataset[[#This Row],[Survived]]=0,Titanic_Dataset[[#This Row],[Fare]],NA())</f>
        <v>#N/A</v>
      </c>
      <c r="R84" t="str">
        <f>VLOOKUP(Titanic_Dataset[[#This Row],[Fare]],Table2[],2,TRUE)</f>
        <v>low</v>
      </c>
      <c r="S84" s="1" t="s">
        <v>15</v>
      </c>
      <c r="T84" s="1" t="s">
        <v>31</v>
      </c>
      <c r="U84" s="1"/>
      <c r="V84" s="1"/>
      <c r="W84" s="1"/>
    </row>
    <row r="85" spans="1:23" x14ac:dyDescent="0.25">
      <c r="A85">
        <v>84</v>
      </c>
      <c r="B85">
        <v>0</v>
      </c>
      <c r="C85" t="str">
        <f>IF(Titanic_Dataset[[#This Row],[Survived]]=1,"Survived","Died")</f>
        <v>Died</v>
      </c>
      <c r="D85">
        <v>1</v>
      </c>
      <c r="E85" t="str">
        <f>IF(Titanic_Dataset[[#This Row],[Pclass]]=1,"1st",IF(Titanic_Dataset[[#This Row],[Pclass]]=2,"2nd",IF(Titanic_Dataset[[#This Row],[Pclass]]=3,"3rd")))</f>
        <v>1st</v>
      </c>
      <c r="F85" s="1" t="s">
        <v>198</v>
      </c>
      <c r="G85" s="1" t="str">
        <f>TRIM(MID(Titanic_Dataset[[#This Row],[Name]],
FIND(",",Titanic_Dataset[[#This Row],[Name]])+2,
FIND(".",Titanic_Dataset[[#This Row],[Name]],FIND(",",Titanic_Dataset[[#This Row],[Name]]))-FIND(",",Titanic_Dataset[[#This Row],[Name]])-1))</f>
        <v>Mr.</v>
      </c>
      <c r="H85" s="1" t="s">
        <v>13</v>
      </c>
      <c r="I85">
        <v>28</v>
      </c>
      <c r="J8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5">
        <v>0</v>
      </c>
      <c r="L85">
        <v>0</v>
      </c>
      <c r="M85">
        <f>Titanic_Dataset[[#This Row],[Parch]]+Titanic_Dataset[[#This Row],[SibSp]]</f>
        <v>0</v>
      </c>
      <c r="N85" s="1" t="s">
        <v>199</v>
      </c>
      <c r="O85">
        <v>47.1</v>
      </c>
      <c r="P85" t="e">
        <f>IF(Titanic_Dataset[[#This Row],[Survived]]=1,Titanic_Dataset[[#This Row],[Fare]],NA())</f>
        <v>#N/A</v>
      </c>
      <c r="Q85">
        <f>IF(Titanic_Dataset[[#This Row],[Survived]]=0,Titanic_Dataset[[#This Row],[Fare]],NA())</f>
        <v>47.1</v>
      </c>
      <c r="R85" t="str">
        <f>VLOOKUP(Titanic_Dataset[[#This Row],[Fare]],Table2[],2,TRUE)</f>
        <v>very hiegh</v>
      </c>
      <c r="S85" s="1" t="s">
        <v>15</v>
      </c>
      <c r="T85" s="1" t="s">
        <v>16</v>
      </c>
      <c r="U85" s="1"/>
      <c r="V85" s="1"/>
      <c r="W85" s="1"/>
    </row>
    <row r="86" spans="1:23" x14ac:dyDescent="0.25">
      <c r="A86">
        <v>85</v>
      </c>
      <c r="B86">
        <v>1</v>
      </c>
      <c r="C86" t="str">
        <f>IF(Titanic_Dataset[[#This Row],[Survived]]=1,"Survived","Died")</f>
        <v>Survived</v>
      </c>
      <c r="D86">
        <v>2</v>
      </c>
      <c r="E86" t="str">
        <f>IF(Titanic_Dataset[[#This Row],[Pclass]]=1,"1st",IF(Titanic_Dataset[[#This Row],[Pclass]]=2,"2nd",IF(Titanic_Dataset[[#This Row],[Pclass]]=3,"3rd")))</f>
        <v>2nd</v>
      </c>
      <c r="F86" s="1" t="s">
        <v>200</v>
      </c>
      <c r="G86" s="1" t="str">
        <f>TRIM(MID(Titanic_Dataset[[#This Row],[Name]],
FIND(",",Titanic_Dataset[[#This Row],[Name]])+2,
FIND(".",Titanic_Dataset[[#This Row],[Name]],FIND(",",Titanic_Dataset[[#This Row],[Name]]))-FIND(",",Titanic_Dataset[[#This Row],[Name]])-1))</f>
        <v>Miss.</v>
      </c>
      <c r="H86" s="1" t="s">
        <v>18</v>
      </c>
      <c r="I86">
        <v>17</v>
      </c>
      <c r="J86" t="str">
        <f>IF(Titanic_Dataset[[#This Row],[Age]]&lt;12,"0-11",
IF(Titanic_Dataset[[#This Row],[Age]]&lt;20,"12-19",
IF(Titanic_Dataset[[#This Row],[Age]]&lt;30,"20-29",
IF(Titanic_Dataset[[#This Row],[Age]]&lt;40,"30-39",
IF(Titanic_Dataset[[#This Row],[Age]]&lt;50,"40-49",
IF(Titanic_Dataset[[#This Row],[Age]]&lt;60,"50-59",
IF(Titanic_Dataset[[#This Row],[Age]]&lt;70,"60-69",)))))))</f>
        <v>12-19</v>
      </c>
      <c r="K86">
        <v>0</v>
      </c>
      <c r="L86">
        <v>0</v>
      </c>
      <c r="M86">
        <f>Titanic_Dataset[[#This Row],[Parch]]+Titanic_Dataset[[#This Row],[SibSp]]</f>
        <v>0</v>
      </c>
      <c r="N86" s="1" t="s">
        <v>201</v>
      </c>
      <c r="O86">
        <v>10.5</v>
      </c>
      <c r="P86">
        <f>IF(Titanic_Dataset[[#This Row],[Survived]]=1,Titanic_Dataset[[#This Row],[Fare]],NA())</f>
        <v>10.5</v>
      </c>
      <c r="Q86" t="e">
        <f>IF(Titanic_Dataset[[#This Row],[Survived]]=0,Titanic_Dataset[[#This Row],[Fare]],NA())</f>
        <v>#N/A</v>
      </c>
      <c r="R86" t="str">
        <f>VLOOKUP(Titanic_Dataset[[#This Row],[Fare]],Table2[],2,TRUE)</f>
        <v>medium</v>
      </c>
      <c r="S86" s="1" t="s">
        <v>15</v>
      </c>
      <c r="T86" s="1" t="s">
        <v>16</v>
      </c>
      <c r="U86" s="1"/>
      <c r="V86" s="1"/>
      <c r="W86" s="1"/>
    </row>
    <row r="87" spans="1:23" x14ac:dyDescent="0.25">
      <c r="A87">
        <v>86</v>
      </c>
      <c r="B87">
        <v>1</v>
      </c>
      <c r="C87" t="str">
        <f>IF(Titanic_Dataset[[#This Row],[Survived]]=1,"Survived","Died")</f>
        <v>Survived</v>
      </c>
      <c r="D87">
        <v>3</v>
      </c>
      <c r="E87" t="str">
        <f>IF(Titanic_Dataset[[#This Row],[Pclass]]=1,"1st",IF(Titanic_Dataset[[#This Row],[Pclass]]=2,"2nd",IF(Titanic_Dataset[[#This Row],[Pclass]]=3,"3rd")))</f>
        <v>3rd</v>
      </c>
      <c r="F87" s="1" t="s">
        <v>202</v>
      </c>
      <c r="G87" s="1" t="str">
        <f>TRIM(MID(Titanic_Dataset[[#This Row],[Name]],
FIND(",",Titanic_Dataset[[#This Row],[Name]])+2,
FIND(".",Titanic_Dataset[[#This Row],[Name]],FIND(",",Titanic_Dataset[[#This Row],[Name]]))-FIND(",",Titanic_Dataset[[#This Row],[Name]])-1))</f>
        <v>Mrs.</v>
      </c>
      <c r="H87" s="1" t="s">
        <v>18</v>
      </c>
      <c r="I87">
        <v>33</v>
      </c>
      <c r="J87" t="str">
        <f>IF(Titanic_Dataset[[#This Row],[Age]]&lt;12,"0-11",
IF(Titanic_Dataset[[#This Row],[Age]]&lt;20,"12-19",
IF(Titanic_Dataset[[#This Row],[Age]]&lt;30,"20-29",
IF(Titanic_Dataset[[#This Row],[Age]]&lt;40,"30-39",
IF(Titanic_Dataset[[#This Row],[Age]]&lt;50,"40-49",
IF(Titanic_Dataset[[#This Row],[Age]]&lt;60,"50-59",
IF(Titanic_Dataset[[#This Row],[Age]]&lt;70,"60-69",)))))))</f>
        <v>30-39</v>
      </c>
      <c r="K87">
        <v>3</v>
      </c>
      <c r="L87">
        <v>0</v>
      </c>
      <c r="M87">
        <f>Titanic_Dataset[[#This Row],[Parch]]+Titanic_Dataset[[#This Row],[SibSp]]</f>
        <v>3</v>
      </c>
      <c r="N87" s="1" t="s">
        <v>203</v>
      </c>
      <c r="O87">
        <v>15.85</v>
      </c>
      <c r="P87">
        <f>IF(Titanic_Dataset[[#This Row],[Survived]]=1,Titanic_Dataset[[#This Row],[Fare]],NA())</f>
        <v>15.85</v>
      </c>
      <c r="Q87" t="e">
        <f>IF(Titanic_Dataset[[#This Row],[Survived]]=0,Titanic_Dataset[[#This Row],[Fare]],NA())</f>
        <v>#N/A</v>
      </c>
      <c r="R87" t="str">
        <f>VLOOKUP(Titanic_Dataset[[#This Row],[Fare]],Table2[],2,TRUE)</f>
        <v>high</v>
      </c>
      <c r="S87" s="1" t="s">
        <v>15</v>
      </c>
      <c r="T87" s="1" t="s">
        <v>16</v>
      </c>
      <c r="U87" s="1"/>
      <c r="V87" s="1"/>
      <c r="W87" s="1"/>
    </row>
    <row r="88" spans="1:23" x14ac:dyDescent="0.25">
      <c r="A88">
        <v>87</v>
      </c>
      <c r="B88">
        <v>0</v>
      </c>
      <c r="C88" t="str">
        <f>IF(Titanic_Dataset[[#This Row],[Survived]]=1,"Survived","Died")</f>
        <v>Died</v>
      </c>
      <c r="D88">
        <v>3</v>
      </c>
      <c r="E88" t="str">
        <f>IF(Titanic_Dataset[[#This Row],[Pclass]]=1,"1st",IF(Titanic_Dataset[[#This Row],[Pclass]]=2,"2nd",IF(Titanic_Dataset[[#This Row],[Pclass]]=3,"3rd")))</f>
        <v>3rd</v>
      </c>
      <c r="F88" s="1" t="s">
        <v>204</v>
      </c>
      <c r="G88" s="1" t="str">
        <f>TRIM(MID(Titanic_Dataset[[#This Row],[Name]],
FIND(",",Titanic_Dataset[[#This Row],[Name]])+2,
FIND(".",Titanic_Dataset[[#This Row],[Name]],FIND(",",Titanic_Dataset[[#This Row],[Name]]))-FIND(",",Titanic_Dataset[[#This Row],[Name]])-1))</f>
        <v>Mr.</v>
      </c>
      <c r="H88" s="1" t="s">
        <v>13</v>
      </c>
      <c r="I88">
        <v>16</v>
      </c>
      <c r="J88" t="str">
        <f>IF(Titanic_Dataset[[#This Row],[Age]]&lt;12,"0-11",
IF(Titanic_Dataset[[#This Row],[Age]]&lt;20,"12-19",
IF(Titanic_Dataset[[#This Row],[Age]]&lt;30,"20-29",
IF(Titanic_Dataset[[#This Row],[Age]]&lt;40,"30-39",
IF(Titanic_Dataset[[#This Row],[Age]]&lt;50,"40-49",
IF(Titanic_Dataset[[#This Row],[Age]]&lt;60,"50-59",
IF(Titanic_Dataset[[#This Row],[Age]]&lt;70,"60-69",)))))))</f>
        <v>12-19</v>
      </c>
      <c r="K88">
        <v>1</v>
      </c>
      <c r="L88">
        <v>3</v>
      </c>
      <c r="M88">
        <f>Titanic_Dataset[[#This Row],[Parch]]+Titanic_Dataset[[#This Row],[SibSp]]</f>
        <v>4</v>
      </c>
      <c r="N88" s="1" t="s">
        <v>205</v>
      </c>
      <c r="O88">
        <v>34.375</v>
      </c>
      <c r="P88" t="e">
        <f>IF(Titanic_Dataset[[#This Row],[Survived]]=1,Titanic_Dataset[[#This Row],[Fare]],NA())</f>
        <v>#N/A</v>
      </c>
      <c r="Q88">
        <f>IF(Titanic_Dataset[[#This Row],[Survived]]=0,Titanic_Dataset[[#This Row],[Fare]],NA())</f>
        <v>34.375</v>
      </c>
      <c r="R88" t="str">
        <f>VLOOKUP(Titanic_Dataset[[#This Row],[Fare]],Table2[],2,TRUE)</f>
        <v>very hiegh</v>
      </c>
      <c r="S88" s="1" t="s">
        <v>15</v>
      </c>
      <c r="T88" s="1" t="s">
        <v>16</v>
      </c>
      <c r="U88" s="1"/>
      <c r="V88" s="1"/>
      <c r="W88" s="1"/>
    </row>
    <row r="89" spans="1:23" x14ac:dyDescent="0.25">
      <c r="A89">
        <v>88</v>
      </c>
      <c r="B89">
        <v>0</v>
      </c>
      <c r="C89" t="str">
        <f>IF(Titanic_Dataset[[#This Row],[Survived]]=1,"Survived","Died")</f>
        <v>Died</v>
      </c>
      <c r="D89">
        <v>3</v>
      </c>
      <c r="E89" t="str">
        <f>IF(Titanic_Dataset[[#This Row],[Pclass]]=1,"1st",IF(Titanic_Dataset[[#This Row],[Pclass]]=2,"2nd",IF(Titanic_Dataset[[#This Row],[Pclass]]=3,"3rd")))</f>
        <v>3rd</v>
      </c>
      <c r="F89" s="1" t="s">
        <v>206</v>
      </c>
      <c r="G89" s="1" t="str">
        <f>TRIM(MID(Titanic_Dataset[[#This Row],[Name]],
FIND(",",Titanic_Dataset[[#This Row],[Name]])+2,
FIND(".",Titanic_Dataset[[#This Row],[Name]],FIND(",",Titanic_Dataset[[#This Row],[Name]]))-FIND(",",Titanic_Dataset[[#This Row],[Name]])-1))</f>
        <v>Mr.</v>
      </c>
      <c r="H89" s="1" t="s">
        <v>13</v>
      </c>
      <c r="I89">
        <v>28</v>
      </c>
      <c r="J8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9">
        <v>0</v>
      </c>
      <c r="L89">
        <v>0</v>
      </c>
      <c r="M89">
        <f>Titanic_Dataset[[#This Row],[Parch]]+Titanic_Dataset[[#This Row],[SibSp]]</f>
        <v>0</v>
      </c>
      <c r="N89" s="1" t="s">
        <v>207</v>
      </c>
      <c r="O89">
        <v>8.0500000000000007</v>
      </c>
      <c r="P89" t="e">
        <f>IF(Titanic_Dataset[[#This Row],[Survived]]=1,Titanic_Dataset[[#This Row],[Fare]],NA())</f>
        <v>#N/A</v>
      </c>
      <c r="Q89">
        <f>IF(Titanic_Dataset[[#This Row],[Survived]]=0,Titanic_Dataset[[#This Row],[Fare]],NA())</f>
        <v>8.0500000000000007</v>
      </c>
      <c r="R89" t="str">
        <f>VLOOKUP(Titanic_Dataset[[#This Row],[Fare]],Table2[],2,TRUE)</f>
        <v>medium</v>
      </c>
      <c r="S89" s="1" t="s">
        <v>15</v>
      </c>
      <c r="T89" s="1" t="s">
        <v>16</v>
      </c>
      <c r="U89" s="1"/>
      <c r="V89" s="1"/>
      <c r="W89" s="1"/>
    </row>
    <row r="90" spans="1:23" x14ac:dyDescent="0.25">
      <c r="A90">
        <v>89</v>
      </c>
      <c r="B90">
        <v>1</v>
      </c>
      <c r="C90" t="str">
        <f>IF(Titanic_Dataset[[#This Row],[Survived]]=1,"Survived","Died")</f>
        <v>Survived</v>
      </c>
      <c r="D90">
        <v>1</v>
      </c>
      <c r="E90" t="str">
        <f>IF(Titanic_Dataset[[#This Row],[Pclass]]=1,"1st",IF(Titanic_Dataset[[#This Row],[Pclass]]=2,"2nd",IF(Titanic_Dataset[[#This Row],[Pclass]]=3,"3rd")))</f>
        <v>1st</v>
      </c>
      <c r="F90" s="1" t="s">
        <v>208</v>
      </c>
      <c r="G90" s="1" t="str">
        <f>TRIM(MID(Titanic_Dataset[[#This Row],[Name]],
FIND(",",Titanic_Dataset[[#This Row],[Name]])+2,
FIND(".",Titanic_Dataset[[#This Row],[Name]],FIND(",",Titanic_Dataset[[#This Row],[Name]]))-FIND(",",Titanic_Dataset[[#This Row],[Name]])-1))</f>
        <v>Miss.</v>
      </c>
      <c r="H90" s="1" t="s">
        <v>18</v>
      </c>
      <c r="I90">
        <v>23</v>
      </c>
      <c r="J9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90">
        <v>3</v>
      </c>
      <c r="L90">
        <v>2</v>
      </c>
      <c r="M90">
        <f>Titanic_Dataset[[#This Row],[Parch]]+Titanic_Dataset[[#This Row],[SibSp]]</f>
        <v>5</v>
      </c>
      <c r="N90" s="1" t="s">
        <v>79</v>
      </c>
      <c r="O90">
        <v>263</v>
      </c>
      <c r="P90">
        <f>IF(Titanic_Dataset[[#This Row],[Survived]]=1,Titanic_Dataset[[#This Row],[Fare]],NA())</f>
        <v>263</v>
      </c>
      <c r="Q90" t="e">
        <f>IF(Titanic_Dataset[[#This Row],[Survived]]=0,Titanic_Dataset[[#This Row],[Fare]],NA())</f>
        <v>#N/A</v>
      </c>
      <c r="R90" t="str">
        <f>VLOOKUP(Titanic_Dataset[[#This Row],[Fare]],Table2[],2,TRUE)</f>
        <v>very hiegh</v>
      </c>
      <c r="S90" s="1" t="s">
        <v>80</v>
      </c>
      <c r="T90" s="1" t="s">
        <v>16</v>
      </c>
      <c r="U90" s="1"/>
      <c r="V90" s="1"/>
      <c r="W90" s="1"/>
    </row>
    <row r="91" spans="1:23" x14ac:dyDescent="0.25">
      <c r="A91">
        <v>90</v>
      </c>
      <c r="B91">
        <v>0</v>
      </c>
      <c r="C91" t="str">
        <f>IF(Titanic_Dataset[[#This Row],[Survived]]=1,"Survived","Died")</f>
        <v>Died</v>
      </c>
      <c r="D91">
        <v>3</v>
      </c>
      <c r="E91" t="str">
        <f>IF(Titanic_Dataset[[#This Row],[Pclass]]=1,"1st",IF(Titanic_Dataset[[#This Row],[Pclass]]=2,"2nd",IF(Titanic_Dataset[[#This Row],[Pclass]]=3,"3rd")))</f>
        <v>3rd</v>
      </c>
      <c r="F91" s="1" t="s">
        <v>209</v>
      </c>
      <c r="G91" s="1" t="str">
        <f>TRIM(MID(Titanic_Dataset[[#This Row],[Name]],
FIND(",",Titanic_Dataset[[#This Row],[Name]])+2,
FIND(".",Titanic_Dataset[[#This Row],[Name]],FIND(",",Titanic_Dataset[[#This Row],[Name]]))-FIND(",",Titanic_Dataset[[#This Row],[Name]])-1))</f>
        <v>Mr.</v>
      </c>
      <c r="H91" s="1" t="s">
        <v>13</v>
      </c>
      <c r="I91">
        <v>24</v>
      </c>
      <c r="J9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91">
        <v>0</v>
      </c>
      <c r="L91">
        <v>0</v>
      </c>
      <c r="M91">
        <f>Titanic_Dataset[[#This Row],[Parch]]+Titanic_Dataset[[#This Row],[SibSp]]</f>
        <v>0</v>
      </c>
      <c r="N91" s="1" t="s">
        <v>210</v>
      </c>
      <c r="O91">
        <v>8.0500000000000007</v>
      </c>
      <c r="P91" t="e">
        <f>IF(Titanic_Dataset[[#This Row],[Survived]]=1,Titanic_Dataset[[#This Row],[Fare]],NA())</f>
        <v>#N/A</v>
      </c>
      <c r="Q91">
        <f>IF(Titanic_Dataset[[#This Row],[Survived]]=0,Titanic_Dataset[[#This Row],[Fare]],NA())</f>
        <v>8.0500000000000007</v>
      </c>
      <c r="R91" t="str">
        <f>VLOOKUP(Titanic_Dataset[[#This Row],[Fare]],Table2[],2,TRUE)</f>
        <v>medium</v>
      </c>
      <c r="S91" s="1" t="s">
        <v>15</v>
      </c>
      <c r="T91" s="1" t="s">
        <v>16</v>
      </c>
      <c r="U91" s="1"/>
      <c r="V91" s="1"/>
      <c r="W91" s="1"/>
    </row>
    <row r="92" spans="1:23" x14ac:dyDescent="0.25">
      <c r="A92">
        <v>91</v>
      </c>
      <c r="B92">
        <v>0</v>
      </c>
      <c r="C92" t="str">
        <f>IF(Titanic_Dataset[[#This Row],[Survived]]=1,"Survived","Died")</f>
        <v>Died</v>
      </c>
      <c r="D92">
        <v>3</v>
      </c>
      <c r="E92" t="str">
        <f>IF(Titanic_Dataset[[#This Row],[Pclass]]=1,"1st",IF(Titanic_Dataset[[#This Row],[Pclass]]=2,"2nd",IF(Titanic_Dataset[[#This Row],[Pclass]]=3,"3rd")))</f>
        <v>3rd</v>
      </c>
      <c r="F92" s="1" t="s">
        <v>211</v>
      </c>
      <c r="G92" s="1" t="str">
        <f>TRIM(MID(Titanic_Dataset[[#This Row],[Name]],
FIND(",",Titanic_Dataset[[#This Row],[Name]])+2,
FIND(".",Titanic_Dataset[[#This Row],[Name]],FIND(",",Titanic_Dataset[[#This Row],[Name]]))-FIND(",",Titanic_Dataset[[#This Row],[Name]])-1))</f>
        <v>Mr.</v>
      </c>
      <c r="H92" s="1" t="s">
        <v>13</v>
      </c>
      <c r="I92">
        <v>29</v>
      </c>
      <c r="J9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92">
        <v>0</v>
      </c>
      <c r="L92">
        <v>0</v>
      </c>
      <c r="M92">
        <f>Titanic_Dataset[[#This Row],[Parch]]+Titanic_Dataset[[#This Row],[SibSp]]</f>
        <v>0</v>
      </c>
      <c r="N92" s="1" t="s">
        <v>212</v>
      </c>
      <c r="O92">
        <v>8.0500000000000007</v>
      </c>
      <c r="P92" t="e">
        <f>IF(Titanic_Dataset[[#This Row],[Survived]]=1,Titanic_Dataset[[#This Row],[Fare]],NA())</f>
        <v>#N/A</v>
      </c>
      <c r="Q92">
        <f>IF(Titanic_Dataset[[#This Row],[Survived]]=0,Titanic_Dataset[[#This Row],[Fare]],NA())</f>
        <v>8.0500000000000007</v>
      </c>
      <c r="R92" t="str">
        <f>VLOOKUP(Titanic_Dataset[[#This Row],[Fare]],Table2[],2,TRUE)</f>
        <v>medium</v>
      </c>
      <c r="S92" s="1" t="s">
        <v>15</v>
      </c>
      <c r="T92" s="1" t="s">
        <v>16</v>
      </c>
      <c r="U92" s="1"/>
      <c r="V92" s="1"/>
      <c r="W92" s="1"/>
    </row>
    <row r="93" spans="1:23" x14ac:dyDescent="0.25">
      <c r="A93">
        <v>92</v>
      </c>
      <c r="B93">
        <v>0</v>
      </c>
      <c r="C93" t="str">
        <f>IF(Titanic_Dataset[[#This Row],[Survived]]=1,"Survived","Died")</f>
        <v>Died</v>
      </c>
      <c r="D93">
        <v>3</v>
      </c>
      <c r="E93" t="str">
        <f>IF(Titanic_Dataset[[#This Row],[Pclass]]=1,"1st",IF(Titanic_Dataset[[#This Row],[Pclass]]=2,"2nd",IF(Titanic_Dataset[[#This Row],[Pclass]]=3,"3rd")))</f>
        <v>3rd</v>
      </c>
      <c r="F93" s="1" t="s">
        <v>213</v>
      </c>
      <c r="G93" s="1" t="str">
        <f>TRIM(MID(Titanic_Dataset[[#This Row],[Name]],
FIND(",",Titanic_Dataset[[#This Row],[Name]])+2,
FIND(".",Titanic_Dataset[[#This Row],[Name]],FIND(",",Titanic_Dataset[[#This Row],[Name]]))-FIND(",",Titanic_Dataset[[#This Row],[Name]])-1))</f>
        <v>Mr.</v>
      </c>
      <c r="H93" s="1" t="s">
        <v>13</v>
      </c>
      <c r="I93">
        <v>20</v>
      </c>
      <c r="J9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93">
        <v>0</v>
      </c>
      <c r="L93">
        <v>0</v>
      </c>
      <c r="M93">
        <f>Titanic_Dataset[[#This Row],[Parch]]+Titanic_Dataset[[#This Row],[SibSp]]</f>
        <v>0</v>
      </c>
      <c r="N93" s="1" t="s">
        <v>214</v>
      </c>
      <c r="O93">
        <v>7.8541999999999996</v>
      </c>
      <c r="P93" t="e">
        <f>IF(Titanic_Dataset[[#This Row],[Survived]]=1,Titanic_Dataset[[#This Row],[Fare]],NA())</f>
        <v>#N/A</v>
      </c>
      <c r="Q93">
        <f>IF(Titanic_Dataset[[#This Row],[Survived]]=0,Titanic_Dataset[[#This Row],[Fare]],NA())</f>
        <v>7.8541999999999996</v>
      </c>
      <c r="R93" t="str">
        <f>VLOOKUP(Titanic_Dataset[[#This Row],[Fare]],Table2[],2,TRUE)</f>
        <v>low</v>
      </c>
      <c r="S93" s="1" t="s">
        <v>15</v>
      </c>
      <c r="T93" s="1" t="s">
        <v>16</v>
      </c>
      <c r="U93" s="1"/>
      <c r="V93" s="1"/>
      <c r="W93" s="1"/>
    </row>
    <row r="94" spans="1:23" x14ac:dyDescent="0.25">
      <c r="A94">
        <v>93</v>
      </c>
      <c r="B94">
        <v>0</v>
      </c>
      <c r="C94" t="str">
        <f>IF(Titanic_Dataset[[#This Row],[Survived]]=1,"Survived","Died")</f>
        <v>Died</v>
      </c>
      <c r="D94">
        <v>1</v>
      </c>
      <c r="E94" t="str">
        <f>IF(Titanic_Dataset[[#This Row],[Pclass]]=1,"1st",IF(Titanic_Dataset[[#This Row],[Pclass]]=2,"2nd",IF(Titanic_Dataset[[#This Row],[Pclass]]=3,"3rd")))</f>
        <v>1st</v>
      </c>
      <c r="F94" s="1" t="s">
        <v>215</v>
      </c>
      <c r="G94" s="1" t="str">
        <f>TRIM(MID(Titanic_Dataset[[#This Row],[Name]],
FIND(",",Titanic_Dataset[[#This Row],[Name]])+2,
FIND(".",Titanic_Dataset[[#This Row],[Name]],FIND(",",Titanic_Dataset[[#This Row],[Name]]))-FIND(",",Titanic_Dataset[[#This Row],[Name]])-1))</f>
        <v>Mr.</v>
      </c>
      <c r="H94" s="1" t="s">
        <v>13</v>
      </c>
      <c r="I94">
        <v>46</v>
      </c>
      <c r="J94" t="str">
        <f>IF(Titanic_Dataset[[#This Row],[Age]]&lt;12,"0-11",
IF(Titanic_Dataset[[#This Row],[Age]]&lt;20,"12-19",
IF(Titanic_Dataset[[#This Row],[Age]]&lt;30,"20-29",
IF(Titanic_Dataset[[#This Row],[Age]]&lt;40,"30-39",
IF(Titanic_Dataset[[#This Row],[Age]]&lt;50,"40-49",
IF(Titanic_Dataset[[#This Row],[Age]]&lt;60,"50-59",
IF(Titanic_Dataset[[#This Row],[Age]]&lt;70,"60-69",)))))))</f>
        <v>40-49</v>
      </c>
      <c r="K94">
        <v>1</v>
      </c>
      <c r="L94">
        <v>0</v>
      </c>
      <c r="M94">
        <f>Titanic_Dataset[[#This Row],[Parch]]+Titanic_Dataset[[#This Row],[SibSp]]</f>
        <v>1</v>
      </c>
      <c r="N94" s="1" t="s">
        <v>216</v>
      </c>
      <c r="O94">
        <v>61.174999999999997</v>
      </c>
      <c r="P94" t="e">
        <f>IF(Titanic_Dataset[[#This Row],[Survived]]=1,Titanic_Dataset[[#This Row],[Fare]],NA())</f>
        <v>#N/A</v>
      </c>
      <c r="Q94">
        <f>IF(Titanic_Dataset[[#This Row],[Survived]]=0,Titanic_Dataset[[#This Row],[Fare]],NA())</f>
        <v>61.174999999999997</v>
      </c>
      <c r="R94" t="str">
        <f>VLOOKUP(Titanic_Dataset[[#This Row],[Fare]],Table2[],2,TRUE)</f>
        <v>very hiegh</v>
      </c>
      <c r="S94" s="1" t="s">
        <v>217</v>
      </c>
      <c r="T94" s="1" t="s">
        <v>16</v>
      </c>
      <c r="U94" s="1"/>
      <c r="V94" s="1"/>
      <c r="W94" s="1"/>
    </row>
    <row r="95" spans="1:23" x14ac:dyDescent="0.25">
      <c r="A95">
        <v>94</v>
      </c>
      <c r="B95">
        <v>0</v>
      </c>
      <c r="C95" t="str">
        <f>IF(Titanic_Dataset[[#This Row],[Survived]]=1,"Survived","Died")</f>
        <v>Died</v>
      </c>
      <c r="D95">
        <v>3</v>
      </c>
      <c r="E95" t="str">
        <f>IF(Titanic_Dataset[[#This Row],[Pclass]]=1,"1st",IF(Titanic_Dataset[[#This Row],[Pclass]]=2,"2nd",IF(Titanic_Dataset[[#This Row],[Pclass]]=3,"3rd")))</f>
        <v>3rd</v>
      </c>
      <c r="F95" s="1" t="s">
        <v>218</v>
      </c>
      <c r="G95" s="1" t="str">
        <f>TRIM(MID(Titanic_Dataset[[#This Row],[Name]],
FIND(",",Titanic_Dataset[[#This Row],[Name]])+2,
FIND(".",Titanic_Dataset[[#This Row],[Name]],FIND(",",Titanic_Dataset[[#This Row],[Name]]))-FIND(",",Titanic_Dataset[[#This Row],[Name]])-1))</f>
        <v>Mr.</v>
      </c>
      <c r="H95" s="1" t="s">
        <v>13</v>
      </c>
      <c r="I95">
        <v>26</v>
      </c>
      <c r="J9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95">
        <v>1</v>
      </c>
      <c r="L95">
        <v>2</v>
      </c>
      <c r="M95">
        <f>Titanic_Dataset[[#This Row],[Parch]]+Titanic_Dataset[[#This Row],[SibSp]]</f>
        <v>3</v>
      </c>
      <c r="N95" s="1" t="s">
        <v>219</v>
      </c>
      <c r="O95">
        <v>20.574999999999999</v>
      </c>
      <c r="P95" t="e">
        <f>IF(Titanic_Dataset[[#This Row],[Survived]]=1,Titanic_Dataset[[#This Row],[Fare]],NA())</f>
        <v>#N/A</v>
      </c>
      <c r="Q95">
        <f>IF(Titanic_Dataset[[#This Row],[Survived]]=0,Titanic_Dataset[[#This Row],[Fare]],NA())</f>
        <v>20.574999999999999</v>
      </c>
      <c r="R95" t="str">
        <f>VLOOKUP(Titanic_Dataset[[#This Row],[Fare]],Table2[],2,TRUE)</f>
        <v>high</v>
      </c>
      <c r="S95" s="1" t="s">
        <v>15</v>
      </c>
      <c r="T95" s="1" t="s">
        <v>16</v>
      </c>
      <c r="U95" s="1"/>
      <c r="V95" s="1"/>
      <c r="W95" s="1"/>
    </row>
    <row r="96" spans="1:23" x14ac:dyDescent="0.25">
      <c r="A96">
        <v>95</v>
      </c>
      <c r="B96">
        <v>0</v>
      </c>
      <c r="C96" t="str">
        <f>IF(Titanic_Dataset[[#This Row],[Survived]]=1,"Survived","Died")</f>
        <v>Died</v>
      </c>
      <c r="D96">
        <v>3</v>
      </c>
      <c r="E96" t="str">
        <f>IF(Titanic_Dataset[[#This Row],[Pclass]]=1,"1st",IF(Titanic_Dataset[[#This Row],[Pclass]]=2,"2nd",IF(Titanic_Dataset[[#This Row],[Pclass]]=3,"3rd")))</f>
        <v>3rd</v>
      </c>
      <c r="F96" s="1" t="s">
        <v>220</v>
      </c>
      <c r="G96" s="1" t="str">
        <f>TRIM(MID(Titanic_Dataset[[#This Row],[Name]],
FIND(",",Titanic_Dataset[[#This Row],[Name]])+2,
FIND(".",Titanic_Dataset[[#This Row],[Name]],FIND(",",Titanic_Dataset[[#This Row],[Name]]))-FIND(",",Titanic_Dataset[[#This Row],[Name]])-1))</f>
        <v>Mr.</v>
      </c>
      <c r="H96" s="1" t="s">
        <v>13</v>
      </c>
      <c r="I96">
        <v>59</v>
      </c>
      <c r="J96" t="str">
        <f>IF(Titanic_Dataset[[#This Row],[Age]]&lt;12,"0-11",
IF(Titanic_Dataset[[#This Row],[Age]]&lt;20,"12-19",
IF(Titanic_Dataset[[#This Row],[Age]]&lt;30,"20-29",
IF(Titanic_Dataset[[#This Row],[Age]]&lt;40,"30-39",
IF(Titanic_Dataset[[#This Row],[Age]]&lt;50,"40-49",
IF(Titanic_Dataset[[#This Row],[Age]]&lt;60,"50-59",
IF(Titanic_Dataset[[#This Row],[Age]]&lt;70,"60-69",)))))))</f>
        <v>50-59</v>
      </c>
      <c r="K96">
        <v>0</v>
      </c>
      <c r="L96">
        <v>0</v>
      </c>
      <c r="M96">
        <f>Titanic_Dataset[[#This Row],[Parch]]+Titanic_Dataset[[#This Row],[SibSp]]</f>
        <v>0</v>
      </c>
      <c r="N96" s="1" t="s">
        <v>221</v>
      </c>
      <c r="O96">
        <v>7.25</v>
      </c>
      <c r="P96" t="e">
        <f>IF(Titanic_Dataset[[#This Row],[Survived]]=1,Titanic_Dataset[[#This Row],[Fare]],NA())</f>
        <v>#N/A</v>
      </c>
      <c r="Q96">
        <f>IF(Titanic_Dataset[[#This Row],[Survived]]=0,Titanic_Dataset[[#This Row],[Fare]],NA())</f>
        <v>7.25</v>
      </c>
      <c r="R96" t="str">
        <f>VLOOKUP(Titanic_Dataset[[#This Row],[Fare]],Table2[],2,TRUE)</f>
        <v>low</v>
      </c>
      <c r="S96" s="1" t="s">
        <v>15</v>
      </c>
      <c r="T96" s="1" t="s">
        <v>16</v>
      </c>
      <c r="U96" s="1"/>
      <c r="V96" s="1"/>
      <c r="W96" s="1"/>
    </row>
    <row r="97" spans="1:23" x14ac:dyDescent="0.25">
      <c r="A97">
        <v>96</v>
      </c>
      <c r="B97">
        <v>0</v>
      </c>
      <c r="C97" t="str">
        <f>IF(Titanic_Dataset[[#This Row],[Survived]]=1,"Survived","Died")</f>
        <v>Died</v>
      </c>
      <c r="D97">
        <v>3</v>
      </c>
      <c r="E97" t="str">
        <f>IF(Titanic_Dataset[[#This Row],[Pclass]]=1,"1st",IF(Titanic_Dataset[[#This Row],[Pclass]]=2,"2nd",IF(Titanic_Dataset[[#This Row],[Pclass]]=3,"3rd")))</f>
        <v>3rd</v>
      </c>
      <c r="F97" s="1" t="s">
        <v>222</v>
      </c>
      <c r="G97" s="1" t="str">
        <f>TRIM(MID(Titanic_Dataset[[#This Row],[Name]],
FIND(",",Titanic_Dataset[[#This Row],[Name]])+2,
FIND(".",Titanic_Dataset[[#This Row],[Name]],FIND(",",Titanic_Dataset[[#This Row],[Name]]))-FIND(",",Titanic_Dataset[[#This Row],[Name]])-1))</f>
        <v>Mr.</v>
      </c>
      <c r="H97" s="1" t="s">
        <v>13</v>
      </c>
      <c r="I97">
        <v>28</v>
      </c>
      <c r="J9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97">
        <v>0</v>
      </c>
      <c r="L97">
        <v>0</v>
      </c>
      <c r="M97">
        <f>Titanic_Dataset[[#This Row],[Parch]]+Titanic_Dataset[[#This Row],[SibSp]]</f>
        <v>0</v>
      </c>
      <c r="N97" s="1" t="s">
        <v>223</v>
      </c>
      <c r="O97">
        <v>8.0500000000000007</v>
      </c>
      <c r="P97" t="e">
        <f>IF(Titanic_Dataset[[#This Row],[Survived]]=1,Titanic_Dataset[[#This Row],[Fare]],NA())</f>
        <v>#N/A</v>
      </c>
      <c r="Q97">
        <f>IF(Titanic_Dataset[[#This Row],[Survived]]=0,Titanic_Dataset[[#This Row],[Fare]],NA())</f>
        <v>8.0500000000000007</v>
      </c>
      <c r="R97" t="str">
        <f>VLOOKUP(Titanic_Dataset[[#This Row],[Fare]],Table2[],2,TRUE)</f>
        <v>medium</v>
      </c>
      <c r="S97" s="1" t="s">
        <v>15</v>
      </c>
      <c r="T97" s="1" t="s">
        <v>16</v>
      </c>
      <c r="U97" s="1"/>
      <c r="V97" s="1"/>
      <c r="W97" s="1"/>
    </row>
    <row r="98" spans="1:23" x14ac:dyDescent="0.25">
      <c r="A98">
        <v>97</v>
      </c>
      <c r="B98">
        <v>0</v>
      </c>
      <c r="C98" t="str">
        <f>IF(Titanic_Dataset[[#This Row],[Survived]]=1,"Survived","Died")</f>
        <v>Died</v>
      </c>
      <c r="D98">
        <v>1</v>
      </c>
      <c r="E98" t="str">
        <f>IF(Titanic_Dataset[[#This Row],[Pclass]]=1,"1st",IF(Titanic_Dataset[[#This Row],[Pclass]]=2,"2nd",IF(Titanic_Dataset[[#This Row],[Pclass]]=3,"3rd")))</f>
        <v>1st</v>
      </c>
      <c r="F98" s="1" t="s">
        <v>224</v>
      </c>
      <c r="G98" s="1" t="str">
        <f>TRIM(MID(Titanic_Dataset[[#This Row],[Name]],
FIND(",",Titanic_Dataset[[#This Row],[Name]])+2,
FIND(".",Titanic_Dataset[[#This Row],[Name]],FIND(",",Titanic_Dataset[[#This Row],[Name]]))-FIND(",",Titanic_Dataset[[#This Row],[Name]])-1))</f>
        <v>Mr.</v>
      </c>
      <c r="H98" s="1" t="s">
        <v>13</v>
      </c>
      <c r="I98">
        <v>71</v>
      </c>
      <c r="J98">
        <f>IF(Titanic_Dataset[[#This Row],[Age]]&lt;12,"0-11",
IF(Titanic_Dataset[[#This Row],[Age]]&lt;20,"12-19",
IF(Titanic_Dataset[[#This Row],[Age]]&lt;30,"20-29",
IF(Titanic_Dataset[[#This Row],[Age]]&lt;40,"30-39",
IF(Titanic_Dataset[[#This Row],[Age]]&lt;50,"40-49",
IF(Titanic_Dataset[[#This Row],[Age]]&lt;60,"50-59",
IF(Titanic_Dataset[[#This Row],[Age]]&lt;70,"60-69",)))))))</f>
        <v>0</v>
      </c>
      <c r="K98">
        <v>0</v>
      </c>
      <c r="L98">
        <v>0</v>
      </c>
      <c r="M98">
        <f>Titanic_Dataset[[#This Row],[Parch]]+Titanic_Dataset[[#This Row],[SibSp]]</f>
        <v>0</v>
      </c>
      <c r="N98" s="1" t="s">
        <v>225</v>
      </c>
      <c r="O98">
        <v>34.654200000000003</v>
      </c>
      <c r="P98" t="e">
        <f>IF(Titanic_Dataset[[#This Row],[Survived]]=1,Titanic_Dataset[[#This Row],[Fare]],NA())</f>
        <v>#N/A</v>
      </c>
      <c r="Q98">
        <f>IF(Titanic_Dataset[[#This Row],[Survived]]=0,Titanic_Dataset[[#This Row],[Fare]],NA())</f>
        <v>34.654200000000003</v>
      </c>
      <c r="R98" t="str">
        <f>VLOOKUP(Titanic_Dataset[[#This Row],[Fare]],Table2[],2,TRUE)</f>
        <v>very hiegh</v>
      </c>
      <c r="S98" s="1" t="s">
        <v>226</v>
      </c>
      <c r="T98" s="1" t="s">
        <v>21</v>
      </c>
      <c r="U98" s="1"/>
      <c r="V98" s="1"/>
      <c r="W98" s="1"/>
    </row>
    <row r="99" spans="1:23" x14ac:dyDescent="0.25">
      <c r="A99">
        <v>98</v>
      </c>
      <c r="B99">
        <v>1</v>
      </c>
      <c r="C99" t="str">
        <f>IF(Titanic_Dataset[[#This Row],[Survived]]=1,"Survived","Died")</f>
        <v>Survived</v>
      </c>
      <c r="D99">
        <v>1</v>
      </c>
      <c r="E99" t="str">
        <f>IF(Titanic_Dataset[[#This Row],[Pclass]]=1,"1st",IF(Titanic_Dataset[[#This Row],[Pclass]]=2,"2nd",IF(Titanic_Dataset[[#This Row],[Pclass]]=3,"3rd")))</f>
        <v>1st</v>
      </c>
      <c r="F99" s="1" t="s">
        <v>227</v>
      </c>
      <c r="G99" s="1" t="str">
        <f>TRIM(MID(Titanic_Dataset[[#This Row],[Name]],
FIND(",",Titanic_Dataset[[#This Row],[Name]])+2,
FIND(".",Titanic_Dataset[[#This Row],[Name]],FIND(",",Titanic_Dataset[[#This Row],[Name]]))-FIND(",",Titanic_Dataset[[#This Row],[Name]])-1))</f>
        <v>Mr.</v>
      </c>
      <c r="H99" s="1" t="s">
        <v>13</v>
      </c>
      <c r="I99">
        <v>23</v>
      </c>
      <c r="J9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99">
        <v>0</v>
      </c>
      <c r="L99">
        <v>1</v>
      </c>
      <c r="M99">
        <f>Titanic_Dataset[[#This Row],[Parch]]+Titanic_Dataset[[#This Row],[SibSp]]</f>
        <v>1</v>
      </c>
      <c r="N99" s="1" t="s">
        <v>228</v>
      </c>
      <c r="O99">
        <v>63.3583</v>
      </c>
      <c r="P99">
        <f>IF(Titanic_Dataset[[#This Row],[Survived]]=1,Titanic_Dataset[[#This Row],[Fare]],NA())</f>
        <v>63.3583</v>
      </c>
      <c r="Q99" t="e">
        <f>IF(Titanic_Dataset[[#This Row],[Survived]]=0,Titanic_Dataset[[#This Row],[Fare]],NA())</f>
        <v>#N/A</v>
      </c>
      <c r="R99" t="str">
        <f>VLOOKUP(Titanic_Dataset[[#This Row],[Fare]],Table2[],2,TRUE)</f>
        <v>very hiegh</v>
      </c>
      <c r="S99" s="1" t="s">
        <v>229</v>
      </c>
      <c r="T99" s="1" t="s">
        <v>21</v>
      </c>
      <c r="U99" s="1"/>
      <c r="V99" s="1"/>
      <c r="W99" s="1"/>
    </row>
    <row r="100" spans="1:23" x14ac:dyDescent="0.25">
      <c r="A100">
        <v>99</v>
      </c>
      <c r="B100">
        <v>1</v>
      </c>
      <c r="C100" t="str">
        <f>IF(Titanic_Dataset[[#This Row],[Survived]]=1,"Survived","Died")</f>
        <v>Survived</v>
      </c>
      <c r="D100">
        <v>2</v>
      </c>
      <c r="E100" t="str">
        <f>IF(Titanic_Dataset[[#This Row],[Pclass]]=1,"1st",IF(Titanic_Dataset[[#This Row],[Pclass]]=2,"2nd",IF(Titanic_Dataset[[#This Row],[Pclass]]=3,"3rd")))</f>
        <v>2nd</v>
      </c>
      <c r="F100" s="1" t="s">
        <v>230</v>
      </c>
      <c r="G100" s="1" t="str">
        <f>TRIM(MID(Titanic_Dataset[[#This Row],[Name]],
FIND(",",Titanic_Dataset[[#This Row],[Name]])+2,
FIND(".",Titanic_Dataset[[#This Row],[Name]],FIND(",",Titanic_Dataset[[#This Row],[Name]]))-FIND(",",Titanic_Dataset[[#This Row],[Name]])-1))</f>
        <v>Mrs.</v>
      </c>
      <c r="H100" s="1" t="s">
        <v>18</v>
      </c>
      <c r="I100">
        <v>34</v>
      </c>
      <c r="J100" t="str">
        <f>IF(Titanic_Dataset[[#This Row],[Age]]&lt;12,"0-11",
IF(Titanic_Dataset[[#This Row],[Age]]&lt;20,"12-19",
IF(Titanic_Dataset[[#This Row],[Age]]&lt;30,"20-29",
IF(Titanic_Dataset[[#This Row],[Age]]&lt;40,"30-39",
IF(Titanic_Dataset[[#This Row],[Age]]&lt;50,"40-49",
IF(Titanic_Dataset[[#This Row],[Age]]&lt;60,"50-59",
IF(Titanic_Dataset[[#This Row],[Age]]&lt;70,"60-69",)))))))</f>
        <v>30-39</v>
      </c>
      <c r="K100">
        <v>0</v>
      </c>
      <c r="L100">
        <v>1</v>
      </c>
      <c r="M100">
        <f>Titanic_Dataset[[#This Row],[Parch]]+Titanic_Dataset[[#This Row],[SibSp]]</f>
        <v>1</v>
      </c>
      <c r="N100" s="1" t="s">
        <v>231</v>
      </c>
      <c r="O100">
        <v>23</v>
      </c>
      <c r="P100">
        <f>IF(Titanic_Dataset[[#This Row],[Survived]]=1,Titanic_Dataset[[#This Row],[Fare]],NA())</f>
        <v>23</v>
      </c>
      <c r="Q100" t="e">
        <f>IF(Titanic_Dataset[[#This Row],[Survived]]=0,Titanic_Dataset[[#This Row],[Fare]],NA())</f>
        <v>#N/A</v>
      </c>
      <c r="R100" t="str">
        <f>VLOOKUP(Titanic_Dataset[[#This Row],[Fare]],Table2[],2,TRUE)</f>
        <v>high</v>
      </c>
      <c r="S100" s="1" t="s">
        <v>15</v>
      </c>
      <c r="T100" s="1" t="s">
        <v>16</v>
      </c>
      <c r="U100" s="1"/>
      <c r="V100" s="1"/>
      <c r="W100" s="1"/>
    </row>
    <row r="101" spans="1:23" x14ac:dyDescent="0.25">
      <c r="A101">
        <v>100</v>
      </c>
      <c r="B101">
        <v>0</v>
      </c>
      <c r="C101" t="str">
        <f>IF(Titanic_Dataset[[#This Row],[Survived]]=1,"Survived","Died")</f>
        <v>Died</v>
      </c>
      <c r="D101">
        <v>2</v>
      </c>
      <c r="E101" t="str">
        <f>IF(Titanic_Dataset[[#This Row],[Pclass]]=1,"1st",IF(Titanic_Dataset[[#This Row],[Pclass]]=2,"2nd",IF(Titanic_Dataset[[#This Row],[Pclass]]=3,"3rd")))</f>
        <v>2nd</v>
      </c>
      <c r="F101" s="1" t="s">
        <v>232</v>
      </c>
      <c r="G101" s="1" t="str">
        <f>TRIM(MID(Titanic_Dataset[[#This Row],[Name]],
FIND(",",Titanic_Dataset[[#This Row],[Name]])+2,
FIND(".",Titanic_Dataset[[#This Row],[Name]],FIND(",",Titanic_Dataset[[#This Row],[Name]]))-FIND(",",Titanic_Dataset[[#This Row],[Name]])-1))</f>
        <v>Mr.</v>
      </c>
      <c r="H101" s="1" t="s">
        <v>13</v>
      </c>
      <c r="I101">
        <v>34</v>
      </c>
      <c r="J101" t="str">
        <f>IF(Titanic_Dataset[[#This Row],[Age]]&lt;12,"0-11",
IF(Titanic_Dataset[[#This Row],[Age]]&lt;20,"12-19",
IF(Titanic_Dataset[[#This Row],[Age]]&lt;30,"20-29",
IF(Titanic_Dataset[[#This Row],[Age]]&lt;40,"30-39",
IF(Titanic_Dataset[[#This Row],[Age]]&lt;50,"40-49",
IF(Titanic_Dataset[[#This Row],[Age]]&lt;60,"50-59",
IF(Titanic_Dataset[[#This Row],[Age]]&lt;70,"60-69",)))))))</f>
        <v>30-39</v>
      </c>
      <c r="K101">
        <v>1</v>
      </c>
      <c r="L101">
        <v>0</v>
      </c>
      <c r="M101">
        <f>Titanic_Dataset[[#This Row],[Parch]]+Titanic_Dataset[[#This Row],[SibSp]]</f>
        <v>1</v>
      </c>
      <c r="N101" s="1" t="s">
        <v>233</v>
      </c>
      <c r="O101">
        <v>26</v>
      </c>
      <c r="P101" t="e">
        <f>IF(Titanic_Dataset[[#This Row],[Survived]]=1,Titanic_Dataset[[#This Row],[Fare]],NA())</f>
        <v>#N/A</v>
      </c>
      <c r="Q101">
        <f>IF(Titanic_Dataset[[#This Row],[Survived]]=0,Titanic_Dataset[[#This Row],[Fare]],NA())</f>
        <v>26</v>
      </c>
      <c r="R101" t="str">
        <f>VLOOKUP(Titanic_Dataset[[#This Row],[Fare]],Table2[],2,TRUE)</f>
        <v>high</v>
      </c>
      <c r="S101" s="1" t="s">
        <v>15</v>
      </c>
      <c r="T101" s="1" t="s">
        <v>16</v>
      </c>
      <c r="U101" s="1"/>
      <c r="V101" s="1"/>
      <c r="W101" s="1"/>
    </row>
    <row r="102" spans="1:23" x14ac:dyDescent="0.25">
      <c r="A102">
        <v>101</v>
      </c>
      <c r="B102">
        <v>0</v>
      </c>
      <c r="C102" t="str">
        <f>IF(Titanic_Dataset[[#This Row],[Survived]]=1,"Survived","Died")</f>
        <v>Died</v>
      </c>
      <c r="D102">
        <v>3</v>
      </c>
      <c r="E102" t="str">
        <f>IF(Titanic_Dataset[[#This Row],[Pclass]]=1,"1st",IF(Titanic_Dataset[[#This Row],[Pclass]]=2,"2nd",IF(Titanic_Dataset[[#This Row],[Pclass]]=3,"3rd")))</f>
        <v>3rd</v>
      </c>
      <c r="F102" s="1" t="s">
        <v>234</v>
      </c>
      <c r="G102" s="1" t="str">
        <f>TRIM(MID(Titanic_Dataset[[#This Row],[Name]],
FIND(",",Titanic_Dataset[[#This Row],[Name]])+2,
FIND(".",Titanic_Dataset[[#This Row],[Name]],FIND(",",Titanic_Dataset[[#This Row],[Name]]))-FIND(",",Titanic_Dataset[[#This Row],[Name]])-1))</f>
        <v>Miss.</v>
      </c>
      <c r="H102" s="1" t="s">
        <v>18</v>
      </c>
      <c r="I102">
        <v>28</v>
      </c>
      <c r="J10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02">
        <v>0</v>
      </c>
      <c r="L102">
        <v>0</v>
      </c>
      <c r="M102">
        <f>Titanic_Dataset[[#This Row],[Parch]]+Titanic_Dataset[[#This Row],[SibSp]]</f>
        <v>0</v>
      </c>
      <c r="N102" s="1" t="s">
        <v>235</v>
      </c>
      <c r="O102">
        <v>7.8958000000000004</v>
      </c>
      <c r="P102" t="e">
        <f>IF(Titanic_Dataset[[#This Row],[Survived]]=1,Titanic_Dataset[[#This Row],[Fare]],NA())</f>
        <v>#N/A</v>
      </c>
      <c r="Q102">
        <f>IF(Titanic_Dataset[[#This Row],[Survived]]=0,Titanic_Dataset[[#This Row],[Fare]],NA())</f>
        <v>7.8958000000000004</v>
      </c>
      <c r="R102" t="str">
        <f>VLOOKUP(Titanic_Dataset[[#This Row],[Fare]],Table2[],2,TRUE)</f>
        <v>low</v>
      </c>
      <c r="S102" s="1" t="s">
        <v>15</v>
      </c>
      <c r="T102" s="1" t="s">
        <v>16</v>
      </c>
      <c r="U102" s="1"/>
      <c r="V102" s="1"/>
      <c r="W102" s="1"/>
    </row>
    <row r="103" spans="1:23" x14ac:dyDescent="0.25">
      <c r="A103">
        <v>102</v>
      </c>
      <c r="B103">
        <v>0</v>
      </c>
      <c r="C103" t="str">
        <f>IF(Titanic_Dataset[[#This Row],[Survived]]=1,"Survived","Died")</f>
        <v>Died</v>
      </c>
      <c r="D103">
        <v>3</v>
      </c>
      <c r="E103" t="str">
        <f>IF(Titanic_Dataset[[#This Row],[Pclass]]=1,"1st",IF(Titanic_Dataset[[#This Row],[Pclass]]=2,"2nd",IF(Titanic_Dataset[[#This Row],[Pclass]]=3,"3rd")))</f>
        <v>3rd</v>
      </c>
      <c r="F103" s="1" t="s">
        <v>236</v>
      </c>
      <c r="G103" s="1" t="str">
        <f>TRIM(MID(Titanic_Dataset[[#This Row],[Name]],
FIND(",",Titanic_Dataset[[#This Row],[Name]])+2,
FIND(".",Titanic_Dataset[[#This Row],[Name]],FIND(",",Titanic_Dataset[[#This Row],[Name]]))-FIND(",",Titanic_Dataset[[#This Row],[Name]])-1))</f>
        <v>Mr.</v>
      </c>
      <c r="H103" s="1" t="s">
        <v>13</v>
      </c>
      <c r="I103">
        <v>28</v>
      </c>
      <c r="J10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03">
        <v>0</v>
      </c>
      <c r="L103">
        <v>0</v>
      </c>
      <c r="M103">
        <f>Titanic_Dataset[[#This Row],[Parch]]+Titanic_Dataset[[#This Row],[SibSp]]</f>
        <v>0</v>
      </c>
      <c r="N103" s="1" t="s">
        <v>237</v>
      </c>
      <c r="O103">
        <v>7.8958000000000004</v>
      </c>
      <c r="P103" t="e">
        <f>IF(Titanic_Dataset[[#This Row],[Survived]]=1,Titanic_Dataset[[#This Row],[Fare]],NA())</f>
        <v>#N/A</v>
      </c>
      <c r="Q103">
        <f>IF(Titanic_Dataset[[#This Row],[Survived]]=0,Titanic_Dataset[[#This Row],[Fare]],NA())</f>
        <v>7.8958000000000004</v>
      </c>
      <c r="R103" t="str">
        <f>VLOOKUP(Titanic_Dataset[[#This Row],[Fare]],Table2[],2,TRUE)</f>
        <v>low</v>
      </c>
      <c r="S103" s="1" t="s">
        <v>15</v>
      </c>
      <c r="T103" s="1" t="s">
        <v>16</v>
      </c>
      <c r="U103" s="1"/>
      <c r="V103" s="1"/>
      <c r="W103" s="1"/>
    </row>
    <row r="104" spans="1:23" x14ac:dyDescent="0.25">
      <c r="A104">
        <v>103</v>
      </c>
      <c r="B104">
        <v>0</v>
      </c>
      <c r="C104" t="str">
        <f>IF(Titanic_Dataset[[#This Row],[Survived]]=1,"Survived","Died")</f>
        <v>Died</v>
      </c>
      <c r="D104">
        <v>1</v>
      </c>
      <c r="E104" t="str">
        <f>IF(Titanic_Dataset[[#This Row],[Pclass]]=1,"1st",IF(Titanic_Dataset[[#This Row],[Pclass]]=2,"2nd",IF(Titanic_Dataset[[#This Row],[Pclass]]=3,"3rd")))</f>
        <v>1st</v>
      </c>
      <c r="F104" s="1" t="s">
        <v>238</v>
      </c>
      <c r="G104" s="1" t="str">
        <f>TRIM(MID(Titanic_Dataset[[#This Row],[Name]],
FIND(",",Titanic_Dataset[[#This Row],[Name]])+2,
FIND(".",Titanic_Dataset[[#This Row],[Name]],FIND(",",Titanic_Dataset[[#This Row],[Name]]))-FIND(",",Titanic_Dataset[[#This Row],[Name]])-1))</f>
        <v>Mr.</v>
      </c>
      <c r="H104" s="1" t="s">
        <v>13</v>
      </c>
      <c r="I104">
        <v>21</v>
      </c>
      <c r="J10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04">
        <v>0</v>
      </c>
      <c r="L104">
        <v>1</v>
      </c>
      <c r="M104">
        <f>Titanic_Dataset[[#This Row],[Parch]]+Titanic_Dataset[[#This Row],[SibSp]]</f>
        <v>1</v>
      </c>
      <c r="N104" s="1" t="s">
        <v>239</v>
      </c>
      <c r="O104">
        <v>77.287499999999994</v>
      </c>
      <c r="P104" t="e">
        <f>IF(Titanic_Dataset[[#This Row],[Survived]]=1,Titanic_Dataset[[#This Row],[Fare]],NA())</f>
        <v>#N/A</v>
      </c>
      <c r="Q104">
        <f>IF(Titanic_Dataset[[#This Row],[Survived]]=0,Titanic_Dataset[[#This Row],[Fare]],NA())</f>
        <v>77.287499999999994</v>
      </c>
      <c r="R104" t="str">
        <f>VLOOKUP(Titanic_Dataset[[#This Row],[Fare]],Table2[],2,TRUE)</f>
        <v>very hiegh</v>
      </c>
      <c r="S104" s="1" t="s">
        <v>240</v>
      </c>
      <c r="T104" s="1" t="s">
        <v>16</v>
      </c>
      <c r="U104" s="1"/>
      <c r="V104" s="1"/>
      <c r="W104" s="1"/>
    </row>
    <row r="105" spans="1:23" x14ac:dyDescent="0.25">
      <c r="A105">
        <v>104</v>
      </c>
      <c r="B105">
        <v>0</v>
      </c>
      <c r="C105" t="str">
        <f>IF(Titanic_Dataset[[#This Row],[Survived]]=1,"Survived","Died")</f>
        <v>Died</v>
      </c>
      <c r="D105">
        <v>3</v>
      </c>
      <c r="E105" t="str">
        <f>IF(Titanic_Dataset[[#This Row],[Pclass]]=1,"1st",IF(Titanic_Dataset[[#This Row],[Pclass]]=2,"2nd",IF(Titanic_Dataset[[#This Row],[Pclass]]=3,"3rd")))</f>
        <v>3rd</v>
      </c>
      <c r="F105" s="1" t="s">
        <v>241</v>
      </c>
      <c r="G105" s="1" t="str">
        <f>TRIM(MID(Titanic_Dataset[[#This Row],[Name]],
FIND(",",Titanic_Dataset[[#This Row],[Name]])+2,
FIND(".",Titanic_Dataset[[#This Row],[Name]],FIND(",",Titanic_Dataset[[#This Row],[Name]]))-FIND(",",Titanic_Dataset[[#This Row],[Name]])-1))</f>
        <v>Mr.</v>
      </c>
      <c r="H105" s="1" t="s">
        <v>13</v>
      </c>
      <c r="I105">
        <v>33</v>
      </c>
      <c r="J105" t="str">
        <f>IF(Titanic_Dataset[[#This Row],[Age]]&lt;12,"0-11",
IF(Titanic_Dataset[[#This Row],[Age]]&lt;20,"12-19",
IF(Titanic_Dataset[[#This Row],[Age]]&lt;30,"20-29",
IF(Titanic_Dataset[[#This Row],[Age]]&lt;40,"30-39",
IF(Titanic_Dataset[[#This Row],[Age]]&lt;50,"40-49",
IF(Titanic_Dataset[[#This Row],[Age]]&lt;60,"50-59",
IF(Titanic_Dataset[[#This Row],[Age]]&lt;70,"60-69",)))))))</f>
        <v>30-39</v>
      </c>
      <c r="K105">
        <v>0</v>
      </c>
      <c r="L105">
        <v>0</v>
      </c>
      <c r="M105">
        <f>Titanic_Dataset[[#This Row],[Parch]]+Titanic_Dataset[[#This Row],[SibSp]]</f>
        <v>0</v>
      </c>
      <c r="N105" s="1" t="s">
        <v>242</v>
      </c>
      <c r="O105">
        <v>8.6541999999999994</v>
      </c>
      <c r="P105" t="e">
        <f>IF(Titanic_Dataset[[#This Row],[Survived]]=1,Titanic_Dataset[[#This Row],[Fare]],NA())</f>
        <v>#N/A</v>
      </c>
      <c r="Q105">
        <f>IF(Titanic_Dataset[[#This Row],[Survived]]=0,Titanic_Dataset[[#This Row],[Fare]],NA())</f>
        <v>8.6541999999999994</v>
      </c>
      <c r="R105" t="str">
        <f>VLOOKUP(Titanic_Dataset[[#This Row],[Fare]],Table2[],2,TRUE)</f>
        <v>medium</v>
      </c>
      <c r="S105" s="1" t="s">
        <v>15</v>
      </c>
      <c r="T105" s="1" t="s">
        <v>16</v>
      </c>
      <c r="U105" s="1"/>
      <c r="V105" s="1"/>
      <c r="W105" s="1"/>
    </row>
    <row r="106" spans="1:23" x14ac:dyDescent="0.25">
      <c r="A106">
        <v>105</v>
      </c>
      <c r="B106">
        <v>0</v>
      </c>
      <c r="C106" t="str">
        <f>IF(Titanic_Dataset[[#This Row],[Survived]]=1,"Survived","Died")</f>
        <v>Died</v>
      </c>
      <c r="D106">
        <v>3</v>
      </c>
      <c r="E106" t="str">
        <f>IF(Titanic_Dataset[[#This Row],[Pclass]]=1,"1st",IF(Titanic_Dataset[[#This Row],[Pclass]]=2,"2nd",IF(Titanic_Dataset[[#This Row],[Pclass]]=3,"3rd")))</f>
        <v>3rd</v>
      </c>
      <c r="F106" s="1" t="s">
        <v>243</v>
      </c>
      <c r="G106" s="1" t="str">
        <f>TRIM(MID(Titanic_Dataset[[#This Row],[Name]],
FIND(",",Titanic_Dataset[[#This Row],[Name]])+2,
FIND(".",Titanic_Dataset[[#This Row],[Name]],FIND(",",Titanic_Dataset[[#This Row],[Name]]))-FIND(",",Titanic_Dataset[[#This Row],[Name]])-1))</f>
        <v>Mr.</v>
      </c>
      <c r="H106" s="1" t="s">
        <v>13</v>
      </c>
      <c r="I106">
        <v>37</v>
      </c>
      <c r="J106" t="str">
        <f>IF(Titanic_Dataset[[#This Row],[Age]]&lt;12,"0-11",
IF(Titanic_Dataset[[#This Row],[Age]]&lt;20,"12-19",
IF(Titanic_Dataset[[#This Row],[Age]]&lt;30,"20-29",
IF(Titanic_Dataset[[#This Row],[Age]]&lt;40,"30-39",
IF(Titanic_Dataset[[#This Row],[Age]]&lt;50,"40-49",
IF(Titanic_Dataset[[#This Row],[Age]]&lt;60,"50-59",
IF(Titanic_Dataset[[#This Row],[Age]]&lt;70,"60-69",)))))))</f>
        <v>30-39</v>
      </c>
      <c r="K106">
        <v>2</v>
      </c>
      <c r="L106">
        <v>0</v>
      </c>
      <c r="M106">
        <f>Titanic_Dataset[[#This Row],[Parch]]+Titanic_Dataset[[#This Row],[SibSp]]</f>
        <v>2</v>
      </c>
      <c r="N106" s="1" t="s">
        <v>244</v>
      </c>
      <c r="O106">
        <v>7.9249999999999998</v>
      </c>
      <c r="P106" t="e">
        <f>IF(Titanic_Dataset[[#This Row],[Survived]]=1,Titanic_Dataset[[#This Row],[Fare]],NA())</f>
        <v>#N/A</v>
      </c>
      <c r="Q106">
        <f>IF(Titanic_Dataset[[#This Row],[Survived]]=0,Titanic_Dataset[[#This Row],[Fare]],NA())</f>
        <v>7.9249999999999998</v>
      </c>
      <c r="R106" t="str">
        <f>VLOOKUP(Titanic_Dataset[[#This Row],[Fare]],Table2[],2,TRUE)</f>
        <v>low</v>
      </c>
      <c r="S106" s="1" t="s">
        <v>15</v>
      </c>
      <c r="T106" s="1" t="s">
        <v>16</v>
      </c>
      <c r="U106" s="1"/>
      <c r="V106" s="1"/>
      <c r="W106" s="1"/>
    </row>
    <row r="107" spans="1:23" x14ac:dyDescent="0.25">
      <c r="A107">
        <v>106</v>
      </c>
      <c r="B107">
        <v>0</v>
      </c>
      <c r="C107" t="str">
        <f>IF(Titanic_Dataset[[#This Row],[Survived]]=1,"Survived","Died")</f>
        <v>Died</v>
      </c>
      <c r="D107">
        <v>3</v>
      </c>
      <c r="E107" t="str">
        <f>IF(Titanic_Dataset[[#This Row],[Pclass]]=1,"1st",IF(Titanic_Dataset[[#This Row],[Pclass]]=2,"2nd",IF(Titanic_Dataset[[#This Row],[Pclass]]=3,"3rd")))</f>
        <v>3rd</v>
      </c>
      <c r="F107" s="1" t="s">
        <v>245</v>
      </c>
      <c r="G107" s="1" t="str">
        <f>TRIM(MID(Titanic_Dataset[[#This Row],[Name]],
FIND(",",Titanic_Dataset[[#This Row],[Name]])+2,
FIND(".",Titanic_Dataset[[#This Row],[Name]],FIND(",",Titanic_Dataset[[#This Row],[Name]]))-FIND(",",Titanic_Dataset[[#This Row],[Name]])-1))</f>
        <v>Mr.</v>
      </c>
      <c r="H107" s="1" t="s">
        <v>13</v>
      </c>
      <c r="I107">
        <v>28</v>
      </c>
      <c r="J10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07">
        <v>0</v>
      </c>
      <c r="L107">
        <v>0</v>
      </c>
      <c r="M107">
        <f>Titanic_Dataset[[#This Row],[Parch]]+Titanic_Dataset[[#This Row],[SibSp]]</f>
        <v>0</v>
      </c>
      <c r="N107" s="1" t="s">
        <v>246</v>
      </c>
      <c r="O107">
        <v>7.8958000000000004</v>
      </c>
      <c r="P107" t="e">
        <f>IF(Titanic_Dataset[[#This Row],[Survived]]=1,Titanic_Dataset[[#This Row],[Fare]],NA())</f>
        <v>#N/A</v>
      </c>
      <c r="Q107">
        <f>IF(Titanic_Dataset[[#This Row],[Survived]]=0,Titanic_Dataset[[#This Row],[Fare]],NA())</f>
        <v>7.8958000000000004</v>
      </c>
      <c r="R107" t="str">
        <f>VLOOKUP(Titanic_Dataset[[#This Row],[Fare]],Table2[],2,TRUE)</f>
        <v>low</v>
      </c>
      <c r="S107" s="1" t="s">
        <v>15</v>
      </c>
      <c r="T107" s="1" t="s">
        <v>16</v>
      </c>
      <c r="U107" s="1"/>
      <c r="V107" s="1"/>
      <c r="W107" s="1"/>
    </row>
    <row r="108" spans="1:23" x14ac:dyDescent="0.25">
      <c r="A108">
        <v>107</v>
      </c>
      <c r="B108">
        <v>1</v>
      </c>
      <c r="C108" t="str">
        <f>IF(Titanic_Dataset[[#This Row],[Survived]]=1,"Survived","Died")</f>
        <v>Survived</v>
      </c>
      <c r="D108">
        <v>3</v>
      </c>
      <c r="E108" t="str">
        <f>IF(Titanic_Dataset[[#This Row],[Pclass]]=1,"1st",IF(Titanic_Dataset[[#This Row],[Pclass]]=2,"2nd",IF(Titanic_Dataset[[#This Row],[Pclass]]=3,"3rd")))</f>
        <v>3rd</v>
      </c>
      <c r="F108" s="1" t="s">
        <v>247</v>
      </c>
      <c r="G108" s="1" t="str">
        <f>TRIM(MID(Titanic_Dataset[[#This Row],[Name]],
FIND(",",Titanic_Dataset[[#This Row],[Name]])+2,
FIND(".",Titanic_Dataset[[#This Row],[Name]],FIND(",",Titanic_Dataset[[#This Row],[Name]]))-FIND(",",Titanic_Dataset[[#This Row],[Name]])-1))</f>
        <v>Miss.</v>
      </c>
      <c r="H108" s="1" t="s">
        <v>18</v>
      </c>
      <c r="I108">
        <v>21</v>
      </c>
      <c r="J10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08">
        <v>0</v>
      </c>
      <c r="L108">
        <v>0</v>
      </c>
      <c r="M108">
        <f>Titanic_Dataset[[#This Row],[Parch]]+Titanic_Dataset[[#This Row],[SibSp]]</f>
        <v>0</v>
      </c>
      <c r="N108" s="1" t="s">
        <v>248</v>
      </c>
      <c r="O108">
        <v>7.65</v>
      </c>
      <c r="P108">
        <f>IF(Titanic_Dataset[[#This Row],[Survived]]=1,Titanic_Dataset[[#This Row],[Fare]],NA())</f>
        <v>7.65</v>
      </c>
      <c r="Q108" t="e">
        <f>IF(Titanic_Dataset[[#This Row],[Survived]]=0,Titanic_Dataset[[#This Row],[Fare]],NA())</f>
        <v>#N/A</v>
      </c>
      <c r="R108" t="str">
        <f>VLOOKUP(Titanic_Dataset[[#This Row],[Fare]],Table2[],2,TRUE)</f>
        <v>low</v>
      </c>
      <c r="S108" s="1" t="s">
        <v>15</v>
      </c>
      <c r="T108" s="1" t="s">
        <v>16</v>
      </c>
      <c r="U108" s="1"/>
      <c r="V108" s="1"/>
      <c r="W108" s="1"/>
    </row>
    <row r="109" spans="1:23" x14ac:dyDescent="0.25">
      <c r="A109">
        <v>108</v>
      </c>
      <c r="B109">
        <v>1</v>
      </c>
      <c r="C109" t="str">
        <f>IF(Titanic_Dataset[[#This Row],[Survived]]=1,"Survived","Died")</f>
        <v>Survived</v>
      </c>
      <c r="D109">
        <v>3</v>
      </c>
      <c r="E109" t="str">
        <f>IF(Titanic_Dataset[[#This Row],[Pclass]]=1,"1st",IF(Titanic_Dataset[[#This Row],[Pclass]]=2,"2nd",IF(Titanic_Dataset[[#This Row],[Pclass]]=3,"3rd")))</f>
        <v>3rd</v>
      </c>
      <c r="F109" s="1" t="s">
        <v>249</v>
      </c>
      <c r="G109" s="1" t="str">
        <f>TRIM(MID(Titanic_Dataset[[#This Row],[Name]],
FIND(",",Titanic_Dataset[[#This Row],[Name]])+2,
FIND(".",Titanic_Dataset[[#This Row],[Name]],FIND(",",Titanic_Dataset[[#This Row],[Name]]))-FIND(",",Titanic_Dataset[[#This Row],[Name]])-1))</f>
        <v>Mr.</v>
      </c>
      <c r="H109" s="1" t="s">
        <v>13</v>
      </c>
      <c r="I109">
        <v>28</v>
      </c>
      <c r="J10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09">
        <v>0</v>
      </c>
      <c r="L109">
        <v>0</v>
      </c>
      <c r="M109">
        <f>Titanic_Dataset[[#This Row],[Parch]]+Titanic_Dataset[[#This Row],[SibSp]]</f>
        <v>0</v>
      </c>
      <c r="N109" s="1" t="s">
        <v>250</v>
      </c>
      <c r="O109">
        <v>7.7750000000000004</v>
      </c>
      <c r="P109">
        <f>IF(Titanic_Dataset[[#This Row],[Survived]]=1,Titanic_Dataset[[#This Row],[Fare]],NA())</f>
        <v>7.7750000000000004</v>
      </c>
      <c r="Q109" t="e">
        <f>IF(Titanic_Dataset[[#This Row],[Survived]]=0,Titanic_Dataset[[#This Row],[Fare]],NA())</f>
        <v>#N/A</v>
      </c>
      <c r="R109" t="str">
        <f>VLOOKUP(Titanic_Dataset[[#This Row],[Fare]],Table2[],2,TRUE)</f>
        <v>low</v>
      </c>
      <c r="S109" s="1" t="s">
        <v>15</v>
      </c>
      <c r="T109" s="1" t="s">
        <v>16</v>
      </c>
      <c r="U109" s="1"/>
      <c r="V109" s="1"/>
      <c r="W109" s="1"/>
    </row>
    <row r="110" spans="1:23" x14ac:dyDescent="0.25">
      <c r="A110">
        <v>109</v>
      </c>
      <c r="B110">
        <v>0</v>
      </c>
      <c r="C110" t="str">
        <f>IF(Titanic_Dataset[[#This Row],[Survived]]=1,"Survived","Died")</f>
        <v>Died</v>
      </c>
      <c r="D110">
        <v>3</v>
      </c>
      <c r="E110" t="str">
        <f>IF(Titanic_Dataset[[#This Row],[Pclass]]=1,"1st",IF(Titanic_Dataset[[#This Row],[Pclass]]=2,"2nd",IF(Titanic_Dataset[[#This Row],[Pclass]]=3,"3rd")))</f>
        <v>3rd</v>
      </c>
      <c r="F110" s="1" t="s">
        <v>251</v>
      </c>
      <c r="G110" s="1" t="str">
        <f>TRIM(MID(Titanic_Dataset[[#This Row],[Name]],
FIND(",",Titanic_Dataset[[#This Row],[Name]])+2,
FIND(".",Titanic_Dataset[[#This Row],[Name]],FIND(",",Titanic_Dataset[[#This Row],[Name]]))-FIND(",",Titanic_Dataset[[#This Row],[Name]])-1))</f>
        <v>Mr.</v>
      </c>
      <c r="H110" s="1" t="s">
        <v>13</v>
      </c>
      <c r="I110">
        <v>38</v>
      </c>
      <c r="J110" t="str">
        <f>IF(Titanic_Dataset[[#This Row],[Age]]&lt;12,"0-11",
IF(Titanic_Dataset[[#This Row],[Age]]&lt;20,"12-19",
IF(Titanic_Dataset[[#This Row],[Age]]&lt;30,"20-29",
IF(Titanic_Dataset[[#This Row],[Age]]&lt;40,"30-39",
IF(Titanic_Dataset[[#This Row],[Age]]&lt;50,"40-49",
IF(Titanic_Dataset[[#This Row],[Age]]&lt;60,"50-59",
IF(Titanic_Dataset[[#This Row],[Age]]&lt;70,"60-69",)))))))</f>
        <v>30-39</v>
      </c>
      <c r="K110">
        <v>0</v>
      </c>
      <c r="L110">
        <v>0</v>
      </c>
      <c r="M110">
        <f>Titanic_Dataset[[#This Row],[Parch]]+Titanic_Dataset[[#This Row],[SibSp]]</f>
        <v>0</v>
      </c>
      <c r="N110" s="1" t="s">
        <v>252</v>
      </c>
      <c r="O110">
        <v>7.8958000000000004</v>
      </c>
      <c r="P110" t="e">
        <f>IF(Titanic_Dataset[[#This Row],[Survived]]=1,Titanic_Dataset[[#This Row],[Fare]],NA())</f>
        <v>#N/A</v>
      </c>
      <c r="Q110">
        <f>IF(Titanic_Dataset[[#This Row],[Survived]]=0,Titanic_Dataset[[#This Row],[Fare]],NA())</f>
        <v>7.8958000000000004</v>
      </c>
      <c r="R110" t="str">
        <f>VLOOKUP(Titanic_Dataset[[#This Row],[Fare]],Table2[],2,TRUE)</f>
        <v>low</v>
      </c>
      <c r="S110" s="1" t="s">
        <v>15</v>
      </c>
      <c r="T110" s="1" t="s">
        <v>16</v>
      </c>
      <c r="U110" s="1"/>
      <c r="V110" s="1"/>
      <c r="W110" s="1"/>
    </row>
    <row r="111" spans="1:23" x14ac:dyDescent="0.25">
      <c r="A111">
        <v>110</v>
      </c>
      <c r="B111">
        <v>1</v>
      </c>
      <c r="C111" t="str">
        <f>IF(Titanic_Dataset[[#This Row],[Survived]]=1,"Survived","Died")</f>
        <v>Survived</v>
      </c>
      <c r="D111">
        <v>3</v>
      </c>
      <c r="E111" t="str">
        <f>IF(Titanic_Dataset[[#This Row],[Pclass]]=1,"1st",IF(Titanic_Dataset[[#This Row],[Pclass]]=2,"2nd",IF(Titanic_Dataset[[#This Row],[Pclass]]=3,"3rd")))</f>
        <v>3rd</v>
      </c>
      <c r="F111" s="1" t="s">
        <v>253</v>
      </c>
      <c r="G111" s="1" t="str">
        <f>TRIM(MID(Titanic_Dataset[[#This Row],[Name]],
FIND(",",Titanic_Dataset[[#This Row],[Name]])+2,
FIND(".",Titanic_Dataset[[#This Row],[Name]],FIND(",",Titanic_Dataset[[#This Row],[Name]]))-FIND(",",Titanic_Dataset[[#This Row],[Name]])-1))</f>
        <v>Miss.</v>
      </c>
      <c r="H111" s="1" t="s">
        <v>18</v>
      </c>
      <c r="I111">
        <v>28</v>
      </c>
      <c r="J11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11">
        <v>1</v>
      </c>
      <c r="L111">
        <v>0</v>
      </c>
      <c r="M111">
        <f>Titanic_Dataset[[#This Row],[Parch]]+Titanic_Dataset[[#This Row],[SibSp]]</f>
        <v>1</v>
      </c>
      <c r="N111" s="1" t="s">
        <v>254</v>
      </c>
      <c r="O111">
        <v>24.15</v>
      </c>
      <c r="P111">
        <f>IF(Titanic_Dataset[[#This Row],[Survived]]=1,Titanic_Dataset[[#This Row],[Fare]],NA())</f>
        <v>24.15</v>
      </c>
      <c r="Q111" t="e">
        <f>IF(Titanic_Dataset[[#This Row],[Survived]]=0,Titanic_Dataset[[#This Row],[Fare]],NA())</f>
        <v>#N/A</v>
      </c>
      <c r="R111" t="str">
        <f>VLOOKUP(Titanic_Dataset[[#This Row],[Fare]],Table2[],2,TRUE)</f>
        <v>high</v>
      </c>
      <c r="S111" s="1" t="s">
        <v>15</v>
      </c>
      <c r="T111" s="1" t="s">
        <v>31</v>
      </c>
      <c r="U111" s="1"/>
      <c r="V111" s="1"/>
      <c r="W111" s="1"/>
    </row>
    <row r="112" spans="1:23" x14ac:dyDescent="0.25">
      <c r="A112">
        <v>111</v>
      </c>
      <c r="B112">
        <v>0</v>
      </c>
      <c r="C112" t="str">
        <f>IF(Titanic_Dataset[[#This Row],[Survived]]=1,"Survived","Died")</f>
        <v>Died</v>
      </c>
      <c r="D112">
        <v>1</v>
      </c>
      <c r="E112" t="str">
        <f>IF(Titanic_Dataset[[#This Row],[Pclass]]=1,"1st",IF(Titanic_Dataset[[#This Row],[Pclass]]=2,"2nd",IF(Titanic_Dataset[[#This Row],[Pclass]]=3,"3rd")))</f>
        <v>1st</v>
      </c>
      <c r="F112" s="1" t="s">
        <v>255</v>
      </c>
      <c r="G112" s="1" t="str">
        <f>TRIM(MID(Titanic_Dataset[[#This Row],[Name]],
FIND(",",Titanic_Dataset[[#This Row],[Name]])+2,
FIND(".",Titanic_Dataset[[#This Row],[Name]],FIND(",",Titanic_Dataset[[#This Row],[Name]]))-FIND(",",Titanic_Dataset[[#This Row],[Name]])-1))</f>
        <v>Mr.</v>
      </c>
      <c r="H112" s="1" t="s">
        <v>13</v>
      </c>
      <c r="I112">
        <v>47</v>
      </c>
      <c r="J112" t="str">
        <f>IF(Titanic_Dataset[[#This Row],[Age]]&lt;12,"0-11",
IF(Titanic_Dataset[[#This Row],[Age]]&lt;20,"12-19",
IF(Titanic_Dataset[[#This Row],[Age]]&lt;30,"20-29",
IF(Titanic_Dataset[[#This Row],[Age]]&lt;40,"30-39",
IF(Titanic_Dataset[[#This Row],[Age]]&lt;50,"40-49",
IF(Titanic_Dataset[[#This Row],[Age]]&lt;60,"50-59",
IF(Titanic_Dataset[[#This Row],[Age]]&lt;70,"60-69",)))))))</f>
        <v>40-49</v>
      </c>
      <c r="K112">
        <v>0</v>
      </c>
      <c r="L112">
        <v>0</v>
      </c>
      <c r="M112">
        <f>Titanic_Dataset[[#This Row],[Parch]]+Titanic_Dataset[[#This Row],[SibSp]]</f>
        <v>0</v>
      </c>
      <c r="N112" s="1" t="s">
        <v>256</v>
      </c>
      <c r="O112">
        <v>52</v>
      </c>
      <c r="P112" t="e">
        <f>IF(Titanic_Dataset[[#This Row],[Survived]]=1,Titanic_Dataset[[#This Row],[Fare]],NA())</f>
        <v>#N/A</v>
      </c>
      <c r="Q112">
        <f>IF(Titanic_Dataset[[#This Row],[Survived]]=0,Titanic_Dataset[[#This Row],[Fare]],NA())</f>
        <v>52</v>
      </c>
      <c r="R112" t="str">
        <f>VLOOKUP(Titanic_Dataset[[#This Row],[Fare]],Table2[],2,TRUE)</f>
        <v>very hiegh</v>
      </c>
      <c r="S112" s="1" t="s">
        <v>257</v>
      </c>
      <c r="T112" s="1" t="s">
        <v>16</v>
      </c>
      <c r="U112" s="1"/>
      <c r="V112" s="1"/>
      <c r="W112" s="1"/>
    </row>
    <row r="113" spans="1:23" x14ac:dyDescent="0.25">
      <c r="A113">
        <v>112</v>
      </c>
      <c r="B113">
        <v>0</v>
      </c>
      <c r="C113" t="str">
        <f>IF(Titanic_Dataset[[#This Row],[Survived]]=1,"Survived","Died")</f>
        <v>Died</v>
      </c>
      <c r="D113">
        <v>3</v>
      </c>
      <c r="E113" t="str">
        <f>IF(Titanic_Dataset[[#This Row],[Pclass]]=1,"1st",IF(Titanic_Dataset[[#This Row],[Pclass]]=2,"2nd",IF(Titanic_Dataset[[#This Row],[Pclass]]=3,"3rd")))</f>
        <v>3rd</v>
      </c>
      <c r="F113" s="1" t="s">
        <v>258</v>
      </c>
      <c r="G113" s="1" t="str">
        <f>TRIM(MID(Titanic_Dataset[[#This Row],[Name]],
FIND(",",Titanic_Dataset[[#This Row],[Name]])+2,
FIND(".",Titanic_Dataset[[#This Row],[Name]],FIND(",",Titanic_Dataset[[#This Row],[Name]]))-FIND(",",Titanic_Dataset[[#This Row],[Name]])-1))</f>
        <v>Miss.</v>
      </c>
      <c r="H113" s="1" t="s">
        <v>18</v>
      </c>
      <c r="I113">
        <v>14.5</v>
      </c>
      <c r="J113" t="str">
        <f>IF(Titanic_Dataset[[#This Row],[Age]]&lt;12,"0-11",
IF(Titanic_Dataset[[#This Row],[Age]]&lt;20,"12-19",
IF(Titanic_Dataset[[#This Row],[Age]]&lt;30,"20-29",
IF(Titanic_Dataset[[#This Row],[Age]]&lt;40,"30-39",
IF(Titanic_Dataset[[#This Row],[Age]]&lt;50,"40-49",
IF(Titanic_Dataset[[#This Row],[Age]]&lt;60,"50-59",
IF(Titanic_Dataset[[#This Row],[Age]]&lt;70,"60-69",)))))))</f>
        <v>12-19</v>
      </c>
      <c r="K113">
        <v>1</v>
      </c>
      <c r="L113">
        <v>0</v>
      </c>
      <c r="M113">
        <f>Titanic_Dataset[[#This Row],[Parch]]+Titanic_Dataset[[#This Row],[SibSp]]</f>
        <v>1</v>
      </c>
      <c r="N113" s="1" t="s">
        <v>259</v>
      </c>
      <c r="O113">
        <v>14.4542</v>
      </c>
      <c r="P113" t="e">
        <f>IF(Titanic_Dataset[[#This Row],[Survived]]=1,Titanic_Dataset[[#This Row],[Fare]],NA())</f>
        <v>#N/A</v>
      </c>
      <c r="Q113">
        <f>IF(Titanic_Dataset[[#This Row],[Survived]]=0,Titanic_Dataset[[#This Row],[Fare]],NA())</f>
        <v>14.4542</v>
      </c>
      <c r="R113" t="str">
        <f>VLOOKUP(Titanic_Dataset[[#This Row],[Fare]],Table2[],2,TRUE)</f>
        <v>medium</v>
      </c>
      <c r="S113" s="1" t="s">
        <v>15</v>
      </c>
      <c r="T113" s="1" t="s">
        <v>21</v>
      </c>
      <c r="U113" s="1"/>
      <c r="V113" s="1"/>
      <c r="W113" s="1"/>
    </row>
    <row r="114" spans="1:23" x14ac:dyDescent="0.25">
      <c r="A114">
        <v>113</v>
      </c>
      <c r="B114">
        <v>0</v>
      </c>
      <c r="C114" t="str">
        <f>IF(Titanic_Dataset[[#This Row],[Survived]]=1,"Survived","Died")</f>
        <v>Died</v>
      </c>
      <c r="D114">
        <v>3</v>
      </c>
      <c r="E114" t="str">
        <f>IF(Titanic_Dataset[[#This Row],[Pclass]]=1,"1st",IF(Titanic_Dataset[[#This Row],[Pclass]]=2,"2nd",IF(Titanic_Dataset[[#This Row],[Pclass]]=3,"3rd")))</f>
        <v>3rd</v>
      </c>
      <c r="F114" s="1" t="s">
        <v>260</v>
      </c>
      <c r="G114" s="1" t="str">
        <f>TRIM(MID(Titanic_Dataset[[#This Row],[Name]],
FIND(",",Titanic_Dataset[[#This Row],[Name]])+2,
FIND(".",Titanic_Dataset[[#This Row],[Name]],FIND(",",Titanic_Dataset[[#This Row],[Name]]))-FIND(",",Titanic_Dataset[[#This Row],[Name]])-1))</f>
        <v>Mr.</v>
      </c>
      <c r="H114" s="1" t="s">
        <v>13</v>
      </c>
      <c r="I114">
        <v>22</v>
      </c>
      <c r="J11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14">
        <v>0</v>
      </c>
      <c r="L114">
        <v>0</v>
      </c>
      <c r="M114">
        <f>Titanic_Dataset[[#This Row],[Parch]]+Titanic_Dataset[[#This Row],[SibSp]]</f>
        <v>0</v>
      </c>
      <c r="N114" s="1" t="s">
        <v>261</v>
      </c>
      <c r="O114">
        <v>8.0500000000000007</v>
      </c>
      <c r="P114" t="e">
        <f>IF(Titanic_Dataset[[#This Row],[Survived]]=1,Titanic_Dataset[[#This Row],[Fare]],NA())</f>
        <v>#N/A</v>
      </c>
      <c r="Q114">
        <f>IF(Titanic_Dataset[[#This Row],[Survived]]=0,Titanic_Dataset[[#This Row],[Fare]],NA())</f>
        <v>8.0500000000000007</v>
      </c>
      <c r="R114" t="str">
        <f>VLOOKUP(Titanic_Dataset[[#This Row],[Fare]],Table2[],2,TRUE)</f>
        <v>medium</v>
      </c>
      <c r="S114" s="1" t="s">
        <v>15</v>
      </c>
      <c r="T114" s="1" t="s">
        <v>16</v>
      </c>
      <c r="U114" s="1"/>
      <c r="V114" s="1"/>
      <c r="W114" s="1"/>
    </row>
    <row r="115" spans="1:23" x14ac:dyDescent="0.25">
      <c r="A115">
        <v>114</v>
      </c>
      <c r="B115">
        <v>0</v>
      </c>
      <c r="C115" t="str">
        <f>IF(Titanic_Dataset[[#This Row],[Survived]]=1,"Survived","Died")</f>
        <v>Died</v>
      </c>
      <c r="D115">
        <v>3</v>
      </c>
      <c r="E115" t="str">
        <f>IF(Titanic_Dataset[[#This Row],[Pclass]]=1,"1st",IF(Titanic_Dataset[[#This Row],[Pclass]]=2,"2nd",IF(Titanic_Dataset[[#This Row],[Pclass]]=3,"3rd")))</f>
        <v>3rd</v>
      </c>
      <c r="F115" s="1" t="s">
        <v>262</v>
      </c>
      <c r="G115" s="1" t="str">
        <f>TRIM(MID(Titanic_Dataset[[#This Row],[Name]],
FIND(",",Titanic_Dataset[[#This Row],[Name]])+2,
FIND(".",Titanic_Dataset[[#This Row],[Name]],FIND(",",Titanic_Dataset[[#This Row],[Name]]))-FIND(",",Titanic_Dataset[[#This Row],[Name]])-1))</f>
        <v>Miss.</v>
      </c>
      <c r="H115" s="1" t="s">
        <v>18</v>
      </c>
      <c r="I115">
        <v>20</v>
      </c>
      <c r="J11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15">
        <v>1</v>
      </c>
      <c r="L115">
        <v>0</v>
      </c>
      <c r="M115">
        <f>Titanic_Dataset[[#This Row],[Parch]]+Titanic_Dataset[[#This Row],[SibSp]]</f>
        <v>1</v>
      </c>
      <c r="N115" s="1" t="s">
        <v>263</v>
      </c>
      <c r="O115">
        <v>9.8249999999999993</v>
      </c>
      <c r="P115" t="e">
        <f>IF(Titanic_Dataset[[#This Row],[Survived]]=1,Titanic_Dataset[[#This Row],[Fare]],NA())</f>
        <v>#N/A</v>
      </c>
      <c r="Q115">
        <f>IF(Titanic_Dataset[[#This Row],[Survived]]=0,Titanic_Dataset[[#This Row],[Fare]],NA())</f>
        <v>9.8249999999999993</v>
      </c>
      <c r="R115" t="str">
        <f>VLOOKUP(Titanic_Dataset[[#This Row],[Fare]],Table2[],2,TRUE)</f>
        <v>medium</v>
      </c>
      <c r="S115" s="1" t="s">
        <v>15</v>
      </c>
      <c r="T115" s="1" t="s">
        <v>16</v>
      </c>
      <c r="U115" s="1"/>
      <c r="V115" s="1"/>
      <c r="W115" s="1"/>
    </row>
    <row r="116" spans="1:23" x14ac:dyDescent="0.25">
      <c r="A116">
        <v>115</v>
      </c>
      <c r="B116">
        <v>0</v>
      </c>
      <c r="C116" t="str">
        <f>IF(Titanic_Dataset[[#This Row],[Survived]]=1,"Survived","Died")</f>
        <v>Died</v>
      </c>
      <c r="D116">
        <v>3</v>
      </c>
      <c r="E116" t="str">
        <f>IF(Titanic_Dataset[[#This Row],[Pclass]]=1,"1st",IF(Titanic_Dataset[[#This Row],[Pclass]]=2,"2nd",IF(Titanic_Dataset[[#This Row],[Pclass]]=3,"3rd")))</f>
        <v>3rd</v>
      </c>
      <c r="F116" s="1" t="s">
        <v>264</v>
      </c>
      <c r="G116" s="1" t="str">
        <f>TRIM(MID(Titanic_Dataset[[#This Row],[Name]],
FIND(",",Titanic_Dataset[[#This Row],[Name]])+2,
FIND(".",Titanic_Dataset[[#This Row],[Name]],FIND(",",Titanic_Dataset[[#This Row],[Name]]))-FIND(",",Titanic_Dataset[[#This Row],[Name]])-1))</f>
        <v>Miss.</v>
      </c>
      <c r="H116" s="1" t="s">
        <v>18</v>
      </c>
      <c r="I116">
        <v>17</v>
      </c>
      <c r="J116" t="str">
        <f>IF(Titanic_Dataset[[#This Row],[Age]]&lt;12,"0-11",
IF(Titanic_Dataset[[#This Row],[Age]]&lt;20,"12-19",
IF(Titanic_Dataset[[#This Row],[Age]]&lt;30,"20-29",
IF(Titanic_Dataset[[#This Row],[Age]]&lt;40,"30-39",
IF(Titanic_Dataset[[#This Row],[Age]]&lt;50,"40-49",
IF(Titanic_Dataset[[#This Row],[Age]]&lt;60,"50-59",
IF(Titanic_Dataset[[#This Row],[Age]]&lt;70,"60-69",)))))))</f>
        <v>12-19</v>
      </c>
      <c r="K116">
        <v>0</v>
      </c>
      <c r="L116">
        <v>0</v>
      </c>
      <c r="M116">
        <f>Titanic_Dataset[[#This Row],[Parch]]+Titanic_Dataset[[#This Row],[SibSp]]</f>
        <v>0</v>
      </c>
      <c r="N116" s="1" t="s">
        <v>265</v>
      </c>
      <c r="O116">
        <v>14.458299999999999</v>
      </c>
      <c r="P116" t="e">
        <f>IF(Titanic_Dataset[[#This Row],[Survived]]=1,Titanic_Dataset[[#This Row],[Fare]],NA())</f>
        <v>#N/A</v>
      </c>
      <c r="Q116">
        <f>IF(Titanic_Dataset[[#This Row],[Survived]]=0,Titanic_Dataset[[#This Row],[Fare]],NA())</f>
        <v>14.458299999999999</v>
      </c>
      <c r="R116" t="str">
        <f>VLOOKUP(Titanic_Dataset[[#This Row],[Fare]],Table2[],2,TRUE)</f>
        <v>medium</v>
      </c>
      <c r="S116" s="1" t="s">
        <v>15</v>
      </c>
      <c r="T116" s="1" t="s">
        <v>21</v>
      </c>
      <c r="U116" s="1"/>
      <c r="V116" s="1"/>
      <c r="W116" s="1"/>
    </row>
    <row r="117" spans="1:23" x14ac:dyDescent="0.25">
      <c r="A117">
        <v>116</v>
      </c>
      <c r="B117">
        <v>0</v>
      </c>
      <c r="C117" t="str">
        <f>IF(Titanic_Dataset[[#This Row],[Survived]]=1,"Survived","Died")</f>
        <v>Died</v>
      </c>
      <c r="D117">
        <v>3</v>
      </c>
      <c r="E117" t="str">
        <f>IF(Titanic_Dataset[[#This Row],[Pclass]]=1,"1st",IF(Titanic_Dataset[[#This Row],[Pclass]]=2,"2nd",IF(Titanic_Dataset[[#This Row],[Pclass]]=3,"3rd")))</f>
        <v>3rd</v>
      </c>
      <c r="F117" s="1" t="s">
        <v>266</v>
      </c>
      <c r="G117" s="1" t="str">
        <f>TRIM(MID(Titanic_Dataset[[#This Row],[Name]],
FIND(",",Titanic_Dataset[[#This Row],[Name]])+2,
FIND(".",Titanic_Dataset[[#This Row],[Name]],FIND(",",Titanic_Dataset[[#This Row],[Name]]))-FIND(",",Titanic_Dataset[[#This Row],[Name]])-1))</f>
        <v>Mr.</v>
      </c>
      <c r="H117" s="1" t="s">
        <v>13</v>
      </c>
      <c r="I117">
        <v>21</v>
      </c>
      <c r="J11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17">
        <v>0</v>
      </c>
      <c r="L117">
        <v>0</v>
      </c>
      <c r="M117">
        <f>Titanic_Dataset[[#This Row],[Parch]]+Titanic_Dataset[[#This Row],[SibSp]]</f>
        <v>0</v>
      </c>
      <c r="N117" s="1" t="s">
        <v>267</v>
      </c>
      <c r="O117">
        <v>7.9249999999999998</v>
      </c>
      <c r="P117" t="e">
        <f>IF(Titanic_Dataset[[#This Row],[Survived]]=1,Titanic_Dataset[[#This Row],[Fare]],NA())</f>
        <v>#N/A</v>
      </c>
      <c r="Q117">
        <f>IF(Titanic_Dataset[[#This Row],[Survived]]=0,Titanic_Dataset[[#This Row],[Fare]],NA())</f>
        <v>7.9249999999999998</v>
      </c>
      <c r="R117" t="str">
        <f>VLOOKUP(Titanic_Dataset[[#This Row],[Fare]],Table2[],2,TRUE)</f>
        <v>low</v>
      </c>
      <c r="S117" s="1" t="s">
        <v>15</v>
      </c>
      <c r="T117" s="1" t="s">
        <v>16</v>
      </c>
      <c r="U117" s="1"/>
      <c r="V117" s="1"/>
      <c r="W117" s="1"/>
    </row>
    <row r="118" spans="1:23" x14ac:dyDescent="0.25">
      <c r="A118">
        <v>117</v>
      </c>
      <c r="B118">
        <v>0</v>
      </c>
      <c r="C118" t="str">
        <f>IF(Titanic_Dataset[[#This Row],[Survived]]=1,"Survived","Died")</f>
        <v>Died</v>
      </c>
      <c r="D118">
        <v>3</v>
      </c>
      <c r="E118" t="str">
        <f>IF(Titanic_Dataset[[#This Row],[Pclass]]=1,"1st",IF(Titanic_Dataset[[#This Row],[Pclass]]=2,"2nd",IF(Titanic_Dataset[[#This Row],[Pclass]]=3,"3rd")))</f>
        <v>3rd</v>
      </c>
      <c r="F118" s="1" t="s">
        <v>268</v>
      </c>
      <c r="G118" s="1" t="str">
        <f>TRIM(MID(Titanic_Dataset[[#This Row],[Name]],
FIND(",",Titanic_Dataset[[#This Row],[Name]])+2,
FIND(".",Titanic_Dataset[[#This Row],[Name]],FIND(",",Titanic_Dataset[[#This Row],[Name]]))-FIND(",",Titanic_Dataset[[#This Row],[Name]])-1))</f>
        <v>Mr.</v>
      </c>
      <c r="H118" s="1" t="s">
        <v>13</v>
      </c>
      <c r="I118">
        <v>70.5</v>
      </c>
      <c r="J118">
        <f>IF(Titanic_Dataset[[#This Row],[Age]]&lt;12,"0-11",
IF(Titanic_Dataset[[#This Row],[Age]]&lt;20,"12-19",
IF(Titanic_Dataset[[#This Row],[Age]]&lt;30,"20-29",
IF(Titanic_Dataset[[#This Row],[Age]]&lt;40,"30-39",
IF(Titanic_Dataset[[#This Row],[Age]]&lt;50,"40-49",
IF(Titanic_Dataset[[#This Row],[Age]]&lt;60,"50-59",
IF(Titanic_Dataset[[#This Row],[Age]]&lt;70,"60-69",)))))))</f>
        <v>0</v>
      </c>
      <c r="K118">
        <v>0</v>
      </c>
      <c r="L118">
        <v>0</v>
      </c>
      <c r="M118">
        <f>Titanic_Dataset[[#This Row],[Parch]]+Titanic_Dataset[[#This Row],[SibSp]]</f>
        <v>0</v>
      </c>
      <c r="N118" s="1" t="s">
        <v>269</v>
      </c>
      <c r="O118">
        <v>7.75</v>
      </c>
      <c r="P118" t="e">
        <f>IF(Titanic_Dataset[[#This Row],[Survived]]=1,Titanic_Dataset[[#This Row],[Fare]],NA())</f>
        <v>#N/A</v>
      </c>
      <c r="Q118">
        <f>IF(Titanic_Dataset[[#This Row],[Survived]]=0,Titanic_Dataset[[#This Row],[Fare]],NA())</f>
        <v>7.75</v>
      </c>
      <c r="R118" t="str">
        <f>VLOOKUP(Titanic_Dataset[[#This Row],[Fare]],Table2[],2,TRUE)</f>
        <v>low</v>
      </c>
      <c r="S118" s="1" t="s">
        <v>15</v>
      </c>
      <c r="T118" s="1" t="s">
        <v>31</v>
      </c>
      <c r="U118" s="1"/>
      <c r="V118" s="1"/>
      <c r="W118" s="1"/>
    </row>
    <row r="119" spans="1:23" x14ac:dyDescent="0.25">
      <c r="A119">
        <v>118</v>
      </c>
      <c r="B119">
        <v>0</v>
      </c>
      <c r="C119" t="str">
        <f>IF(Titanic_Dataset[[#This Row],[Survived]]=1,"Survived","Died")</f>
        <v>Died</v>
      </c>
      <c r="D119">
        <v>2</v>
      </c>
      <c r="E119" t="str">
        <f>IF(Titanic_Dataset[[#This Row],[Pclass]]=1,"1st",IF(Titanic_Dataset[[#This Row],[Pclass]]=2,"2nd",IF(Titanic_Dataset[[#This Row],[Pclass]]=3,"3rd")))</f>
        <v>2nd</v>
      </c>
      <c r="F119" s="1" t="s">
        <v>270</v>
      </c>
      <c r="G119" s="1" t="str">
        <f>TRIM(MID(Titanic_Dataset[[#This Row],[Name]],
FIND(",",Titanic_Dataset[[#This Row],[Name]])+2,
FIND(".",Titanic_Dataset[[#This Row],[Name]],FIND(",",Titanic_Dataset[[#This Row],[Name]]))-FIND(",",Titanic_Dataset[[#This Row],[Name]])-1))</f>
        <v>Mr.</v>
      </c>
      <c r="H119" s="1" t="s">
        <v>13</v>
      </c>
      <c r="I119">
        <v>29</v>
      </c>
      <c r="J11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19">
        <v>1</v>
      </c>
      <c r="L119">
        <v>0</v>
      </c>
      <c r="M119">
        <f>Titanic_Dataset[[#This Row],[Parch]]+Titanic_Dataset[[#This Row],[SibSp]]</f>
        <v>1</v>
      </c>
      <c r="N119" s="1" t="s">
        <v>109</v>
      </c>
      <c r="O119">
        <v>21</v>
      </c>
      <c r="P119" t="e">
        <f>IF(Titanic_Dataset[[#This Row],[Survived]]=1,Titanic_Dataset[[#This Row],[Fare]],NA())</f>
        <v>#N/A</v>
      </c>
      <c r="Q119">
        <f>IF(Titanic_Dataset[[#This Row],[Survived]]=0,Titanic_Dataset[[#This Row],[Fare]],NA())</f>
        <v>21</v>
      </c>
      <c r="R119" t="str">
        <f>VLOOKUP(Titanic_Dataset[[#This Row],[Fare]],Table2[],2,TRUE)</f>
        <v>high</v>
      </c>
      <c r="S119" s="1" t="s">
        <v>15</v>
      </c>
      <c r="T119" s="1" t="s">
        <v>16</v>
      </c>
      <c r="U119" s="1"/>
      <c r="V119" s="1"/>
      <c r="W119" s="1"/>
    </row>
    <row r="120" spans="1:23" x14ac:dyDescent="0.25">
      <c r="A120">
        <v>119</v>
      </c>
      <c r="B120">
        <v>0</v>
      </c>
      <c r="C120" t="str">
        <f>IF(Titanic_Dataset[[#This Row],[Survived]]=1,"Survived","Died")</f>
        <v>Died</v>
      </c>
      <c r="D120">
        <v>1</v>
      </c>
      <c r="E120" t="str">
        <f>IF(Titanic_Dataset[[#This Row],[Pclass]]=1,"1st",IF(Titanic_Dataset[[#This Row],[Pclass]]=2,"2nd",IF(Titanic_Dataset[[#This Row],[Pclass]]=3,"3rd")))</f>
        <v>1st</v>
      </c>
      <c r="F120" s="1" t="s">
        <v>271</v>
      </c>
      <c r="G120" s="1" t="str">
        <f>TRIM(MID(Titanic_Dataset[[#This Row],[Name]],
FIND(",",Titanic_Dataset[[#This Row],[Name]])+2,
FIND(".",Titanic_Dataset[[#This Row],[Name]],FIND(",",Titanic_Dataset[[#This Row],[Name]]))-FIND(",",Titanic_Dataset[[#This Row],[Name]])-1))</f>
        <v>Mr.</v>
      </c>
      <c r="H120" s="1" t="s">
        <v>13</v>
      </c>
      <c r="I120">
        <v>24</v>
      </c>
      <c r="J12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20">
        <v>0</v>
      </c>
      <c r="L120">
        <v>1</v>
      </c>
      <c r="M120">
        <f>Titanic_Dataset[[#This Row],[Parch]]+Titanic_Dataset[[#This Row],[SibSp]]</f>
        <v>1</v>
      </c>
      <c r="N120" s="1" t="s">
        <v>272</v>
      </c>
      <c r="O120">
        <v>247.52080000000001</v>
      </c>
      <c r="P120" t="e">
        <f>IF(Titanic_Dataset[[#This Row],[Survived]]=1,Titanic_Dataset[[#This Row],[Fare]],NA())</f>
        <v>#N/A</v>
      </c>
      <c r="Q120">
        <f>IF(Titanic_Dataset[[#This Row],[Survived]]=0,Titanic_Dataset[[#This Row],[Fare]],NA())</f>
        <v>247.52080000000001</v>
      </c>
      <c r="R120" t="str">
        <f>VLOOKUP(Titanic_Dataset[[#This Row],[Fare]],Table2[],2,TRUE)</f>
        <v>very hiegh</v>
      </c>
      <c r="S120" s="1" t="s">
        <v>273</v>
      </c>
      <c r="T120" s="1" t="s">
        <v>21</v>
      </c>
      <c r="U120" s="1"/>
      <c r="V120" s="1"/>
      <c r="W120" s="1"/>
    </row>
    <row r="121" spans="1:23" x14ac:dyDescent="0.25">
      <c r="A121">
        <v>120</v>
      </c>
      <c r="B121">
        <v>0</v>
      </c>
      <c r="C121" t="str">
        <f>IF(Titanic_Dataset[[#This Row],[Survived]]=1,"Survived","Died")</f>
        <v>Died</v>
      </c>
      <c r="D121">
        <v>3</v>
      </c>
      <c r="E121" t="str">
        <f>IF(Titanic_Dataset[[#This Row],[Pclass]]=1,"1st",IF(Titanic_Dataset[[#This Row],[Pclass]]=2,"2nd",IF(Titanic_Dataset[[#This Row],[Pclass]]=3,"3rd")))</f>
        <v>3rd</v>
      </c>
      <c r="F121" s="1" t="s">
        <v>274</v>
      </c>
      <c r="G121" s="1" t="str">
        <f>TRIM(MID(Titanic_Dataset[[#This Row],[Name]],
FIND(",",Titanic_Dataset[[#This Row],[Name]])+2,
FIND(".",Titanic_Dataset[[#This Row],[Name]],FIND(",",Titanic_Dataset[[#This Row],[Name]]))-FIND(",",Titanic_Dataset[[#This Row],[Name]])-1))</f>
        <v>Miss.</v>
      </c>
      <c r="H121" s="1" t="s">
        <v>18</v>
      </c>
      <c r="I121">
        <v>2</v>
      </c>
      <c r="J121" t="str">
        <f>IF(Titanic_Dataset[[#This Row],[Age]]&lt;12,"0-11",
IF(Titanic_Dataset[[#This Row],[Age]]&lt;20,"12-19",
IF(Titanic_Dataset[[#This Row],[Age]]&lt;30,"20-29",
IF(Titanic_Dataset[[#This Row],[Age]]&lt;40,"30-39",
IF(Titanic_Dataset[[#This Row],[Age]]&lt;50,"40-49",
IF(Titanic_Dataset[[#This Row],[Age]]&lt;60,"50-59",
IF(Titanic_Dataset[[#This Row],[Age]]&lt;70,"60-69",)))))))</f>
        <v>0-11</v>
      </c>
      <c r="K121">
        <v>4</v>
      </c>
      <c r="L121">
        <v>2</v>
      </c>
      <c r="M121">
        <f>Titanic_Dataset[[#This Row],[Parch]]+Titanic_Dataset[[#This Row],[SibSp]]</f>
        <v>6</v>
      </c>
      <c r="N121" s="1" t="s">
        <v>50</v>
      </c>
      <c r="O121">
        <v>31.274999999999999</v>
      </c>
      <c r="P121" t="e">
        <f>IF(Titanic_Dataset[[#This Row],[Survived]]=1,Titanic_Dataset[[#This Row],[Fare]],NA())</f>
        <v>#N/A</v>
      </c>
      <c r="Q121">
        <f>IF(Titanic_Dataset[[#This Row],[Survived]]=0,Titanic_Dataset[[#This Row],[Fare]],NA())</f>
        <v>31.274999999999999</v>
      </c>
      <c r="R121" t="str">
        <f>VLOOKUP(Titanic_Dataset[[#This Row],[Fare]],Table2[],2,TRUE)</f>
        <v>very hiegh</v>
      </c>
      <c r="S121" s="1" t="s">
        <v>15</v>
      </c>
      <c r="T121" s="1" t="s">
        <v>16</v>
      </c>
      <c r="U121" s="1"/>
      <c r="V121" s="1"/>
      <c r="W121" s="1"/>
    </row>
    <row r="122" spans="1:23" x14ac:dyDescent="0.25">
      <c r="A122">
        <v>121</v>
      </c>
      <c r="B122">
        <v>0</v>
      </c>
      <c r="C122" t="str">
        <f>IF(Titanic_Dataset[[#This Row],[Survived]]=1,"Survived","Died")</f>
        <v>Died</v>
      </c>
      <c r="D122">
        <v>2</v>
      </c>
      <c r="E122" t="str">
        <f>IF(Titanic_Dataset[[#This Row],[Pclass]]=1,"1st",IF(Titanic_Dataset[[#This Row],[Pclass]]=2,"2nd",IF(Titanic_Dataset[[#This Row],[Pclass]]=3,"3rd")))</f>
        <v>2nd</v>
      </c>
      <c r="F122" s="1" t="s">
        <v>275</v>
      </c>
      <c r="G122" s="1" t="str">
        <f>TRIM(MID(Titanic_Dataset[[#This Row],[Name]],
FIND(",",Titanic_Dataset[[#This Row],[Name]])+2,
FIND(".",Titanic_Dataset[[#This Row],[Name]],FIND(",",Titanic_Dataset[[#This Row],[Name]]))-FIND(",",Titanic_Dataset[[#This Row],[Name]])-1))</f>
        <v>Mr.</v>
      </c>
      <c r="H122" s="1" t="s">
        <v>13</v>
      </c>
      <c r="I122">
        <v>21</v>
      </c>
      <c r="J12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22">
        <v>2</v>
      </c>
      <c r="L122">
        <v>0</v>
      </c>
      <c r="M122">
        <f>Titanic_Dataset[[#This Row],[Parch]]+Titanic_Dataset[[#This Row],[SibSp]]</f>
        <v>2</v>
      </c>
      <c r="N122" s="1" t="s">
        <v>176</v>
      </c>
      <c r="O122">
        <v>73.5</v>
      </c>
      <c r="P122" t="e">
        <f>IF(Titanic_Dataset[[#This Row],[Survived]]=1,Titanic_Dataset[[#This Row],[Fare]],NA())</f>
        <v>#N/A</v>
      </c>
      <c r="Q122">
        <f>IF(Titanic_Dataset[[#This Row],[Survived]]=0,Titanic_Dataset[[#This Row],[Fare]],NA())</f>
        <v>73.5</v>
      </c>
      <c r="R122" t="str">
        <f>VLOOKUP(Titanic_Dataset[[#This Row],[Fare]],Table2[],2,TRUE)</f>
        <v>very hiegh</v>
      </c>
      <c r="S122" s="1" t="s">
        <v>15</v>
      </c>
      <c r="T122" s="1" t="s">
        <v>16</v>
      </c>
      <c r="U122" s="1"/>
      <c r="V122" s="1"/>
      <c r="W122" s="1"/>
    </row>
    <row r="123" spans="1:23" x14ac:dyDescent="0.25">
      <c r="A123">
        <v>122</v>
      </c>
      <c r="B123">
        <v>0</v>
      </c>
      <c r="C123" t="str">
        <f>IF(Titanic_Dataset[[#This Row],[Survived]]=1,"Survived","Died")</f>
        <v>Died</v>
      </c>
      <c r="D123">
        <v>3</v>
      </c>
      <c r="E123" t="str">
        <f>IF(Titanic_Dataset[[#This Row],[Pclass]]=1,"1st",IF(Titanic_Dataset[[#This Row],[Pclass]]=2,"2nd",IF(Titanic_Dataset[[#This Row],[Pclass]]=3,"3rd")))</f>
        <v>3rd</v>
      </c>
      <c r="F123" s="1" t="s">
        <v>276</v>
      </c>
      <c r="G123" s="1" t="str">
        <f>TRIM(MID(Titanic_Dataset[[#This Row],[Name]],
FIND(",",Titanic_Dataset[[#This Row],[Name]])+2,
FIND(".",Titanic_Dataset[[#This Row],[Name]],FIND(",",Titanic_Dataset[[#This Row],[Name]]))-FIND(",",Titanic_Dataset[[#This Row],[Name]])-1))</f>
        <v>Mr.</v>
      </c>
      <c r="H123" s="1" t="s">
        <v>13</v>
      </c>
      <c r="I123">
        <v>28</v>
      </c>
      <c r="J12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23">
        <v>0</v>
      </c>
      <c r="L123">
        <v>0</v>
      </c>
      <c r="M123">
        <f>Titanic_Dataset[[#This Row],[Parch]]+Titanic_Dataset[[#This Row],[SibSp]]</f>
        <v>0</v>
      </c>
      <c r="N123" s="1" t="s">
        <v>277</v>
      </c>
      <c r="O123">
        <v>8.0500000000000007</v>
      </c>
      <c r="P123" t="e">
        <f>IF(Titanic_Dataset[[#This Row],[Survived]]=1,Titanic_Dataset[[#This Row],[Fare]],NA())</f>
        <v>#N/A</v>
      </c>
      <c r="Q123">
        <f>IF(Titanic_Dataset[[#This Row],[Survived]]=0,Titanic_Dataset[[#This Row],[Fare]],NA())</f>
        <v>8.0500000000000007</v>
      </c>
      <c r="R123" t="str">
        <f>VLOOKUP(Titanic_Dataset[[#This Row],[Fare]],Table2[],2,TRUE)</f>
        <v>medium</v>
      </c>
      <c r="S123" s="1" t="s">
        <v>15</v>
      </c>
      <c r="T123" s="1" t="s">
        <v>16</v>
      </c>
      <c r="U123" s="1"/>
      <c r="V123" s="1"/>
      <c r="W123" s="1"/>
    </row>
    <row r="124" spans="1:23" x14ac:dyDescent="0.25">
      <c r="A124">
        <v>123</v>
      </c>
      <c r="B124">
        <v>0</v>
      </c>
      <c r="C124" t="str">
        <f>IF(Titanic_Dataset[[#This Row],[Survived]]=1,"Survived","Died")</f>
        <v>Died</v>
      </c>
      <c r="D124">
        <v>2</v>
      </c>
      <c r="E124" t="str">
        <f>IF(Titanic_Dataset[[#This Row],[Pclass]]=1,"1st",IF(Titanic_Dataset[[#This Row],[Pclass]]=2,"2nd",IF(Titanic_Dataset[[#This Row],[Pclass]]=3,"3rd")))</f>
        <v>2nd</v>
      </c>
      <c r="F124" s="1" t="s">
        <v>278</v>
      </c>
      <c r="G124" s="1" t="str">
        <f>TRIM(MID(Titanic_Dataset[[#This Row],[Name]],
FIND(",",Titanic_Dataset[[#This Row],[Name]])+2,
FIND(".",Titanic_Dataset[[#This Row],[Name]],FIND(",",Titanic_Dataset[[#This Row],[Name]]))-FIND(",",Titanic_Dataset[[#This Row],[Name]])-1))</f>
        <v>Mr.</v>
      </c>
      <c r="H124" s="1" t="s">
        <v>13</v>
      </c>
      <c r="I124">
        <v>32.5</v>
      </c>
      <c r="J124" t="str">
        <f>IF(Titanic_Dataset[[#This Row],[Age]]&lt;12,"0-11",
IF(Titanic_Dataset[[#This Row],[Age]]&lt;20,"12-19",
IF(Titanic_Dataset[[#This Row],[Age]]&lt;30,"20-29",
IF(Titanic_Dataset[[#This Row],[Age]]&lt;40,"30-39",
IF(Titanic_Dataset[[#This Row],[Age]]&lt;50,"40-49",
IF(Titanic_Dataset[[#This Row],[Age]]&lt;60,"50-59",
IF(Titanic_Dataset[[#This Row],[Age]]&lt;70,"60-69",)))))))</f>
        <v>30-39</v>
      </c>
      <c r="K124">
        <v>1</v>
      </c>
      <c r="L124">
        <v>0</v>
      </c>
      <c r="M124">
        <f>Titanic_Dataset[[#This Row],[Parch]]+Titanic_Dataset[[#This Row],[SibSp]]</f>
        <v>1</v>
      </c>
      <c r="N124" s="1" t="s">
        <v>40</v>
      </c>
      <c r="O124">
        <v>30.070799999999998</v>
      </c>
      <c r="P124" t="e">
        <f>IF(Titanic_Dataset[[#This Row],[Survived]]=1,Titanic_Dataset[[#This Row],[Fare]],NA())</f>
        <v>#N/A</v>
      </c>
      <c r="Q124">
        <f>IF(Titanic_Dataset[[#This Row],[Survived]]=0,Titanic_Dataset[[#This Row],[Fare]],NA())</f>
        <v>30.070799999999998</v>
      </c>
      <c r="R124" t="str">
        <f>VLOOKUP(Titanic_Dataset[[#This Row],[Fare]],Table2[],2,TRUE)</f>
        <v>very hiegh</v>
      </c>
      <c r="S124" s="1" t="s">
        <v>15</v>
      </c>
      <c r="T124" s="1" t="s">
        <v>21</v>
      </c>
      <c r="U124" s="1"/>
      <c r="V124" s="1"/>
      <c r="W124" s="1"/>
    </row>
    <row r="125" spans="1:23" x14ac:dyDescent="0.25">
      <c r="A125">
        <v>124</v>
      </c>
      <c r="B125">
        <v>1</v>
      </c>
      <c r="C125" t="str">
        <f>IF(Titanic_Dataset[[#This Row],[Survived]]=1,"Survived","Died")</f>
        <v>Survived</v>
      </c>
      <c r="D125">
        <v>2</v>
      </c>
      <c r="E125" t="str">
        <f>IF(Titanic_Dataset[[#This Row],[Pclass]]=1,"1st",IF(Titanic_Dataset[[#This Row],[Pclass]]=2,"2nd",IF(Titanic_Dataset[[#This Row],[Pclass]]=3,"3rd")))</f>
        <v>2nd</v>
      </c>
      <c r="F125" s="1" t="s">
        <v>279</v>
      </c>
      <c r="G125" s="1" t="str">
        <f>TRIM(MID(Titanic_Dataset[[#This Row],[Name]],
FIND(",",Titanic_Dataset[[#This Row],[Name]])+2,
FIND(".",Titanic_Dataset[[#This Row],[Name]],FIND(",",Titanic_Dataset[[#This Row],[Name]]))-FIND(",",Titanic_Dataset[[#This Row],[Name]])-1))</f>
        <v>Miss.</v>
      </c>
      <c r="H125" s="1" t="s">
        <v>18</v>
      </c>
      <c r="I125">
        <v>32.5</v>
      </c>
      <c r="J125" t="str">
        <f>IF(Titanic_Dataset[[#This Row],[Age]]&lt;12,"0-11",
IF(Titanic_Dataset[[#This Row],[Age]]&lt;20,"12-19",
IF(Titanic_Dataset[[#This Row],[Age]]&lt;30,"20-29",
IF(Titanic_Dataset[[#This Row],[Age]]&lt;40,"30-39",
IF(Titanic_Dataset[[#This Row],[Age]]&lt;50,"40-49",
IF(Titanic_Dataset[[#This Row],[Age]]&lt;60,"50-59",
IF(Titanic_Dataset[[#This Row],[Age]]&lt;70,"60-69",)))))))</f>
        <v>30-39</v>
      </c>
      <c r="K125">
        <v>0</v>
      </c>
      <c r="L125">
        <v>0</v>
      </c>
      <c r="M125">
        <f>Titanic_Dataset[[#This Row],[Parch]]+Titanic_Dataset[[#This Row],[SibSp]]</f>
        <v>0</v>
      </c>
      <c r="N125" s="1" t="s">
        <v>280</v>
      </c>
      <c r="O125">
        <v>13</v>
      </c>
      <c r="P125">
        <f>IF(Titanic_Dataset[[#This Row],[Survived]]=1,Titanic_Dataset[[#This Row],[Fare]],NA())</f>
        <v>13</v>
      </c>
      <c r="Q125" t="e">
        <f>IF(Titanic_Dataset[[#This Row],[Survived]]=0,Titanic_Dataset[[#This Row],[Fare]],NA())</f>
        <v>#N/A</v>
      </c>
      <c r="R125" t="str">
        <f>VLOOKUP(Titanic_Dataset[[#This Row],[Fare]],Table2[],2,TRUE)</f>
        <v>medium</v>
      </c>
      <c r="S125" s="1" t="s">
        <v>281</v>
      </c>
      <c r="T125" s="1" t="s">
        <v>16</v>
      </c>
      <c r="U125" s="1"/>
      <c r="V125" s="1"/>
      <c r="W125" s="1"/>
    </row>
    <row r="126" spans="1:23" x14ac:dyDescent="0.25">
      <c r="A126">
        <v>125</v>
      </c>
      <c r="B126">
        <v>0</v>
      </c>
      <c r="C126" t="str">
        <f>IF(Titanic_Dataset[[#This Row],[Survived]]=1,"Survived","Died")</f>
        <v>Died</v>
      </c>
      <c r="D126">
        <v>1</v>
      </c>
      <c r="E126" t="str">
        <f>IF(Titanic_Dataset[[#This Row],[Pclass]]=1,"1st",IF(Titanic_Dataset[[#This Row],[Pclass]]=2,"2nd",IF(Titanic_Dataset[[#This Row],[Pclass]]=3,"3rd")))</f>
        <v>1st</v>
      </c>
      <c r="F126" s="1" t="s">
        <v>282</v>
      </c>
      <c r="G126" s="1" t="str">
        <f>TRIM(MID(Titanic_Dataset[[#This Row],[Name]],
FIND(",",Titanic_Dataset[[#This Row],[Name]])+2,
FIND(".",Titanic_Dataset[[#This Row],[Name]],FIND(",",Titanic_Dataset[[#This Row],[Name]]))-FIND(",",Titanic_Dataset[[#This Row],[Name]])-1))</f>
        <v>Mr.</v>
      </c>
      <c r="H126" s="1" t="s">
        <v>13</v>
      </c>
      <c r="I126">
        <v>54</v>
      </c>
      <c r="J126" t="str">
        <f>IF(Titanic_Dataset[[#This Row],[Age]]&lt;12,"0-11",
IF(Titanic_Dataset[[#This Row],[Age]]&lt;20,"12-19",
IF(Titanic_Dataset[[#This Row],[Age]]&lt;30,"20-29",
IF(Titanic_Dataset[[#This Row],[Age]]&lt;40,"30-39",
IF(Titanic_Dataset[[#This Row],[Age]]&lt;50,"40-49",
IF(Titanic_Dataset[[#This Row],[Age]]&lt;60,"50-59",
IF(Titanic_Dataset[[#This Row],[Age]]&lt;70,"60-69",)))))))</f>
        <v>50-59</v>
      </c>
      <c r="K126">
        <v>0</v>
      </c>
      <c r="L126">
        <v>1</v>
      </c>
      <c r="M126">
        <f>Titanic_Dataset[[#This Row],[Parch]]+Titanic_Dataset[[#This Row],[SibSp]]</f>
        <v>1</v>
      </c>
      <c r="N126" s="1" t="s">
        <v>239</v>
      </c>
      <c r="O126">
        <v>77.287499999999994</v>
      </c>
      <c r="P126" t="e">
        <f>IF(Titanic_Dataset[[#This Row],[Survived]]=1,Titanic_Dataset[[#This Row],[Fare]],NA())</f>
        <v>#N/A</v>
      </c>
      <c r="Q126">
        <f>IF(Titanic_Dataset[[#This Row],[Survived]]=0,Titanic_Dataset[[#This Row],[Fare]],NA())</f>
        <v>77.287499999999994</v>
      </c>
      <c r="R126" t="str">
        <f>VLOOKUP(Titanic_Dataset[[#This Row],[Fare]],Table2[],2,TRUE)</f>
        <v>very hiegh</v>
      </c>
      <c r="S126" s="1" t="s">
        <v>240</v>
      </c>
      <c r="T126" s="1" t="s">
        <v>16</v>
      </c>
      <c r="U126" s="1"/>
      <c r="V126" s="1"/>
      <c r="W126" s="1"/>
    </row>
    <row r="127" spans="1:23" x14ac:dyDescent="0.25">
      <c r="A127">
        <v>126</v>
      </c>
      <c r="B127">
        <v>1</v>
      </c>
      <c r="C127" t="str">
        <f>IF(Titanic_Dataset[[#This Row],[Survived]]=1,"Survived","Died")</f>
        <v>Survived</v>
      </c>
      <c r="D127">
        <v>3</v>
      </c>
      <c r="E127" t="str">
        <f>IF(Titanic_Dataset[[#This Row],[Pclass]]=1,"1st",IF(Titanic_Dataset[[#This Row],[Pclass]]=2,"2nd",IF(Titanic_Dataset[[#This Row],[Pclass]]=3,"3rd")))</f>
        <v>3rd</v>
      </c>
      <c r="F127" s="1" t="s">
        <v>283</v>
      </c>
      <c r="G127" s="1" t="str">
        <f>TRIM(MID(Titanic_Dataset[[#This Row],[Name]],
FIND(",",Titanic_Dataset[[#This Row],[Name]])+2,
FIND(".",Titanic_Dataset[[#This Row],[Name]],FIND(",",Titanic_Dataset[[#This Row],[Name]]))-FIND(",",Titanic_Dataset[[#This Row],[Name]])-1))</f>
        <v>Master.</v>
      </c>
      <c r="H127" s="1" t="s">
        <v>13</v>
      </c>
      <c r="I127">
        <v>12</v>
      </c>
      <c r="J127" t="str">
        <f>IF(Titanic_Dataset[[#This Row],[Age]]&lt;12,"0-11",
IF(Titanic_Dataset[[#This Row],[Age]]&lt;20,"12-19",
IF(Titanic_Dataset[[#This Row],[Age]]&lt;30,"20-29",
IF(Titanic_Dataset[[#This Row],[Age]]&lt;40,"30-39",
IF(Titanic_Dataset[[#This Row],[Age]]&lt;50,"40-49",
IF(Titanic_Dataset[[#This Row],[Age]]&lt;60,"50-59",
IF(Titanic_Dataset[[#This Row],[Age]]&lt;70,"60-69",)))))))</f>
        <v>12-19</v>
      </c>
      <c r="K127">
        <v>1</v>
      </c>
      <c r="L127">
        <v>0</v>
      </c>
      <c r="M127">
        <f>Titanic_Dataset[[#This Row],[Parch]]+Titanic_Dataset[[#This Row],[SibSp]]</f>
        <v>1</v>
      </c>
      <c r="N127" s="1" t="s">
        <v>105</v>
      </c>
      <c r="O127">
        <v>11.2417</v>
      </c>
      <c r="P127">
        <f>IF(Titanic_Dataset[[#This Row],[Survived]]=1,Titanic_Dataset[[#This Row],[Fare]],NA())</f>
        <v>11.2417</v>
      </c>
      <c r="Q127" t="e">
        <f>IF(Titanic_Dataset[[#This Row],[Survived]]=0,Titanic_Dataset[[#This Row],[Fare]],NA())</f>
        <v>#N/A</v>
      </c>
      <c r="R127" t="str">
        <f>VLOOKUP(Titanic_Dataset[[#This Row],[Fare]],Table2[],2,TRUE)</f>
        <v>medium</v>
      </c>
      <c r="S127" s="1" t="s">
        <v>15</v>
      </c>
      <c r="T127" s="1" t="s">
        <v>21</v>
      </c>
      <c r="U127" s="1"/>
      <c r="V127" s="1"/>
      <c r="W127" s="1"/>
    </row>
    <row r="128" spans="1:23" x14ac:dyDescent="0.25">
      <c r="A128">
        <v>127</v>
      </c>
      <c r="B128">
        <v>0</v>
      </c>
      <c r="C128" t="str">
        <f>IF(Titanic_Dataset[[#This Row],[Survived]]=1,"Survived","Died")</f>
        <v>Died</v>
      </c>
      <c r="D128">
        <v>3</v>
      </c>
      <c r="E128" t="str">
        <f>IF(Titanic_Dataset[[#This Row],[Pclass]]=1,"1st",IF(Titanic_Dataset[[#This Row],[Pclass]]=2,"2nd",IF(Titanic_Dataset[[#This Row],[Pclass]]=3,"3rd")))</f>
        <v>3rd</v>
      </c>
      <c r="F128" s="1" t="s">
        <v>284</v>
      </c>
      <c r="G128" s="1" t="str">
        <f>TRIM(MID(Titanic_Dataset[[#This Row],[Name]],
FIND(",",Titanic_Dataset[[#This Row],[Name]])+2,
FIND(".",Titanic_Dataset[[#This Row],[Name]],FIND(",",Titanic_Dataset[[#This Row],[Name]]))-FIND(",",Titanic_Dataset[[#This Row],[Name]])-1))</f>
        <v>Mr.</v>
      </c>
      <c r="H128" s="1" t="s">
        <v>13</v>
      </c>
      <c r="I128">
        <v>28</v>
      </c>
      <c r="J12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28">
        <v>0</v>
      </c>
      <c r="L128">
        <v>0</v>
      </c>
      <c r="M128">
        <f>Titanic_Dataset[[#This Row],[Parch]]+Titanic_Dataset[[#This Row],[SibSp]]</f>
        <v>0</v>
      </c>
      <c r="N128" s="1" t="s">
        <v>285</v>
      </c>
      <c r="O128">
        <v>7.75</v>
      </c>
      <c r="P128" t="e">
        <f>IF(Titanic_Dataset[[#This Row],[Survived]]=1,Titanic_Dataset[[#This Row],[Fare]],NA())</f>
        <v>#N/A</v>
      </c>
      <c r="Q128">
        <f>IF(Titanic_Dataset[[#This Row],[Survived]]=0,Titanic_Dataset[[#This Row],[Fare]],NA())</f>
        <v>7.75</v>
      </c>
      <c r="R128" t="str">
        <f>VLOOKUP(Titanic_Dataset[[#This Row],[Fare]],Table2[],2,TRUE)</f>
        <v>low</v>
      </c>
      <c r="S128" s="1" t="s">
        <v>15</v>
      </c>
      <c r="T128" s="1" t="s">
        <v>31</v>
      </c>
      <c r="U128" s="1"/>
      <c r="V128" s="1"/>
      <c r="W128" s="1"/>
    </row>
    <row r="129" spans="1:23" x14ac:dyDescent="0.25">
      <c r="A129">
        <v>128</v>
      </c>
      <c r="B129">
        <v>1</v>
      </c>
      <c r="C129" t="str">
        <f>IF(Titanic_Dataset[[#This Row],[Survived]]=1,"Survived","Died")</f>
        <v>Survived</v>
      </c>
      <c r="D129">
        <v>3</v>
      </c>
      <c r="E129" t="str">
        <f>IF(Titanic_Dataset[[#This Row],[Pclass]]=1,"1st",IF(Titanic_Dataset[[#This Row],[Pclass]]=2,"2nd",IF(Titanic_Dataset[[#This Row],[Pclass]]=3,"3rd")))</f>
        <v>3rd</v>
      </c>
      <c r="F129" s="1" t="s">
        <v>286</v>
      </c>
      <c r="G129" s="1" t="str">
        <f>TRIM(MID(Titanic_Dataset[[#This Row],[Name]],
FIND(",",Titanic_Dataset[[#This Row],[Name]])+2,
FIND(".",Titanic_Dataset[[#This Row],[Name]],FIND(",",Titanic_Dataset[[#This Row],[Name]]))-FIND(",",Titanic_Dataset[[#This Row],[Name]])-1))</f>
        <v>Mr.</v>
      </c>
      <c r="H129" s="1" t="s">
        <v>13</v>
      </c>
      <c r="I129">
        <v>24</v>
      </c>
      <c r="J12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29">
        <v>0</v>
      </c>
      <c r="L129">
        <v>0</v>
      </c>
      <c r="M129">
        <f>Titanic_Dataset[[#This Row],[Parch]]+Titanic_Dataset[[#This Row],[SibSp]]</f>
        <v>0</v>
      </c>
      <c r="N129" s="1" t="s">
        <v>287</v>
      </c>
      <c r="O129">
        <v>7.1417000000000002</v>
      </c>
      <c r="P129">
        <f>IF(Titanic_Dataset[[#This Row],[Survived]]=1,Titanic_Dataset[[#This Row],[Fare]],NA())</f>
        <v>7.1417000000000002</v>
      </c>
      <c r="Q129" t="e">
        <f>IF(Titanic_Dataset[[#This Row],[Survived]]=0,Titanic_Dataset[[#This Row],[Fare]],NA())</f>
        <v>#N/A</v>
      </c>
      <c r="R129" t="str">
        <f>VLOOKUP(Titanic_Dataset[[#This Row],[Fare]],Table2[],2,TRUE)</f>
        <v>low</v>
      </c>
      <c r="S129" s="1" t="s">
        <v>15</v>
      </c>
      <c r="T129" s="1" t="s">
        <v>16</v>
      </c>
      <c r="U129" s="1"/>
      <c r="V129" s="1"/>
      <c r="W129" s="1"/>
    </row>
    <row r="130" spans="1:23" x14ac:dyDescent="0.25">
      <c r="A130">
        <v>129</v>
      </c>
      <c r="B130">
        <v>1</v>
      </c>
      <c r="C130" t="str">
        <f>IF(Titanic_Dataset[[#This Row],[Survived]]=1,"Survived","Died")</f>
        <v>Survived</v>
      </c>
      <c r="D130">
        <v>3</v>
      </c>
      <c r="E130" t="str">
        <f>IF(Titanic_Dataset[[#This Row],[Pclass]]=1,"1st",IF(Titanic_Dataset[[#This Row],[Pclass]]=2,"2nd",IF(Titanic_Dataset[[#This Row],[Pclass]]=3,"3rd")))</f>
        <v>3rd</v>
      </c>
      <c r="F130" s="1" t="s">
        <v>288</v>
      </c>
      <c r="G130" s="1" t="str">
        <f>TRIM(MID(Titanic_Dataset[[#This Row],[Name]],
FIND(",",Titanic_Dataset[[#This Row],[Name]])+2,
FIND(".",Titanic_Dataset[[#This Row],[Name]],FIND(",",Titanic_Dataset[[#This Row],[Name]]))-FIND(",",Titanic_Dataset[[#This Row],[Name]])-1))</f>
        <v>Miss.</v>
      </c>
      <c r="H130" s="1" t="s">
        <v>18</v>
      </c>
      <c r="I130">
        <v>28</v>
      </c>
      <c r="J13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30">
        <v>1</v>
      </c>
      <c r="L130">
        <v>1</v>
      </c>
      <c r="M130">
        <f>Titanic_Dataset[[#This Row],[Parch]]+Titanic_Dataset[[#This Row],[SibSp]]</f>
        <v>2</v>
      </c>
      <c r="N130" s="1" t="s">
        <v>289</v>
      </c>
      <c r="O130">
        <v>22.3583</v>
      </c>
      <c r="P130">
        <f>IF(Titanic_Dataset[[#This Row],[Survived]]=1,Titanic_Dataset[[#This Row],[Fare]],NA())</f>
        <v>22.3583</v>
      </c>
      <c r="Q130" t="e">
        <f>IF(Titanic_Dataset[[#This Row],[Survived]]=0,Titanic_Dataset[[#This Row],[Fare]],NA())</f>
        <v>#N/A</v>
      </c>
      <c r="R130" t="str">
        <f>VLOOKUP(Titanic_Dataset[[#This Row],[Fare]],Table2[],2,TRUE)</f>
        <v>high</v>
      </c>
      <c r="S130" s="1" t="s">
        <v>290</v>
      </c>
      <c r="T130" s="1" t="s">
        <v>21</v>
      </c>
      <c r="U130" s="1"/>
      <c r="V130" s="1"/>
      <c r="W130" s="1"/>
    </row>
    <row r="131" spans="1:23" x14ac:dyDescent="0.25">
      <c r="A131">
        <v>130</v>
      </c>
      <c r="B131">
        <v>0</v>
      </c>
      <c r="C131" t="str">
        <f>IF(Titanic_Dataset[[#This Row],[Survived]]=1,"Survived","Died")</f>
        <v>Died</v>
      </c>
      <c r="D131">
        <v>3</v>
      </c>
      <c r="E131" t="str">
        <f>IF(Titanic_Dataset[[#This Row],[Pclass]]=1,"1st",IF(Titanic_Dataset[[#This Row],[Pclass]]=2,"2nd",IF(Titanic_Dataset[[#This Row],[Pclass]]=3,"3rd")))</f>
        <v>3rd</v>
      </c>
      <c r="F131" s="1" t="s">
        <v>291</v>
      </c>
      <c r="G131" s="1" t="str">
        <f>TRIM(MID(Titanic_Dataset[[#This Row],[Name]],
FIND(",",Titanic_Dataset[[#This Row],[Name]])+2,
FIND(".",Titanic_Dataset[[#This Row],[Name]],FIND(",",Titanic_Dataset[[#This Row],[Name]]))-FIND(",",Titanic_Dataset[[#This Row],[Name]])-1))</f>
        <v>Mr.</v>
      </c>
      <c r="H131" s="1" t="s">
        <v>13</v>
      </c>
      <c r="I131">
        <v>45</v>
      </c>
      <c r="J131" t="str">
        <f>IF(Titanic_Dataset[[#This Row],[Age]]&lt;12,"0-11",
IF(Titanic_Dataset[[#This Row],[Age]]&lt;20,"12-19",
IF(Titanic_Dataset[[#This Row],[Age]]&lt;30,"20-29",
IF(Titanic_Dataset[[#This Row],[Age]]&lt;40,"30-39",
IF(Titanic_Dataset[[#This Row],[Age]]&lt;50,"40-49",
IF(Titanic_Dataset[[#This Row],[Age]]&lt;60,"50-59",
IF(Titanic_Dataset[[#This Row],[Age]]&lt;70,"60-69",)))))))</f>
        <v>40-49</v>
      </c>
      <c r="K131">
        <v>0</v>
      </c>
      <c r="L131">
        <v>0</v>
      </c>
      <c r="M131">
        <f>Titanic_Dataset[[#This Row],[Parch]]+Titanic_Dataset[[#This Row],[SibSp]]</f>
        <v>0</v>
      </c>
      <c r="N131" s="1" t="s">
        <v>292</v>
      </c>
      <c r="O131">
        <v>6.9749999999999996</v>
      </c>
      <c r="P131" t="e">
        <f>IF(Titanic_Dataset[[#This Row],[Survived]]=1,Titanic_Dataset[[#This Row],[Fare]],NA())</f>
        <v>#N/A</v>
      </c>
      <c r="Q131">
        <f>IF(Titanic_Dataset[[#This Row],[Survived]]=0,Titanic_Dataset[[#This Row],[Fare]],NA())</f>
        <v>6.9749999999999996</v>
      </c>
      <c r="R131" t="str">
        <f>VLOOKUP(Titanic_Dataset[[#This Row],[Fare]],Table2[],2,TRUE)</f>
        <v>low</v>
      </c>
      <c r="S131" s="1" t="s">
        <v>15</v>
      </c>
      <c r="T131" s="1" t="s">
        <v>16</v>
      </c>
      <c r="U131" s="1"/>
      <c r="V131" s="1"/>
      <c r="W131" s="1"/>
    </row>
    <row r="132" spans="1:23" x14ac:dyDescent="0.25">
      <c r="A132">
        <v>131</v>
      </c>
      <c r="B132">
        <v>0</v>
      </c>
      <c r="C132" t="str">
        <f>IF(Titanic_Dataset[[#This Row],[Survived]]=1,"Survived","Died")</f>
        <v>Died</v>
      </c>
      <c r="D132">
        <v>3</v>
      </c>
      <c r="E132" t="str">
        <f>IF(Titanic_Dataset[[#This Row],[Pclass]]=1,"1st",IF(Titanic_Dataset[[#This Row],[Pclass]]=2,"2nd",IF(Titanic_Dataset[[#This Row],[Pclass]]=3,"3rd")))</f>
        <v>3rd</v>
      </c>
      <c r="F132" s="1" t="s">
        <v>293</v>
      </c>
      <c r="G132" s="1" t="str">
        <f>TRIM(MID(Titanic_Dataset[[#This Row],[Name]],
FIND(",",Titanic_Dataset[[#This Row],[Name]])+2,
FIND(".",Titanic_Dataset[[#This Row],[Name]],FIND(",",Titanic_Dataset[[#This Row],[Name]]))-FIND(",",Titanic_Dataset[[#This Row],[Name]])-1))</f>
        <v>Mr.</v>
      </c>
      <c r="H132" s="1" t="s">
        <v>13</v>
      </c>
      <c r="I132">
        <v>33</v>
      </c>
      <c r="J132" t="str">
        <f>IF(Titanic_Dataset[[#This Row],[Age]]&lt;12,"0-11",
IF(Titanic_Dataset[[#This Row],[Age]]&lt;20,"12-19",
IF(Titanic_Dataset[[#This Row],[Age]]&lt;30,"20-29",
IF(Titanic_Dataset[[#This Row],[Age]]&lt;40,"30-39",
IF(Titanic_Dataset[[#This Row],[Age]]&lt;50,"40-49",
IF(Titanic_Dataset[[#This Row],[Age]]&lt;60,"50-59",
IF(Titanic_Dataset[[#This Row],[Age]]&lt;70,"60-69",)))))))</f>
        <v>30-39</v>
      </c>
      <c r="K132">
        <v>0</v>
      </c>
      <c r="L132">
        <v>0</v>
      </c>
      <c r="M132">
        <f>Titanic_Dataset[[#This Row],[Parch]]+Titanic_Dataset[[#This Row],[SibSp]]</f>
        <v>0</v>
      </c>
      <c r="N132" s="1" t="s">
        <v>294</v>
      </c>
      <c r="O132">
        <v>7.8958000000000004</v>
      </c>
      <c r="P132" t="e">
        <f>IF(Titanic_Dataset[[#This Row],[Survived]]=1,Titanic_Dataset[[#This Row],[Fare]],NA())</f>
        <v>#N/A</v>
      </c>
      <c r="Q132">
        <f>IF(Titanic_Dataset[[#This Row],[Survived]]=0,Titanic_Dataset[[#This Row],[Fare]],NA())</f>
        <v>7.8958000000000004</v>
      </c>
      <c r="R132" t="str">
        <f>VLOOKUP(Titanic_Dataset[[#This Row],[Fare]],Table2[],2,TRUE)</f>
        <v>low</v>
      </c>
      <c r="S132" s="1" t="s">
        <v>15</v>
      </c>
      <c r="T132" s="1" t="s">
        <v>21</v>
      </c>
      <c r="U132" s="1"/>
      <c r="V132" s="1"/>
      <c r="W132" s="1"/>
    </row>
    <row r="133" spans="1:23" x14ac:dyDescent="0.25">
      <c r="A133">
        <v>132</v>
      </c>
      <c r="B133">
        <v>0</v>
      </c>
      <c r="C133" t="str">
        <f>IF(Titanic_Dataset[[#This Row],[Survived]]=1,"Survived","Died")</f>
        <v>Died</v>
      </c>
      <c r="D133">
        <v>3</v>
      </c>
      <c r="E133" t="str">
        <f>IF(Titanic_Dataset[[#This Row],[Pclass]]=1,"1st",IF(Titanic_Dataset[[#This Row],[Pclass]]=2,"2nd",IF(Titanic_Dataset[[#This Row],[Pclass]]=3,"3rd")))</f>
        <v>3rd</v>
      </c>
      <c r="F133" s="1" t="s">
        <v>295</v>
      </c>
      <c r="G133" s="1" t="str">
        <f>TRIM(MID(Titanic_Dataset[[#This Row],[Name]],
FIND(",",Titanic_Dataset[[#This Row],[Name]])+2,
FIND(".",Titanic_Dataset[[#This Row],[Name]],FIND(",",Titanic_Dataset[[#This Row],[Name]]))-FIND(",",Titanic_Dataset[[#This Row],[Name]])-1))</f>
        <v>Mr.</v>
      </c>
      <c r="H133" s="1" t="s">
        <v>13</v>
      </c>
      <c r="I133">
        <v>20</v>
      </c>
      <c r="J13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33">
        <v>0</v>
      </c>
      <c r="L133">
        <v>0</v>
      </c>
      <c r="M133">
        <f>Titanic_Dataset[[#This Row],[Parch]]+Titanic_Dataset[[#This Row],[SibSp]]</f>
        <v>0</v>
      </c>
      <c r="N133" s="1" t="s">
        <v>296</v>
      </c>
      <c r="O133">
        <v>7.05</v>
      </c>
      <c r="P133" t="e">
        <f>IF(Titanic_Dataset[[#This Row],[Survived]]=1,Titanic_Dataset[[#This Row],[Fare]],NA())</f>
        <v>#N/A</v>
      </c>
      <c r="Q133">
        <f>IF(Titanic_Dataset[[#This Row],[Survived]]=0,Titanic_Dataset[[#This Row],[Fare]],NA())</f>
        <v>7.05</v>
      </c>
      <c r="R133" t="str">
        <f>VLOOKUP(Titanic_Dataset[[#This Row],[Fare]],Table2[],2,TRUE)</f>
        <v>low</v>
      </c>
      <c r="S133" s="1" t="s">
        <v>15</v>
      </c>
      <c r="T133" s="1" t="s">
        <v>16</v>
      </c>
      <c r="U133" s="1"/>
      <c r="V133" s="1"/>
      <c r="W133" s="1"/>
    </row>
    <row r="134" spans="1:23" x14ac:dyDescent="0.25">
      <c r="A134">
        <v>133</v>
      </c>
      <c r="B134">
        <v>0</v>
      </c>
      <c r="C134" t="str">
        <f>IF(Titanic_Dataset[[#This Row],[Survived]]=1,"Survived","Died")</f>
        <v>Died</v>
      </c>
      <c r="D134">
        <v>3</v>
      </c>
      <c r="E134" t="str">
        <f>IF(Titanic_Dataset[[#This Row],[Pclass]]=1,"1st",IF(Titanic_Dataset[[#This Row],[Pclass]]=2,"2nd",IF(Titanic_Dataset[[#This Row],[Pclass]]=3,"3rd")))</f>
        <v>3rd</v>
      </c>
      <c r="F134" s="1" t="s">
        <v>297</v>
      </c>
      <c r="G134" s="1" t="str">
        <f>TRIM(MID(Titanic_Dataset[[#This Row],[Name]],
FIND(",",Titanic_Dataset[[#This Row],[Name]])+2,
FIND(".",Titanic_Dataset[[#This Row],[Name]],FIND(",",Titanic_Dataset[[#This Row],[Name]]))-FIND(",",Titanic_Dataset[[#This Row],[Name]])-1))</f>
        <v>Mrs.</v>
      </c>
      <c r="H134" s="1" t="s">
        <v>18</v>
      </c>
      <c r="I134">
        <v>47</v>
      </c>
      <c r="J134" t="str">
        <f>IF(Titanic_Dataset[[#This Row],[Age]]&lt;12,"0-11",
IF(Titanic_Dataset[[#This Row],[Age]]&lt;20,"12-19",
IF(Titanic_Dataset[[#This Row],[Age]]&lt;30,"20-29",
IF(Titanic_Dataset[[#This Row],[Age]]&lt;40,"30-39",
IF(Titanic_Dataset[[#This Row],[Age]]&lt;50,"40-49",
IF(Titanic_Dataset[[#This Row],[Age]]&lt;60,"50-59",
IF(Titanic_Dataset[[#This Row],[Age]]&lt;70,"60-69",)))))))</f>
        <v>40-49</v>
      </c>
      <c r="K134">
        <v>1</v>
      </c>
      <c r="L134">
        <v>0</v>
      </c>
      <c r="M134">
        <f>Titanic_Dataset[[#This Row],[Parch]]+Titanic_Dataset[[#This Row],[SibSp]]</f>
        <v>1</v>
      </c>
      <c r="N134" s="1" t="s">
        <v>298</v>
      </c>
      <c r="O134">
        <v>14.5</v>
      </c>
      <c r="P134" t="e">
        <f>IF(Titanic_Dataset[[#This Row],[Survived]]=1,Titanic_Dataset[[#This Row],[Fare]],NA())</f>
        <v>#N/A</v>
      </c>
      <c r="Q134">
        <f>IF(Titanic_Dataset[[#This Row],[Survived]]=0,Titanic_Dataset[[#This Row],[Fare]],NA())</f>
        <v>14.5</v>
      </c>
      <c r="R134" t="str">
        <f>VLOOKUP(Titanic_Dataset[[#This Row],[Fare]],Table2[],2,TRUE)</f>
        <v>medium</v>
      </c>
      <c r="S134" s="1" t="s">
        <v>15</v>
      </c>
      <c r="T134" s="1" t="s">
        <v>16</v>
      </c>
      <c r="U134" s="1"/>
      <c r="V134" s="1"/>
      <c r="W134" s="1"/>
    </row>
    <row r="135" spans="1:23" x14ac:dyDescent="0.25">
      <c r="A135">
        <v>134</v>
      </c>
      <c r="B135">
        <v>1</v>
      </c>
      <c r="C135" t="str">
        <f>IF(Titanic_Dataset[[#This Row],[Survived]]=1,"Survived","Died")</f>
        <v>Survived</v>
      </c>
      <c r="D135">
        <v>2</v>
      </c>
      <c r="E135" t="str">
        <f>IF(Titanic_Dataset[[#This Row],[Pclass]]=1,"1st",IF(Titanic_Dataset[[#This Row],[Pclass]]=2,"2nd",IF(Titanic_Dataset[[#This Row],[Pclass]]=3,"3rd")))</f>
        <v>2nd</v>
      </c>
      <c r="F135" s="1" t="s">
        <v>299</v>
      </c>
      <c r="G135" s="1" t="str">
        <f>TRIM(MID(Titanic_Dataset[[#This Row],[Name]],
FIND(",",Titanic_Dataset[[#This Row],[Name]])+2,
FIND(".",Titanic_Dataset[[#This Row],[Name]],FIND(",",Titanic_Dataset[[#This Row],[Name]]))-FIND(",",Titanic_Dataset[[#This Row],[Name]])-1))</f>
        <v>Mrs.</v>
      </c>
      <c r="H135" s="1" t="s">
        <v>18</v>
      </c>
      <c r="I135">
        <v>29</v>
      </c>
      <c r="J13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35">
        <v>1</v>
      </c>
      <c r="L135">
        <v>0</v>
      </c>
      <c r="M135">
        <f>Titanic_Dataset[[#This Row],[Parch]]+Titanic_Dataset[[#This Row],[SibSp]]</f>
        <v>1</v>
      </c>
      <c r="N135" s="1" t="s">
        <v>300</v>
      </c>
      <c r="O135">
        <v>26</v>
      </c>
      <c r="P135">
        <f>IF(Titanic_Dataset[[#This Row],[Survived]]=1,Titanic_Dataset[[#This Row],[Fare]],NA())</f>
        <v>26</v>
      </c>
      <c r="Q135" t="e">
        <f>IF(Titanic_Dataset[[#This Row],[Survived]]=0,Titanic_Dataset[[#This Row],[Fare]],NA())</f>
        <v>#N/A</v>
      </c>
      <c r="R135" t="str">
        <f>VLOOKUP(Titanic_Dataset[[#This Row],[Fare]],Table2[],2,TRUE)</f>
        <v>high</v>
      </c>
      <c r="S135" s="1" t="s">
        <v>15</v>
      </c>
      <c r="T135" s="1" t="s">
        <v>16</v>
      </c>
      <c r="U135" s="1"/>
      <c r="V135" s="1"/>
      <c r="W135" s="1"/>
    </row>
    <row r="136" spans="1:23" x14ac:dyDescent="0.25">
      <c r="A136">
        <v>135</v>
      </c>
      <c r="B136">
        <v>0</v>
      </c>
      <c r="C136" t="str">
        <f>IF(Titanic_Dataset[[#This Row],[Survived]]=1,"Survived","Died")</f>
        <v>Died</v>
      </c>
      <c r="D136">
        <v>2</v>
      </c>
      <c r="E136" t="str">
        <f>IF(Titanic_Dataset[[#This Row],[Pclass]]=1,"1st",IF(Titanic_Dataset[[#This Row],[Pclass]]=2,"2nd",IF(Titanic_Dataset[[#This Row],[Pclass]]=3,"3rd")))</f>
        <v>2nd</v>
      </c>
      <c r="F136" s="1" t="s">
        <v>301</v>
      </c>
      <c r="G136" s="1" t="str">
        <f>TRIM(MID(Titanic_Dataset[[#This Row],[Name]],
FIND(",",Titanic_Dataset[[#This Row],[Name]])+2,
FIND(".",Titanic_Dataset[[#This Row],[Name]],FIND(",",Titanic_Dataset[[#This Row],[Name]]))-FIND(",",Titanic_Dataset[[#This Row],[Name]])-1))</f>
        <v>Mr.</v>
      </c>
      <c r="H136" s="1" t="s">
        <v>13</v>
      </c>
      <c r="I136">
        <v>25</v>
      </c>
      <c r="J13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36">
        <v>0</v>
      </c>
      <c r="L136">
        <v>0</v>
      </c>
      <c r="M136">
        <f>Titanic_Dataset[[#This Row],[Parch]]+Titanic_Dataset[[#This Row],[SibSp]]</f>
        <v>0</v>
      </c>
      <c r="N136" s="1" t="s">
        <v>302</v>
      </c>
      <c r="O136">
        <v>13</v>
      </c>
      <c r="P136" t="e">
        <f>IF(Titanic_Dataset[[#This Row],[Survived]]=1,Titanic_Dataset[[#This Row],[Fare]],NA())</f>
        <v>#N/A</v>
      </c>
      <c r="Q136">
        <f>IF(Titanic_Dataset[[#This Row],[Survived]]=0,Titanic_Dataset[[#This Row],[Fare]],NA())</f>
        <v>13</v>
      </c>
      <c r="R136" t="str">
        <f>VLOOKUP(Titanic_Dataset[[#This Row],[Fare]],Table2[],2,TRUE)</f>
        <v>medium</v>
      </c>
      <c r="S136" s="1" t="s">
        <v>15</v>
      </c>
      <c r="T136" s="1" t="s">
        <v>16</v>
      </c>
      <c r="U136" s="1"/>
      <c r="V136" s="1"/>
      <c r="W136" s="1"/>
    </row>
    <row r="137" spans="1:23" x14ac:dyDescent="0.25">
      <c r="A137">
        <v>136</v>
      </c>
      <c r="B137">
        <v>0</v>
      </c>
      <c r="C137" t="str">
        <f>IF(Titanic_Dataset[[#This Row],[Survived]]=1,"Survived","Died")</f>
        <v>Died</v>
      </c>
      <c r="D137">
        <v>2</v>
      </c>
      <c r="E137" t="str">
        <f>IF(Titanic_Dataset[[#This Row],[Pclass]]=1,"1st",IF(Titanic_Dataset[[#This Row],[Pclass]]=2,"2nd",IF(Titanic_Dataset[[#This Row],[Pclass]]=3,"3rd")))</f>
        <v>2nd</v>
      </c>
      <c r="F137" s="1" t="s">
        <v>303</v>
      </c>
      <c r="G137" s="1" t="str">
        <f>TRIM(MID(Titanic_Dataset[[#This Row],[Name]],
FIND(",",Titanic_Dataset[[#This Row],[Name]])+2,
FIND(".",Titanic_Dataset[[#This Row],[Name]],FIND(",",Titanic_Dataset[[#This Row],[Name]]))-FIND(",",Titanic_Dataset[[#This Row],[Name]])-1))</f>
        <v>Mr.</v>
      </c>
      <c r="H137" s="1" t="s">
        <v>13</v>
      </c>
      <c r="I137">
        <v>23</v>
      </c>
      <c r="J13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37">
        <v>0</v>
      </c>
      <c r="L137">
        <v>0</v>
      </c>
      <c r="M137">
        <f>Titanic_Dataset[[#This Row],[Parch]]+Titanic_Dataset[[#This Row],[SibSp]]</f>
        <v>0</v>
      </c>
      <c r="N137" s="1" t="s">
        <v>304</v>
      </c>
      <c r="O137">
        <v>15.0458</v>
      </c>
      <c r="P137" t="e">
        <f>IF(Titanic_Dataset[[#This Row],[Survived]]=1,Titanic_Dataset[[#This Row],[Fare]],NA())</f>
        <v>#N/A</v>
      </c>
      <c r="Q137">
        <f>IF(Titanic_Dataset[[#This Row],[Survived]]=0,Titanic_Dataset[[#This Row],[Fare]],NA())</f>
        <v>15.0458</v>
      </c>
      <c r="R137" t="str">
        <f>VLOOKUP(Titanic_Dataset[[#This Row],[Fare]],Table2[],2,TRUE)</f>
        <v>high</v>
      </c>
      <c r="S137" s="1" t="s">
        <v>15</v>
      </c>
      <c r="T137" s="1" t="s">
        <v>21</v>
      </c>
      <c r="U137" s="1"/>
      <c r="V137" s="1"/>
      <c r="W137" s="1"/>
    </row>
    <row r="138" spans="1:23" x14ac:dyDescent="0.25">
      <c r="A138">
        <v>137</v>
      </c>
      <c r="B138">
        <v>1</v>
      </c>
      <c r="C138" t="str">
        <f>IF(Titanic_Dataset[[#This Row],[Survived]]=1,"Survived","Died")</f>
        <v>Survived</v>
      </c>
      <c r="D138">
        <v>1</v>
      </c>
      <c r="E138" t="str">
        <f>IF(Titanic_Dataset[[#This Row],[Pclass]]=1,"1st",IF(Titanic_Dataset[[#This Row],[Pclass]]=2,"2nd",IF(Titanic_Dataset[[#This Row],[Pclass]]=3,"3rd")))</f>
        <v>1st</v>
      </c>
      <c r="F138" s="1" t="s">
        <v>305</v>
      </c>
      <c r="G138" s="1" t="str">
        <f>TRIM(MID(Titanic_Dataset[[#This Row],[Name]],
FIND(",",Titanic_Dataset[[#This Row],[Name]])+2,
FIND(".",Titanic_Dataset[[#This Row],[Name]],FIND(",",Titanic_Dataset[[#This Row],[Name]]))-FIND(",",Titanic_Dataset[[#This Row],[Name]])-1))</f>
        <v>Miss.</v>
      </c>
      <c r="H138" s="1" t="s">
        <v>18</v>
      </c>
      <c r="I138">
        <v>19</v>
      </c>
      <c r="J138" t="str">
        <f>IF(Titanic_Dataset[[#This Row],[Age]]&lt;12,"0-11",
IF(Titanic_Dataset[[#This Row],[Age]]&lt;20,"12-19",
IF(Titanic_Dataset[[#This Row],[Age]]&lt;30,"20-29",
IF(Titanic_Dataset[[#This Row],[Age]]&lt;40,"30-39",
IF(Titanic_Dataset[[#This Row],[Age]]&lt;50,"40-49",
IF(Titanic_Dataset[[#This Row],[Age]]&lt;60,"50-59",
IF(Titanic_Dataset[[#This Row],[Age]]&lt;70,"60-69",)))))))</f>
        <v>12-19</v>
      </c>
      <c r="K138">
        <v>0</v>
      </c>
      <c r="L138">
        <v>2</v>
      </c>
      <c r="M138">
        <f>Titanic_Dataset[[#This Row],[Parch]]+Titanic_Dataset[[#This Row],[SibSp]]</f>
        <v>2</v>
      </c>
      <c r="N138" s="1" t="s">
        <v>306</v>
      </c>
      <c r="O138">
        <v>26.283300000000001</v>
      </c>
      <c r="P138">
        <f>IF(Titanic_Dataset[[#This Row],[Survived]]=1,Titanic_Dataset[[#This Row],[Fare]],NA())</f>
        <v>26.283300000000001</v>
      </c>
      <c r="Q138" t="e">
        <f>IF(Titanic_Dataset[[#This Row],[Survived]]=0,Titanic_Dataset[[#This Row],[Fare]],NA())</f>
        <v>#N/A</v>
      </c>
      <c r="R138" t="str">
        <f>VLOOKUP(Titanic_Dataset[[#This Row],[Fare]],Table2[],2,TRUE)</f>
        <v>high</v>
      </c>
      <c r="S138" s="1" t="s">
        <v>307</v>
      </c>
      <c r="T138" s="1" t="s">
        <v>16</v>
      </c>
      <c r="U138" s="1"/>
      <c r="V138" s="1"/>
      <c r="W138" s="1"/>
    </row>
    <row r="139" spans="1:23" x14ac:dyDescent="0.25">
      <c r="A139">
        <v>138</v>
      </c>
      <c r="B139">
        <v>0</v>
      </c>
      <c r="C139" t="str">
        <f>IF(Titanic_Dataset[[#This Row],[Survived]]=1,"Survived","Died")</f>
        <v>Died</v>
      </c>
      <c r="D139">
        <v>1</v>
      </c>
      <c r="E139" t="str">
        <f>IF(Titanic_Dataset[[#This Row],[Pclass]]=1,"1st",IF(Titanic_Dataset[[#This Row],[Pclass]]=2,"2nd",IF(Titanic_Dataset[[#This Row],[Pclass]]=3,"3rd")))</f>
        <v>1st</v>
      </c>
      <c r="F139" s="1" t="s">
        <v>308</v>
      </c>
      <c r="G139" s="1" t="str">
        <f>TRIM(MID(Titanic_Dataset[[#This Row],[Name]],
FIND(",",Titanic_Dataset[[#This Row],[Name]])+2,
FIND(".",Titanic_Dataset[[#This Row],[Name]],FIND(",",Titanic_Dataset[[#This Row],[Name]]))-FIND(",",Titanic_Dataset[[#This Row],[Name]])-1))</f>
        <v>Mr.</v>
      </c>
      <c r="H139" s="1" t="s">
        <v>13</v>
      </c>
      <c r="I139">
        <v>37</v>
      </c>
      <c r="J139" t="str">
        <f>IF(Titanic_Dataset[[#This Row],[Age]]&lt;12,"0-11",
IF(Titanic_Dataset[[#This Row],[Age]]&lt;20,"12-19",
IF(Titanic_Dataset[[#This Row],[Age]]&lt;30,"20-29",
IF(Titanic_Dataset[[#This Row],[Age]]&lt;40,"30-39",
IF(Titanic_Dataset[[#This Row],[Age]]&lt;50,"40-49",
IF(Titanic_Dataset[[#This Row],[Age]]&lt;60,"50-59",
IF(Titanic_Dataset[[#This Row],[Age]]&lt;70,"60-69",)))))))</f>
        <v>30-39</v>
      </c>
      <c r="K139">
        <v>1</v>
      </c>
      <c r="L139">
        <v>0</v>
      </c>
      <c r="M139">
        <f>Titanic_Dataset[[#This Row],[Parch]]+Titanic_Dataset[[#This Row],[SibSp]]</f>
        <v>1</v>
      </c>
      <c r="N139" s="1" t="s">
        <v>25</v>
      </c>
      <c r="O139">
        <v>53.1</v>
      </c>
      <c r="P139" t="e">
        <f>IF(Titanic_Dataset[[#This Row],[Survived]]=1,Titanic_Dataset[[#This Row],[Fare]],NA())</f>
        <v>#N/A</v>
      </c>
      <c r="Q139">
        <f>IF(Titanic_Dataset[[#This Row],[Survived]]=0,Titanic_Dataset[[#This Row],[Fare]],NA())</f>
        <v>53.1</v>
      </c>
      <c r="R139" t="str">
        <f>VLOOKUP(Titanic_Dataset[[#This Row],[Fare]],Table2[],2,TRUE)</f>
        <v>very hiegh</v>
      </c>
      <c r="S139" s="1" t="s">
        <v>26</v>
      </c>
      <c r="T139" s="1" t="s">
        <v>16</v>
      </c>
      <c r="U139" s="1"/>
      <c r="V139" s="1"/>
      <c r="W139" s="1"/>
    </row>
    <row r="140" spans="1:23" x14ac:dyDescent="0.25">
      <c r="A140">
        <v>139</v>
      </c>
      <c r="B140">
        <v>0</v>
      </c>
      <c r="C140" t="str">
        <f>IF(Titanic_Dataset[[#This Row],[Survived]]=1,"Survived","Died")</f>
        <v>Died</v>
      </c>
      <c r="D140">
        <v>3</v>
      </c>
      <c r="E140" t="str">
        <f>IF(Titanic_Dataset[[#This Row],[Pclass]]=1,"1st",IF(Titanic_Dataset[[#This Row],[Pclass]]=2,"2nd",IF(Titanic_Dataset[[#This Row],[Pclass]]=3,"3rd")))</f>
        <v>3rd</v>
      </c>
      <c r="F140" s="1" t="s">
        <v>309</v>
      </c>
      <c r="G140" s="1" t="str">
        <f>TRIM(MID(Titanic_Dataset[[#This Row],[Name]],
FIND(",",Titanic_Dataset[[#This Row],[Name]])+2,
FIND(".",Titanic_Dataset[[#This Row],[Name]],FIND(",",Titanic_Dataset[[#This Row],[Name]]))-FIND(",",Titanic_Dataset[[#This Row],[Name]])-1))</f>
        <v>Mr.</v>
      </c>
      <c r="H140" s="1" t="s">
        <v>13</v>
      </c>
      <c r="I140">
        <v>16</v>
      </c>
      <c r="J140" t="str">
        <f>IF(Titanic_Dataset[[#This Row],[Age]]&lt;12,"0-11",
IF(Titanic_Dataset[[#This Row],[Age]]&lt;20,"12-19",
IF(Titanic_Dataset[[#This Row],[Age]]&lt;30,"20-29",
IF(Titanic_Dataset[[#This Row],[Age]]&lt;40,"30-39",
IF(Titanic_Dataset[[#This Row],[Age]]&lt;50,"40-49",
IF(Titanic_Dataset[[#This Row],[Age]]&lt;60,"50-59",
IF(Titanic_Dataset[[#This Row],[Age]]&lt;70,"60-69",)))))))</f>
        <v>12-19</v>
      </c>
      <c r="K140">
        <v>0</v>
      </c>
      <c r="L140">
        <v>0</v>
      </c>
      <c r="M140">
        <f>Titanic_Dataset[[#This Row],[Parch]]+Titanic_Dataset[[#This Row],[SibSp]]</f>
        <v>0</v>
      </c>
      <c r="N140" s="1" t="s">
        <v>310</v>
      </c>
      <c r="O140">
        <v>9.2166999999999994</v>
      </c>
      <c r="P140" t="e">
        <f>IF(Titanic_Dataset[[#This Row],[Survived]]=1,Titanic_Dataset[[#This Row],[Fare]],NA())</f>
        <v>#N/A</v>
      </c>
      <c r="Q140">
        <f>IF(Titanic_Dataset[[#This Row],[Survived]]=0,Titanic_Dataset[[#This Row],[Fare]],NA())</f>
        <v>9.2166999999999994</v>
      </c>
      <c r="R140" t="str">
        <f>VLOOKUP(Titanic_Dataset[[#This Row],[Fare]],Table2[],2,TRUE)</f>
        <v>medium</v>
      </c>
      <c r="S140" s="1" t="s">
        <v>15</v>
      </c>
      <c r="T140" s="1" t="s">
        <v>16</v>
      </c>
      <c r="U140" s="1"/>
      <c r="V140" s="1"/>
      <c r="W140" s="1"/>
    </row>
    <row r="141" spans="1:23" x14ac:dyDescent="0.25">
      <c r="A141">
        <v>140</v>
      </c>
      <c r="B141">
        <v>0</v>
      </c>
      <c r="C141" t="str">
        <f>IF(Titanic_Dataset[[#This Row],[Survived]]=1,"Survived","Died")</f>
        <v>Died</v>
      </c>
      <c r="D141">
        <v>1</v>
      </c>
      <c r="E141" t="str">
        <f>IF(Titanic_Dataset[[#This Row],[Pclass]]=1,"1st",IF(Titanic_Dataset[[#This Row],[Pclass]]=2,"2nd",IF(Titanic_Dataset[[#This Row],[Pclass]]=3,"3rd")))</f>
        <v>1st</v>
      </c>
      <c r="F141" s="1" t="s">
        <v>311</v>
      </c>
      <c r="G141" s="1" t="str">
        <f>TRIM(MID(Titanic_Dataset[[#This Row],[Name]],
FIND(",",Titanic_Dataset[[#This Row],[Name]])+2,
FIND(".",Titanic_Dataset[[#This Row],[Name]],FIND(",",Titanic_Dataset[[#This Row],[Name]]))-FIND(",",Titanic_Dataset[[#This Row],[Name]])-1))</f>
        <v>Mr.</v>
      </c>
      <c r="H141" s="1" t="s">
        <v>13</v>
      </c>
      <c r="I141">
        <v>24</v>
      </c>
      <c r="J14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41">
        <v>0</v>
      </c>
      <c r="L141">
        <v>0</v>
      </c>
      <c r="M141">
        <f>Titanic_Dataset[[#This Row],[Parch]]+Titanic_Dataset[[#This Row],[SibSp]]</f>
        <v>0</v>
      </c>
      <c r="N141" s="1" t="s">
        <v>312</v>
      </c>
      <c r="O141">
        <v>79.2</v>
      </c>
      <c r="P141" t="e">
        <f>IF(Titanic_Dataset[[#This Row],[Survived]]=1,Titanic_Dataset[[#This Row],[Fare]],NA())</f>
        <v>#N/A</v>
      </c>
      <c r="Q141">
        <f>IF(Titanic_Dataset[[#This Row],[Survived]]=0,Titanic_Dataset[[#This Row],[Fare]],NA())</f>
        <v>79.2</v>
      </c>
      <c r="R141" t="str">
        <f>VLOOKUP(Titanic_Dataset[[#This Row],[Fare]],Table2[],2,TRUE)</f>
        <v>very hiegh</v>
      </c>
      <c r="S141" s="1" t="s">
        <v>313</v>
      </c>
      <c r="T141" s="1" t="s">
        <v>21</v>
      </c>
      <c r="U141" s="1"/>
      <c r="V141" s="1"/>
      <c r="W141" s="1"/>
    </row>
    <row r="142" spans="1:23" x14ac:dyDescent="0.25">
      <c r="A142">
        <v>141</v>
      </c>
      <c r="B142">
        <v>0</v>
      </c>
      <c r="C142" t="str">
        <f>IF(Titanic_Dataset[[#This Row],[Survived]]=1,"Survived","Died")</f>
        <v>Died</v>
      </c>
      <c r="D142">
        <v>3</v>
      </c>
      <c r="E142" t="str">
        <f>IF(Titanic_Dataset[[#This Row],[Pclass]]=1,"1st",IF(Titanic_Dataset[[#This Row],[Pclass]]=2,"2nd",IF(Titanic_Dataset[[#This Row],[Pclass]]=3,"3rd")))</f>
        <v>3rd</v>
      </c>
      <c r="F142" s="1" t="s">
        <v>314</v>
      </c>
      <c r="G142" s="1" t="str">
        <f>TRIM(MID(Titanic_Dataset[[#This Row],[Name]],
FIND(",",Titanic_Dataset[[#This Row],[Name]])+2,
FIND(".",Titanic_Dataset[[#This Row],[Name]],FIND(",",Titanic_Dataset[[#This Row],[Name]]))-FIND(",",Titanic_Dataset[[#This Row],[Name]])-1))</f>
        <v>Mrs.</v>
      </c>
      <c r="H142" s="1" t="s">
        <v>18</v>
      </c>
      <c r="I142">
        <v>28</v>
      </c>
      <c r="J14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42">
        <v>0</v>
      </c>
      <c r="L142">
        <v>2</v>
      </c>
      <c r="M142">
        <f>Titanic_Dataset[[#This Row],[Parch]]+Titanic_Dataset[[#This Row],[SibSp]]</f>
        <v>2</v>
      </c>
      <c r="N142" s="1" t="s">
        <v>315</v>
      </c>
      <c r="O142">
        <v>15.245799999999999</v>
      </c>
      <c r="P142" t="e">
        <f>IF(Titanic_Dataset[[#This Row],[Survived]]=1,Titanic_Dataset[[#This Row],[Fare]],NA())</f>
        <v>#N/A</v>
      </c>
      <c r="Q142">
        <f>IF(Titanic_Dataset[[#This Row],[Survived]]=0,Titanic_Dataset[[#This Row],[Fare]],NA())</f>
        <v>15.245799999999999</v>
      </c>
      <c r="R142" t="str">
        <f>VLOOKUP(Titanic_Dataset[[#This Row],[Fare]],Table2[],2,TRUE)</f>
        <v>high</v>
      </c>
      <c r="S142" s="1" t="s">
        <v>15</v>
      </c>
      <c r="T142" s="1" t="s">
        <v>21</v>
      </c>
      <c r="U142" s="1"/>
      <c r="V142" s="1"/>
      <c r="W142" s="1"/>
    </row>
    <row r="143" spans="1:23" x14ac:dyDescent="0.25">
      <c r="A143">
        <v>142</v>
      </c>
      <c r="B143">
        <v>1</v>
      </c>
      <c r="C143" t="str">
        <f>IF(Titanic_Dataset[[#This Row],[Survived]]=1,"Survived","Died")</f>
        <v>Survived</v>
      </c>
      <c r="D143">
        <v>3</v>
      </c>
      <c r="E143" t="str">
        <f>IF(Titanic_Dataset[[#This Row],[Pclass]]=1,"1st",IF(Titanic_Dataset[[#This Row],[Pclass]]=2,"2nd",IF(Titanic_Dataset[[#This Row],[Pclass]]=3,"3rd")))</f>
        <v>3rd</v>
      </c>
      <c r="F143" s="1" t="s">
        <v>316</v>
      </c>
      <c r="G143" s="1" t="str">
        <f>TRIM(MID(Titanic_Dataset[[#This Row],[Name]],
FIND(",",Titanic_Dataset[[#This Row],[Name]])+2,
FIND(".",Titanic_Dataset[[#This Row],[Name]],FIND(",",Titanic_Dataset[[#This Row],[Name]]))-FIND(",",Titanic_Dataset[[#This Row],[Name]])-1))</f>
        <v>Miss.</v>
      </c>
      <c r="H143" s="1" t="s">
        <v>18</v>
      </c>
      <c r="I143">
        <v>22</v>
      </c>
      <c r="J14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43">
        <v>0</v>
      </c>
      <c r="L143">
        <v>0</v>
      </c>
      <c r="M143">
        <f>Titanic_Dataset[[#This Row],[Parch]]+Titanic_Dataset[[#This Row],[SibSp]]</f>
        <v>0</v>
      </c>
      <c r="N143" s="1" t="s">
        <v>317</v>
      </c>
      <c r="O143">
        <v>7.75</v>
      </c>
      <c r="P143">
        <f>IF(Titanic_Dataset[[#This Row],[Survived]]=1,Titanic_Dataset[[#This Row],[Fare]],NA())</f>
        <v>7.75</v>
      </c>
      <c r="Q143" t="e">
        <f>IF(Titanic_Dataset[[#This Row],[Survived]]=0,Titanic_Dataset[[#This Row],[Fare]],NA())</f>
        <v>#N/A</v>
      </c>
      <c r="R143" t="str">
        <f>VLOOKUP(Titanic_Dataset[[#This Row],[Fare]],Table2[],2,TRUE)</f>
        <v>low</v>
      </c>
      <c r="S143" s="1" t="s">
        <v>15</v>
      </c>
      <c r="T143" s="1" t="s">
        <v>16</v>
      </c>
      <c r="U143" s="1"/>
      <c r="V143" s="1"/>
      <c r="W143" s="1"/>
    </row>
    <row r="144" spans="1:23" x14ac:dyDescent="0.25">
      <c r="A144">
        <v>143</v>
      </c>
      <c r="B144">
        <v>1</v>
      </c>
      <c r="C144" t="str">
        <f>IF(Titanic_Dataset[[#This Row],[Survived]]=1,"Survived","Died")</f>
        <v>Survived</v>
      </c>
      <c r="D144">
        <v>3</v>
      </c>
      <c r="E144" t="str">
        <f>IF(Titanic_Dataset[[#This Row],[Pclass]]=1,"1st",IF(Titanic_Dataset[[#This Row],[Pclass]]=2,"2nd",IF(Titanic_Dataset[[#This Row],[Pclass]]=3,"3rd")))</f>
        <v>3rd</v>
      </c>
      <c r="F144" s="1" t="s">
        <v>318</v>
      </c>
      <c r="G144" s="1" t="str">
        <f>TRIM(MID(Titanic_Dataset[[#This Row],[Name]],
FIND(",",Titanic_Dataset[[#This Row],[Name]])+2,
FIND(".",Titanic_Dataset[[#This Row],[Name]],FIND(",",Titanic_Dataset[[#This Row],[Name]]))-FIND(",",Titanic_Dataset[[#This Row],[Name]])-1))</f>
        <v>Mrs.</v>
      </c>
      <c r="H144" s="1" t="s">
        <v>18</v>
      </c>
      <c r="I144">
        <v>24</v>
      </c>
      <c r="J14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44">
        <v>1</v>
      </c>
      <c r="L144">
        <v>0</v>
      </c>
      <c r="M144">
        <f>Titanic_Dataset[[#This Row],[Parch]]+Titanic_Dataset[[#This Row],[SibSp]]</f>
        <v>1</v>
      </c>
      <c r="N144" s="1" t="s">
        <v>319</v>
      </c>
      <c r="O144">
        <v>15.85</v>
      </c>
      <c r="P144">
        <f>IF(Titanic_Dataset[[#This Row],[Survived]]=1,Titanic_Dataset[[#This Row],[Fare]],NA())</f>
        <v>15.85</v>
      </c>
      <c r="Q144" t="e">
        <f>IF(Titanic_Dataset[[#This Row],[Survived]]=0,Titanic_Dataset[[#This Row],[Fare]],NA())</f>
        <v>#N/A</v>
      </c>
      <c r="R144" t="str">
        <f>VLOOKUP(Titanic_Dataset[[#This Row],[Fare]],Table2[],2,TRUE)</f>
        <v>high</v>
      </c>
      <c r="S144" s="1" t="s">
        <v>15</v>
      </c>
      <c r="T144" s="1" t="s">
        <v>16</v>
      </c>
      <c r="U144" s="1"/>
      <c r="V144" s="1"/>
      <c r="W144" s="1"/>
    </row>
    <row r="145" spans="1:23" x14ac:dyDescent="0.25">
      <c r="A145">
        <v>144</v>
      </c>
      <c r="B145">
        <v>0</v>
      </c>
      <c r="C145" t="str">
        <f>IF(Titanic_Dataset[[#This Row],[Survived]]=1,"Survived","Died")</f>
        <v>Died</v>
      </c>
      <c r="D145">
        <v>3</v>
      </c>
      <c r="E145" t="str">
        <f>IF(Titanic_Dataset[[#This Row],[Pclass]]=1,"1st",IF(Titanic_Dataset[[#This Row],[Pclass]]=2,"2nd",IF(Titanic_Dataset[[#This Row],[Pclass]]=3,"3rd")))</f>
        <v>3rd</v>
      </c>
      <c r="F145" s="1" t="s">
        <v>320</v>
      </c>
      <c r="G145" s="1" t="str">
        <f>TRIM(MID(Titanic_Dataset[[#This Row],[Name]],
FIND(",",Titanic_Dataset[[#This Row],[Name]])+2,
FIND(".",Titanic_Dataset[[#This Row],[Name]],FIND(",",Titanic_Dataset[[#This Row],[Name]]))-FIND(",",Titanic_Dataset[[#This Row],[Name]])-1))</f>
        <v>Mr.</v>
      </c>
      <c r="H145" s="1" t="s">
        <v>13</v>
      </c>
      <c r="I145">
        <v>19</v>
      </c>
      <c r="J145" t="str">
        <f>IF(Titanic_Dataset[[#This Row],[Age]]&lt;12,"0-11",
IF(Titanic_Dataset[[#This Row],[Age]]&lt;20,"12-19",
IF(Titanic_Dataset[[#This Row],[Age]]&lt;30,"20-29",
IF(Titanic_Dataset[[#This Row],[Age]]&lt;40,"30-39",
IF(Titanic_Dataset[[#This Row],[Age]]&lt;50,"40-49",
IF(Titanic_Dataset[[#This Row],[Age]]&lt;60,"50-59",
IF(Titanic_Dataset[[#This Row],[Age]]&lt;70,"60-69",)))))))</f>
        <v>12-19</v>
      </c>
      <c r="K145">
        <v>0</v>
      </c>
      <c r="L145">
        <v>0</v>
      </c>
      <c r="M145">
        <f>Titanic_Dataset[[#This Row],[Parch]]+Titanic_Dataset[[#This Row],[SibSp]]</f>
        <v>0</v>
      </c>
      <c r="N145" s="1" t="s">
        <v>321</v>
      </c>
      <c r="O145">
        <v>6.75</v>
      </c>
      <c r="P145" t="e">
        <f>IF(Titanic_Dataset[[#This Row],[Survived]]=1,Titanic_Dataset[[#This Row],[Fare]],NA())</f>
        <v>#N/A</v>
      </c>
      <c r="Q145">
        <f>IF(Titanic_Dataset[[#This Row],[Survived]]=0,Titanic_Dataset[[#This Row],[Fare]],NA())</f>
        <v>6.75</v>
      </c>
      <c r="R145" t="str">
        <f>VLOOKUP(Titanic_Dataset[[#This Row],[Fare]],Table2[],2,TRUE)</f>
        <v>low</v>
      </c>
      <c r="S145" s="1" t="s">
        <v>15</v>
      </c>
      <c r="T145" s="1" t="s">
        <v>31</v>
      </c>
      <c r="U145" s="1"/>
      <c r="V145" s="1"/>
      <c r="W145" s="1"/>
    </row>
    <row r="146" spans="1:23" x14ac:dyDescent="0.25">
      <c r="A146">
        <v>145</v>
      </c>
      <c r="B146">
        <v>0</v>
      </c>
      <c r="C146" t="str">
        <f>IF(Titanic_Dataset[[#This Row],[Survived]]=1,"Survived","Died")</f>
        <v>Died</v>
      </c>
      <c r="D146">
        <v>2</v>
      </c>
      <c r="E146" t="str">
        <f>IF(Titanic_Dataset[[#This Row],[Pclass]]=1,"1st",IF(Titanic_Dataset[[#This Row],[Pclass]]=2,"2nd",IF(Titanic_Dataset[[#This Row],[Pclass]]=3,"3rd")))</f>
        <v>2nd</v>
      </c>
      <c r="F146" s="1" t="s">
        <v>322</v>
      </c>
      <c r="G146" s="1" t="str">
        <f>TRIM(MID(Titanic_Dataset[[#This Row],[Name]],
FIND(",",Titanic_Dataset[[#This Row],[Name]])+2,
FIND(".",Titanic_Dataset[[#This Row],[Name]],FIND(",",Titanic_Dataset[[#This Row],[Name]]))-FIND(",",Titanic_Dataset[[#This Row],[Name]])-1))</f>
        <v>Mr.</v>
      </c>
      <c r="H146" s="1" t="s">
        <v>13</v>
      </c>
      <c r="I146">
        <v>18</v>
      </c>
      <c r="J146" t="str">
        <f>IF(Titanic_Dataset[[#This Row],[Age]]&lt;12,"0-11",
IF(Titanic_Dataset[[#This Row],[Age]]&lt;20,"12-19",
IF(Titanic_Dataset[[#This Row],[Age]]&lt;30,"20-29",
IF(Titanic_Dataset[[#This Row],[Age]]&lt;40,"30-39",
IF(Titanic_Dataset[[#This Row],[Age]]&lt;50,"40-49",
IF(Titanic_Dataset[[#This Row],[Age]]&lt;60,"50-59",
IF(Titanic_Dataset[[#This Row],[Age]]&lt;70,"60-69",)))))))</f>
        <v>12-19</v>
      </c>
      <c r="K146">
        <v>0</v>
      </c>
      <c r="L146">
        <v>0</v>
      </c>
      <c r="M146">
        <f>Titanic_Dataset[[#This Row],[Parch]]+Titanic_Dataset[[#This Row],[SibSp]]</f>
        <v>0</v>
      </c>
      <c r="N146" s="1" t="s">
        <v>323</v>
      </c>
      <c r="O146">
        <v>11.5</v>
      </c>
      <c r="P146" t="e">
        <f>IF(Titanic_Dataset[[#This Row],[Survived]]=1,Titanic_Dataset[[#This Row],[Fare]],NA())</f>
        <v>#N/A</v>
      </c>
      <c r="Q146">
        <f>IF(Titanic_Dataset[[#This Row],[Survived]]=0,Titanic_Dataset[[#This Row],[Fare]],NA())</f>
        <v>11.5</v>
      </c>
      <c r="R146" t="str">
        <f>VLOOKUP(Titanic_Dataset[[#This Row],[Fare]],Table2[],2,TRUE)</f>
        <v>medium</v>
      </c>
      <c r="S146" s="1" t="s">
        <v>15</v>
      </c>
      <c r="T146" s="1" t="s">
        <v>16</v>
      </c>
      <c r="U146" s="1"/>
      <c r="V146" s="1"/>
      <c r="W146" s="1"/>
    </row>
    <row r="147" spans="1:23" x14ac:dyDescent="0.25">
      <c r="A147">
        <v>146</v>
      </c>
      <c r="B147">
        <v>0</v>
      </c>
      <c r="C147" t="str">
        <f>IF(Titanic_Dataset[[#This Row],[Survived]]=1,"Survived","Died")</f>
        <v>Died</v>
      </c>
      <c r="D147">
        <v>2</v>
      </c>
      <c r="E147" t="str">
        <f>IF(Titanic_Dataset[[#This Row],[Pclass]]=1,"1st",IF(Titanic_Dataset[[#This Row],[Pclass]]=2,"2nd",IF(Titanic_Dataset[[#This Row],[Pclass]]=3,"3rd")))</f>
        <v>2nd</v>
      </c>
      <c r="F147" s="1" t="s">
        <v>324</v>
      </c>
      <c r="G147" s="1" t="str">
        <f>TRIM(MID(Titanic_Dataset[[#This Row],[Name]],
FIND(",",Titanic_Dataset[[#This Row],[Name]])+2,
FIND(".",Titanic_Dataset[[#This Row],[Name]],FIND(",",Titanic_Dataset[[#This Row],[Name]]))-FIND(",",Titanic_Dataset[[#This Row],[Name]])-1))</f>
        <v>Mr.</v>
      </c>
      <c r="H147" s="1" t="s">
        <v>13</v>
      </c>
      <c r="I147">
        <v>19</v>
      </c>
      <c r="J147" t="str">
        <f>IF(Titanic_Dataset[[#This Row],[Age]]&lt;12,"0-11",
IF(Titanic_Dataset[[#This Row],[Age]]&lt;20,"12-19",
IF(Titanic_Dataset[[#This Row],[Age]]&lt;30,"20-29",
IF(Titanic_Dataset[[#This Row],[Age]]&lt;40,"30-39",
IF(Titanic_Dataset[[#This Row],[Age]]&lt;50,"40-49",
IF(Titanic_Dataset[[#This Row],[Age]]&lt;60,"50-59",
IF(Titanic_Dataset[[#This Row],[Age]]&lt;70,"60-69",)))))))</f>
        <v>12-19</v>
      </c>
      <c r="K147">
        <v>1</v>
      </c>
      <c r="L147">
        <v>1</v>
      </c>
      <c r="M147">
        <f>Titanic_Dataset[[#This Row],[Parch]]+Titanic_Dataset[[#This Row],[SibSp]]</f>
        <v>2</v>
      </c>
      <c r="N147" s="1" t="s">
        <v>325</v>
      </c>
      <c r="O147">
        <v>36.75</v>
      </c>
      <c r="P147" t="e">
        <f>IF(Titanic_Dataset[[#This Row],[Survived]]=1,Titanic_Dataset[[#This Row],[Fare]],NA())</f>
        <v>#N/A</v>
      </c>
      <c r="Q147">
        <f>IF(Titanic_Dataset[[#This Row],[Survived]]=0,Titanic_Dataset[[#This Row],[Fare]],NA())</f>
        <v>36.75</v>
      </c>
      <c r="R147" t="str">
        <f>VLOOKUP(Titanic_Dataset[[#This Row],[Fare]],Table2[],2,TRUE)</f>
        <v>very hiegh</v>
      </c>
      <c r="S147" s="1" t="s">
        <v>15</v>
      </c>
      <c r="T147" s="1" t="s">
        <v>16</v>
      </c>
      <c r="U147" s="1"/>
      <c r="V147" s="1"/>
      <c r="W147" s="1"/>
    </row>
    <row r="148" spans="1:23" x14ac:dyDescent="0.25">
      <c r="A148">
        <v>147</v>
      </c>
      <c r="B148">
        <v>1</v>
      </c>
      <c r="C148" t="str">
        <f>IF(Titanic_Dataset[[#This Row],[Survived]]=1,"Survived","Died")</f>
        <v>Survived</v>
      </c>
      <c r="D148">
        <v>3</v>
      </c>
      <c r="E148" t="str">
        <f>IF(Titanic_Dataset[[#This Row],[Pclass]]=1,"1st",IF(Titanic_Dataset[[#This Row],[Pclass]]=2,"2nd",IF(Titanic_Dataset[[#This Row],[Pclass]]=3,"3rd")))</f>
        <v>3rd</v>
      </c>
      <c r="F148" s="1" t="s">
        <v>326</v>
      </c>
      <c r="G148" s="1" t="str">
        <f>TRIM(MID(Titanic_Dataset[[#This Row],[Name]],
FIND(",",Titanic_Dataset[[#This Row],[Name]])+2,
FIND(".",Titanic_Dataset[[#This Row],[Name]],FIND(",",Titanic_Dataset[[#This Row],[Name]]))-FIND(",",Titanic_Dataset[[#This Row],[Name]])-1))</f>
        <v>Mr.</v>
      </c>
      <c r="H148" s="1" t="s">
        <v>13</v>
      </c>
      <c r="I148">
        <v>27</v>
      </c>
      <c r="J14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48">
        <v>0</v>
      </c>
      <c r="L148">
        <v>0</v>
      </c>
      <c r="M148">
        <f>Titanic_Dataset[[#This Row],[Parch]]+Titanic_Dataset[[#This Row],[SibSp]]</f>
        <v>0</v>
      </c>
      <c r="N148" s="1" t="s">
        <v>327</v>
      </c>
      <c r="O148">
        <v>7.7957999999999998</v>
      </c>
      <c r="P148">
        <f>IF(Titanic_Dataset[[#This Row],[Survived]]=1,Titanic_Dataset[[#This Row],[Fare]],NA())</f>
        <v>7.7957999999999998</v>
      </c>
      <c r="Q148" t="e">
        <f>IF(Titanic_Dataset[[#This Row],[Survived]]=0,Titanic_Dataset[[#This Row],[Fare]],NA())</f>
        <v>#N/A</v>
      </c>
      <c r="R148" t="str">
        <f>VLOOKUP(Titanic_Dataset[[#This Row],[Fare]],Table2[],2,TRUE)</f>
        <v>low</v>
      </c>
      <c r="S148" s="1" t="s">
        <v>15</v>
      </c>
      <c r="T148" s="1" t="s">
        <v>16</v>
      </c>
      <c r="U148" s="1"/>
      <c r="V148" s="1"/>
      <c r="W148" s="1"/>
    </row>
    <row r="149" spans="1:23" x14ac:dyDescent="0.25">
      <c r="A149">
        <v>148</v>
      </c>
      <c r="B149">
        <v>0</v>
      </c>
      <c r="C149" t="str">
        <f>IF(Titanic_Dataset[[#This Row],[Survived]]=1,"Survived","Died")</f>
        <v>Died</v>
      </c>
      <c r="D149">
        <v>3</v>
      </c>
      <c r="E149" t="str">
        <f>IF(Titanic_Dataset[[#This Row],[Pclass]]=1,"1st",IF(Titanic_Dataset[[#This Row],[Pclass]]=2,"2nd",IF(Titanic_Dataset[[#This Row],[Pclass]]=3,"3rd")))</f>
        <v>3rd</v>
      </c>
      <c r="F149" s="1" t="s">
        <v>328</v>
      </c>
      <c r="G149" s="1" t="str">
        <f>TRIM(MID(Titanic_Dataset[[#This Row],[Name]],
FIND(",",Titanic_Dataset[[#This Row],[Name]])+2,
FIND(".",Titanic_Dataset[[#This Row],[Name]],FIND(",",Titanic_Dataset[[#This Row],[Name]]))-FIND(",",Titanic_Dataset[[#This Row],[Name]])-1))</f>
        <v>Miss.</v>
      </c>
      <c r="H149" s="1" t="s">
        <v>18</v>
      </c>
      <c r="I149">
        <v>9</v>
      </c>
      <c r="J149" t="str">
        <f>IF(Titanic_Dataset[[#This Row],[Age]]&lt;12,"0-11",
IF(Titanic_Dataset[[#This Row],[Age]]&lt;20,"12-19",
IF(Titanic_Dataset[[#This Row],[Age]]&lt;30,"20-29",
IF(Titanic_Dataset[[#This Row],[Age]]&lt;40,"30-39",
IF(Titanic_Dataset[[#This Row],[Age]]&lt;50,"40-49",
IF(Titanic_Dataset[[#This Row],[Age]]&lt;60,"50-59",
IF(Titanic_Dataset[[#This Row],[Age]]&lt;70,"60-69",)))))))</f>
        <v>0-11</v>
      </c>
      <c r="K149">
        <v>2</v>
      </c>
      <c r="L149">
        <v>2</v>
      </c>
      <c r="M149">
        <f>Titanic_Dataset[[#This Row],[Parch]]+Titanic_Dataset[[#This Row],[SibSp]]</f>
        <v>4</v>
      </c>
      <c r="N149" s="1" t="s">
        <v>205</v>
      </c>
      <c r="O149">
        <v>34.375</v>
      </c>
      <c r="P149" t="e">
        <f>IF(Titanic_Dataset[[#This Row],[Survived]]=1,Titanic_Dataset[[#This Row],[Fare]],NA())</f>
        <v>#N/A</v>
      </c>
      <c r="Q149">
        <f>IF(Titanic_Dataset[[#This Row],[Survived]]=0,Titanic_Dataset[[#This Row],[Fare]],NA())</f>
        <v>34.375</v>
      </c>
      <c r="R149" t="str">
        <f>VLOOKUP(Titanic_Dataset[[#This Row],[Fare]],Table2[],2,TRUE)</f>
        <v>very hiegh</v>
      </c>
      <c r="S149" s="1" t="s">
        <v>15</v>
      </c>
      <c r="T149" s="1" t="s">
        <v>16</v>
      </c>
      <c r="U149" s="1"/>
      <c r="V149" s="1"/>
      <c r="W149" s="1"/>
    </row>
    <row r="150" spans="1:23" x14ac:dyDescent="0.25">
      <c r="A150">
        <v>149</v>
      </c>
      <c r="B150">
        <v>0</v>
      </c>
      <c r="C150" t="str">
        <f>IF(Titanic_Dataset[[#This Row],[Survived]]=1,"Survived","Died")</f>
        <v>Died</v>
      </c>
      <c r="D150">
        <v>2</v>
      </c>
      <c r="E150" t="str">
        <f>IF(Titanic_Dataset[[#This Row],[Pclass]]=1,"1st",IF(Titanic_Dataset[[#This Row],[Pclass]]=2,"2nd",IF(Titanic_Dataset[[#This Row],[Pclass]]=3,"3rd")))</f>
        <v>2nd</v>
      </c>
      <c r="F150" s="1" t="s">
        <v>329</v>
      </c>
      <c r="G150" s="1" t="str">
        <f>TRIM(MID(Titanic_Dataset[[#This Row],[Name]],
FIND(",",Titanic_Dataset[[#This Row],[Name]])+2,
FIND(".",Titanic_Dataset[[#This Row],[Name]],FIND(",",Titanic_Dataset[[#This Row],[Name]]))-FIND(",",Titanic_Dataset[[#This Row],[Name]])-1))</f>
        <v>Mr.</v>
      </c>
      <c r="H150" s="1" t="s">
        <v>13</v>
      </c>
      <c r="I150">
        <v>36.5</v>
      </c>
      <c r="J150" t="str">
        <f>IF(Titanic_Dataset[[#This Row],[Age]]&lt;12,"0-11",
IF(Titanic_Dataset[[#This Row],[Age]]&lt;20,"12-19",
IF(Titanic_Dataset[[#This Row],[Age]]&lt;30,"20-29",
IF(Titanic_Dataset[[#This Row],[Age]]&lt;40,"30-39",
IF(Titanic_Dataset[[#This Row],[Age]]&lt;50,"40-49",
IF(Titanic_Dataset[[#This Row],[Age]]&lt;60,"50-59",
IF(Titanic_Dataset[[#This Row],[Age]]&lt;70,"60-69",)))))))</f>
        <v>30-39</v>
      </c>
      <c r="K150">
        <v>0</v>
      </c>
      <c r="L150">
        <v>2</v>
      </c>
      <c r="M150">
        <f>Titanic_Dataset[[#This Row],[Parch]]+Titanic_Dataset[[#This Row],[SibSp]]</f>
        <v>2</v>
      </c>
      <c r="N150" s="1" t="s">
        <v>330</v>
      </c>
      <c r="O150">
        <v>26</v>
      </c>
      <c r="P150" t="e">
        <f>IF(Titanic_Dataset[[#This Row],[Survived]]=1,Titanic_Dataset[[#This Row],[Fare]],NA())</f>
        <v>#N/A</v>
      </c>
      <c r="Q150">
        <f>IF(Titanic_Dataset[[#This Row],[Survived]]=0,Titanic_Dataset[[#This Row],[Fare]],NA())</f>
        <v>26</v>
      </c>
      <c r="R150" t="str">
        <f>VLOOKUP(Titanic_Dataset[[#This Row],[Fare]],Table2[],2,TRUE)</f>
        <v>high</v>
      </c>
      <c r="S150" s="1" t="s">
        <v>331</v>
      </c>
      <c r="T150" s="1" t="s">
        <v>16</v>
      </c>
      <c r="U150" s="1"/>
      <c r="V150" s="1"/>
      <c r="W150" s="1"/>
    </row>
    <row r="151" spans="1:23" x14ac:dyDescent="0.25">
      <c r="A151">
        <v>150</v>
      </c>
      <c r="B151">
        <v>0</v>
      </c>
      <c r="C151" t="str">
        <f>IF(Titanic_Dataset[[#This Row],[Survived]]=1,"Survived","Died")</f>
        <v>Died</v>
      </c>
      <c r="D151">
        <v>2</v>
      </c>
      <c r="E151" t="str">
        <f>IF(Titanic_Dataset[[#This Row],[Pclass]]=1,"1st",IF(Titanic_Dataset[[#This Row],[Pclass]]=2,"2nd",IF(Titanic_Dataset[[#This Row],[Pclass]]=3,"3rd")))</f>
        <v>2nd</v>
      </c>
      <c r="F151" s="1" t="s">
        <v>332</v>
      </c>
      <c r="G151" s="1" t="str">
        <f>TRIM(MID(Titanic_Dataset[[#This Row],[Name]],
FIND(",",Titanic_Dataset[[#This Row],[Name]])+2,
FIND(".",Titanic_Dataset[[#This Row],[Name]],FIND(",",Titanic_Dataset[[#This Row],[Name]]))-FIND(",",Titanic_Dataset[[#This Row],[Name]])-1))</f>
        <v>Rev.</v>
      </c>
      <c r="H151" s="1" t="s">
        <v>13</v>
      </c>
      <c r="I151">
        <v>42</v>
      </c>
      <c r="J151" t="str">
        <f>IF(Titanic_Dataset[[#This Row],[Age]]&lt;12,"0-11",
IF(Titanic_Dataset[[#This Row],[Age]]&lt;20,"12-19",
IF(Titanic_Dataset[[#This Row],[Age]]&lt;30,"20-29",
IF(Titanic_Dataset[[#This Row],[Age]]&lt;40,"30-39",
IF(Titanic_Dataset[[#This Row],[Age]]&lt;50,"40-49",
IF(Titanic_Dataset[[#This Row],[Age]]&lt;60,"50-59",
IF(Titanic_Dataset[[#This Row],[Age]]&lt;70,"60-69",)))))))</f>
        <v>40-49</v>
      </c>
      <c r="K151">
        <v>0</v>
      </c>
      <c r="L151">
        <v>0</v>
      </c>
      <c r="M151">
        <f>Titanic_Dataset[[#This Row],[Parch]]+Titanic_Dataset[[#This Row],[SibSp]]</f>
        <v>0</v>
      </c>
      <c r="N151" s="1" t="s">
        <v>333</v>
      </c>
      <c r="O151">
        <v>13</v>
      </c>
      <c r="P151" t="e">
        <f>IF(Titanic_Dataset[[#This Row],[Survived]]=1,Titanic_Dataset[[#This Row],[Fare]],NA())</f>
        <v>#N/A</v>
      </c>
      <c r="Q151">
        <f>IF(Titanic_Dataset[[#This Row],[Survived]]=0,Titanic_Dataset[[#This Row],[Fare]],NA())</f>
        <v>13</v>
      </c>
      <c r="R151" t="str">
        <f>VLOOKUP(Titanic_Dataset[[#This Row],[Fare]],Table2[],2,TRUE)</f>
        <v>medium</v>
      </c>
      <c r="S151" s="1" t="s">
        <v>15</v>
      </c>
      <c r="T151" s="1" t="s">
        <v>16</v>
      </c>
      <c r="U151" s="1"/>
      <c r="V151" s="1"/>
      <c r="W151" s="1"/>
    </row>
    <row r="152" spans="1:23" x14ac:dyDescent="0.25">
      <c r="A152">
        <v>151</v>
      </c>
      <c r="B152">
        <v>0</v>
      </c>
      <c r="C152" t="str">
        <f>IF(Titanic_Dataset[[#This Row],[Survived]]=1,"Survived","Died")</f>
        <v>Died</v>
      </c>
      <c r="D152">
        <v>2</v>
      </c>
      <c r="E152" t="str">
        <f>IF(Titanic_Dataset[[#This Row],[Pclass]]=1,"1st",IF(Titanic_Dataset[[#This Row],[Pclass]]=2,"2nd",IF(Titanic_Dataset[[#This Row],[Pclass]]=3,"3rd")))</f>
        <v>2nd</v>
      </c>
      <c r="F152" s="1" t="s">
        <v>334</v>
      </c>
      <c r="G152" s="1" t="str">
        <f>TRIM(MID(Titanic_Dataset[[#This Row],[Name]],
FIND(",",Titanic_Dataset[[#This Row],[Name]])+2,
FIND(".",Titanic_Dataset[[#This Row],[Name]],FIND(",",Titanic_Dataset[[#This Row],[Name]]))-FIND(",",Titanic_Dataset[[#This Row],[Name]])-1))</f>
        <v>Rev.</v>
      </c>
      <c r="H152" s="1" t="s">
        <v>13</v>
      </c>
      <c r="I152">
        <v>51</v>
      </c>
      <c r="J152" t="str">
        <f>IF(Titanic_Dataset[[#This Row],[Age]]&lt;12,"0-11",
IF(Titanic_Dataset[[#This Row],[Age]]&lt;20,"12-19",
IF(Titanic_Dataset[[#This Row],[Age]]&lt;30,"20-29",
IF(Titanic_Dataset[[#This Row],[Age]]&lt;40,"30-39",
IF(Titanic_Dataset[[#This Row],[Age]]&lt;50,"40-49",
IF(Titanic_Dataset[[#This Row],[Age]]&lt;60,"50-59",
IF(Titanic_Dataset[[#This Row],[Age]]&lt;70,"60-69",)))))))</f>
        <v>50-59</v>
      </c>
      <c r="K152">
        <v>0</v>
      </c>
      <c r="L152">
        <v>0</v>
      </c>
      <c r="M152">
        <f>Titanic_Dataset[[#This Row],[Parch]]+Titanic_Dataset[[#This Row],[SibSp]]</f>
        <v>0</v>
      </c>
      <c r="N152" s="1" t="s">
        <v>335</v>
      </c>
      <c r="O152">
        <v>12.525</v>
      </c>
      <c r="P152" t="e">
        <f>IF(Titanic_Dataset[[#This Row],[Survived]]=1,Titanic_Dataset[[#This Row],[Fare]],NA())</f>
        <v>#N/A</v>
      </c>
      <c r="Q152">
        <f>IF(Titanic_Dataset[[#This Row],[Survived]]=0,Titanic_Dataset[[#This Row],[Fare]],NA())</f>
        <v>12.525</v>
      </c>
      <c r="R152" t="str">
        <f>VLOOKUP(Titanic_Dataset[[#This Row],[Fare]],Table2[],2,TRUE)</f>
        <v>medium</v>
      </c>
      <c r="S152" s="1" t="s">
        <v>15</v>
      </c>
      <c r="T152" s="1" t="s">
        <v>16</v>
      </c>
      <c r="U152" s="1"/>
      <c r="V152" s="1"/>
      <c r="W152" s="1"/>
    </row>
    <row r="153" spans="1:23" x14ac:dyDescent="0.25">
      <c r="A153">
        <v>152</v>
      </c>
      <c r="B153">
        <v>1</v>
      </c>
      <c r="C153" t="str">
        <f>IF(Titanic_Dataset[[#This Row],[Survived]]=1,"Survived","Died")</f>
        <v>Survived</v>
      </c>
      <c r="D153">
        <v>1</v>
      </c>
      <c r="E153" t="str">
        <f>IF(Titanic_Dataset[[#This Row],[Pclass]]=1,"1st",IF(Titanic_Dataset[[#This Row],[Pclass]]=2,"2nd",IF(Titanic_Dataset[[#This Row],[Pclass]]=3,"3rd")))</f>
        <v>1st</v>
      </c>
      <c r="F153" s="1" t="s">
        <v>336</v>
      </c>
      <c r="G153" s="1" t="str">
        <f>TRIM(MID(Titanic_Dataset[[#This Row],[Name]],
FIND(",",Titanic_Dataset[[#This Row],[Name]])+2,
FIND(".",Titanic_Dataset[[#This Row],[Name]],FIND(",",Titanic_Dataset[[#This Row],[Name]]))-FIND(",",Titanic_Dataset[[#This Row],[Name]])-1))</f>
        <v>Mrs.</v>
      </c>
      <c r="H153" s="1" t="s">
        <v>18</v>
      </c>
      <c r="I153">
        <v>22</v>
      </c>
      <c r="J15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53">
        <v>1</v>
      </c>
      <c r="L153">
        <v>0</v>
      </c>
      <c r="M153">
        <f>Titanic_Dataset[[#This Row],[Parch]]+Titanic_Dataset[[#This Row],[SibSp]]</f>
        <v>1</v>
      </c>
      <c r="N153" s="1" t="s">
        <v>337</v>
      </c>
      <c r="O153">
        <v>66.599999999999994</v>
      </c>
      <c r="P153">
        <f>IF(Titanic_Dataset[[#This Row],[Survived]]=1,Titanic_Dataset[[#This Row],[Fare]],NA())</f>
        <v>66.599999999999994</v>
      </c>
      <c r="Q153" t="e">
        <f>IF(Titanic_Dataset[[#This Row],[Survived]]=0,Titanic_Dataset[[#This Row],[Fare]],NA())</f>
        <v>#N/A</v>
      </c>
      <c r="R153" t="str">
        <f>VLOOKUP(Titanic_Dataset[[#This Row],[Fare]],Table2[],2,TRUE)</f>
        <v>very hiegh</v>
      </c>
      <c r="S153" s="1" t="s">
        <v>338</v>
      </c>
      <c r="T153" s="1" t="s">
        <v>16</v>
      </c>
      <c r="U153" s="1"/>
      <c r="V153" s="1"/>
      <c r="W153" s="1"/>
    </row>
    <row r="154" spans="1:23" x14ac:dyDescent="0.25">
      <c r="A154">
        <v>153</v>
      </c>
      <c r="B154">
        <v>0</v>
      </c>
      <c r="C154" t="str">
        <f>IF(Titanic_Dataset[[#This Row],[Survived]]=1,"Survived","Died")</f>
        <v>Died</v>
      </c>
      <c r="D154">
        <v>3</v>
      </c>
      <c r="E154" t="str">
        <f>IF(Titanic_Dataset[[#This Row],[Pclass]]=1,"1st",IF(Titanic_Dataset[[#This Row],[Pclass]]=2,"2nd",IF(Titanic_Dataset[[#This Row],[Pclass]]=3,"3rd")))</f>
        <v>3rd</v>
      </c>
      <c r="F154" s="1" t="s">
        <v>339</v>
      </c>
      <c r="G154" s="1" t="str">
        <f>TRIM(MID(Titanic_Dataset[[#This Row],[Name]],
FIND(",",Titanic_Dataset[[#This Row],[Name]])+2,
FIND(".",Titanic_Dataset[[#This Row],[Name]],FIND(",",Titanic_Dataset[[#This Row],[Name]]))-FIND(",",Titanic_Dataset[[#This Row],[Name]])-1))</f>
        <v>Mr.</v>
      </c>
      <c r="H154" s="1" t="s">
        <v>13</v>
      </c>
      <c r="I154">
        <v>55.5</v>
      </c>
      <c r="J154" t="str">
        <f>IF(Titanic_Dataset[[#This Row],[Age]]&lt;12,"0-11",
IF(Titanic_Dataset[[#This Row],[Age]]&lt;20,"12-19",
IF(Titanic_Dataset[[#This Row],[Age]]&lt;30,"20-29",
IF(Titanic_Dataset[[#This Row],[Age]]&lt;40,"30-39",
IF(Titanic_Dataset[[#This Row],[Age]]&lt;50,"40-49",
IF(Titanic_Dataset[[#This Row],[Age]]&lt;60,"50-59",
IF(Titanic_Dataset[[#This Row],[Age]]&lt;70,"60-69",)))))))</f>
        <v>50-59</v>
      </c>
      <c r="K154">
        <v>0</v>
      </c>
      <c r="L154">
        <v>0</v>
      </c>
      <c r="M154">
        <f>Titanic_Dataset[[#This Row],[Parch]]+Titanic_Dataset[[#This Row],[SibSp]]</f>
        <v>0</v>
      </c>
      <c r="N154" s="1" t="s">
        <v>340</v>
      </c>
      <c r="O154">
        <v>8.0500000000000007</v>
      </c>
      <c r="P154" t="e">
        <f>IF(Titanic_Dataset[[#This Row],[Survived]]=1,Titanic_Dataset[[#This Row],[Fare]],NA())</f>
        <v>#N/A</v>
      </c>
      <c r="Q154">
        <f>IF(Titanic_Dataset[[#This Row],[Survived]]=0,Titanic_Dataset[[#This Row],[Fare]],NA())</f>
        <v>8.0500000000000007</v>
      </c>
      <c r="R154" t="str">
        <f>VLOOKUP(Titanic_Dataset[[#This Row],[Fare]],Table2[],2,TRUE)</f>
        <v>medium</v>
      </c>
      <c r="S154" s="1" t="s">
        <v>15</v>
      </c>
      <c r="T154" s="1" t="s">
        <v>16</v>
      </c>
      <c r="U154" s="1"/>
      <c r="V154" s="1"/>
      <c r="W154" s="1"/>
    </row>
    <row r="155" spans="1:23" x14ac:dyDescent="0.25">
      <c r="A155">
        <v>154</v>
      </c>
      <c r="B155">
        <v>0</v>
      </c>
      <c r="C155" t="str">
        <f>IF(Titanic_Dataset[[#This Row],[Survived]]=1,"Survived","Died")</f>
        <v>Died</v>
      </c>
      <c r="D155">
        <v>3</v>
      </c>
      <c r="E155" t="str">
        <f>IF(Titanic_Dataset[[#This Row],[Pclass]]=1,"1st",IF(Titanic_Dataset[[#This Row],[Pclass]]=2,"2nd",IF(Titanic_Dataset[[#This Row],[Pclass]]=3,"3rd")))</f>
        <v>3rd</v>
      </c>
      <c r="F155" s="1" t="s">
        <v>341</v>
      </c>
      <c r="G155" s="1" t="str">
        <f>TRIM(MID(Titanic_Dataset[[#This Row],[Name]],
FIND(",",Titanic_Dataset[[#This Row],[Name]])+2,
FIND(".",Titanic_Dataset[[#This Row],[Name]],FIND(",",Titanic_Dataset[[#This Row],[Name]]))-FIND(",",Titanic_Dataset[[#This Row],[Name]])-1))</f>
        <v>Mr.</v>
      </c>
      <c r="H155" s="1" t="s">
        <v>13</v>
      </c>
      <c r="I155">
        <v>40.5</v>
      </c>
      <c r="J155" t="str">
        <f>IF(Titanic_Dataset[[#This Row],[Age]]&lt;12,"0-11",
IF(Titanic_Dataset[[#This Row],[Age]]&lt;20,"12-19",
IF(Titanic_Dataset[[#This Row],[Age]]&lt;30,"20-29",
IF(Titanic_Dataset[[#This Row],[Age]]&lt;40,"30-39",
IF(Titanic_Dataset[[#This Row],[Age]]&lt;50,"40-49",
IF(Titanic_Dataset[[#This Row],[Age]]&lt;60,"50-59",
IF(Titanic_Dataset[[#This Row],[Age]]&lt;70,"60-69",)))))))</f>
        <v>40-49</v>
      </c>
      <c r="K155">
        <v>0</v>
      </c>
      <c r="L155">
        <v>2</v>
      </c>
      <c r="M155">
        <f>Titanic_Dataset[[#This Row],[Parch]]+Titanic_Dataset[[#This Row],[SibSp]]</f>
        <v>2</v>
      </c>
      <c r="N155" s="1" t="s">
        <v>342</v>
      </c>
      <c r="O155">
        <v>14.5</v>
      </c>
      <c r="P155" t="e">
        <f>IF(Titanic_Dataset[[#This Row],[Survived]]=1,Titanic_Dataset[[#This Row],[Fare]],NA())</f>
        <v>#N/A</v>
      </c>
      <c r="Q155">
        <f>IF(Titanic_Dataset[[#This Row],[Survived]]=0,Titanic_Dataset[[#This Row],[Fare]],NA())</f>
        <v>14.5</v>
      </c>
      <c r="R155" t="str">
        <f>VLOOKUP(Titanic_Dataset[[#This Row],[Fare]],Table2[],2,TRUE)</f>
        <v>medium</v>
      </c>
      <c r="S155" s="1" t="s">
        <v>15</v>
      </c>
      <c r="T155" s="1" t="s">
        <v>16</v>
      </c>
      <c r="U155" s="1"/>
      <c r="V155" s="1"/>
      <c r="W155" s="1"/>
    </row>
    <row r="156" spans="1:23" x14ac:dyDescent="0.25">
      <c r="A156">
        <v>155</v>
      </c>
      <c r="B156">
        <v>0</v>
      </c>
      <c r="C156" t="str">
        <f>IF(Titanic_Dataset[[#This Row],[Survived]]=1,"Survived","Died")</f>
        <v>Died</v>
      </c>
      <c r="D156">
        <v>3</v>
      </c>
      <c r="E156" t="str">
        <f>IF(Titanic_Dataset[[#This Row],[Pclass]]=1,"1st",IF(Titanic_Dataset[[#This Row],[Pclass]]=2,"2nd",IF(Titanic_Dataset[[#This Row],[Pclass]]=3,"3rd")))</f>
        <v>3rd</v>
      </c>
      <c r="F156" s="1" t="s">
        <v>343</v>
      </c>
      <c r="G156" s="1" t="str">
        <f>TRIM(MID(Titanic_Dataset[[#This Row],[Name]],
FIND(",",Titanic_Dataset[[#This Row],[Name]])+2,
FIND(".",Titanic_Dataset[[#This Row],[Name]],FIND(",",Titanic_Dataset[[#This Row],[Name]]))-FIND(",",Titanic_Dataset[[#This Row],[Name]])-1))</f>
        <v>Mr.</v>
      </c>
      <c r="H156" s="1" t="s">
        <v>13</v>
      </c>
      <c r="I156">
        <v>28</v>
      </c>
      <c r="J15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56">
        <v>0</v>
      </c>
      <c r="L156">
        <v>0</v>
      </c>
      <c r="M156">
        <f>Titanic_Dataset[[#This Row],[Parch]]+Titanic_Dataset[[#This Row],[SibSp]]</f>
        <v>0</v>
      </c>
      <c r="N156" s="1" t="s">
        <v>344</v>
      </c>
      <c r="O156">
        <v>7.3125</v>
      </c>
      <c r="P156" t="e">
        <f>IF(Titanic_Dataset[[#This Row],[Survived]]=1,Titanic_Dataset[[#This Row],[Fare]],NA())</f>
        <v>#N/A</v>
      </c>
      <c r="Q156">
        <f>IF(Titanic_Dataset[[#This Row],[Survived]]=0,Titanic_Dataset[[#This Row],[Fare]],NA())</f>
        <v>7.3125</v>
      </c>
      <c r="R156" t="str">
        <f>VLOOKUP(Titanic_Dataset[[#This Row],[Fare]],Table2[],2,TRUE)</f>
        <v>low</v>
      </c>
      <c r="S156" s="1" t="s">
        <v>15</v>
      </c>
      <c r="T156" s="1" t="s">
        <v>16</v>
      </c>
      <c r="U156" s="1"/>
      <c r="V156" s="1"/>
      <c r="W156" s="1"/>
    </row>
    <row r="157" spans="1:23" x14ac:dyDescent="0.25">
      <c r="A157">
        <v>156</v>
      </c>
      <c r="B157">
        <v>0</v>
      </c>
      <c r="C157" t="str">
        <f>IF(Titanic_Dataset[[#This Row],[Survived]]=1,"Survived","Died")</f>
        <v>Died</v>
      </c>
      <c r="D157">
        <v>1</v>
      </c>
      <c r="E157" t="str">
        <f>IF(Titanic_Dataset[[#This Row],[Pclass]]=1,"1st",IF(Titanic_Dataset[[#This Row],[Pclass]]=2,"2nd",IF(Titanic_Dataset[[#This Row],[Pclass]]=3,"3rd")))</f>
        <v>1st</v>
      </c>
      <c r="F157" s="1" t="s">
        <v>345</v>
      </c>
      <c r="G157" s="1" t="str">
        <f>TRIM(MID(Titanic_Dataset[[#This Row],[Name]],
FIND(",",Titanic_Dataset[[#This Row],[Name]])+2,
FIND(".",Titanic_Dataset[[#This Row],[Name]],FIND(",",Titanic_Dataset[[#This Row],[Name]]))-FIND(",",Titanic_Dataset[[#This Row],[Name]])-1))</f>
        <v>Mr.</v>
      </c>
      <c r="H157" s="1" t="s">
        <v>13</v>
      </c>
      <c r="I157">
        <v>51</v>
      </c>
      <c r="J157" t="str">
        <f>IF(Titanic_Dataset[[#This Row],[Age]]&lt;12,"0-11",
IF(Titanic_Dataset[[#This Row],[Age]]&lt;20,"12-19",
IF(Titanic_Dataset[[#This Row],[Age]]&lt;30,"20-29",
IF(Titanic_Dataset[[#This Row],[Age]]&lt;40,"30-39",
IF(Titanic_Dataset[[#This Row],[Age]]&lt;50,"40-49",
IF(Titanic_Dataset[[#This Row],[Age]]&lt;60,"50-59",
IF(Titanic_Dataset[[#This Row],[Age]]&lt;70,"60-69",)))))))</f>
        <v>50-59</v>
      </c>
      <c r="K157">
        <v>0</v>
      </c>
      <c r="L157">
        <v>1</v>
      </c>
      <c r="M157">
        <f>Titanic_Dataset[[#This Row],[Parch]]+Titanic_Dataset[[#This Row],[SibSp]]</f>
        <v>1</v>
      </c>
      <c r="N157" s="1" t="s">
        <v>346</v>
      </c>
      <c r="O157">
        <v>61.379199999999997</v>
      </c>
      <c r="P157" t="e">
        <f>IF(Titanic_Dataset[[#This Row],[Survived]]=1,Titanic_Dataset[[#This Row],[Fare]],NA())</f>
        <v>#N/A</v>
      </c>
      <c r="Q157">
        <f>IF(Titanic_Dataset[[#This Row],[Survived]]=0,Titanic_Dataset[[#This Row],[Fare]],NA())</f>
        <v>61.379199999999997</v>
      </c>
      <c r="R157" t="str">
        <f>VLOOKUP(Titanic_Dataset[[#This Row],[Fare]],Table2[],2,TRUE)</f>
        <v>very hiegh</v>
      </c>
      <c r="S157" s="1" t="s">
        <v>15</v>
      </c>
      <c r="T157" s="1" t="s">
        <v>21</v>
      </c>
      <c r="U157" s="1"/>
      <c r="V157" s="1"/>
      <c r="W157" s="1"/>
    </row>
    <row r="158" spans="1:23" x14ac:dyDescent="0.25">
      <c r="A158">
        <v>157</v>
      </c>
      <c r="B158">
        <v>1</v>
      </c>
      <c r="C158" t="str">
        <f>IF(Titanic_Dataset[[#This Row],[Survived]]=1,"Survived","Died")</f>
        <v>Survived</v>
      </c>
      <c r="D158">
        <v>3</v>
      </c>
      <c r="E158" t="str">
        <f>IF(Titanic_Dataset[[#This Row],[Pclass]]=1,"1st",IF(Titanic_Dataset[[#This Row],[Pclass]]=2,"2nd",IF(Titanic_Dataset[[#This Row],[Pclass]]=3,"3rd")))</f>
        <v>3rd</v>
      </c>
      <c r="F158" s="1" t="s">
        <v>347</v>
      </c>
      <c r="G158" s="1" t="str">
        <f>TRIM(MID(Titanic_Dataset[[#This Row],[Name]],
FIND(",",Titanic_Dataset[[#This Row],[Name]])+2,
FIND(".",Titanic_Dataset[[#This Row],[Name]],FIND(",",Titanic_Dataset[[#This Row],[Name]]))-FIND(",",Titanic_Dataset[[#This Row],[Name]])-1))</f>
        <v>Miss.</v>
      </c>
      <c r="H158" s="1" t="s">
        <v>18</v>
      </c>
      <c r="I158">
        <v>16</v>
      </c>
      <c r="J158" t="str">
        <f>IF(Titanic_Dataset[[#This Row],[Age]]&lt;12,"0-11",
IF(Titanic_Dataset[[#This Row],[Age]]&lt;20,"12-19",
IF(Titanic_Dataset[[#This Row],[Age]]&lt;30,"20-29",
IF(Titanic_Dataset[[#This Row],[Age]]&lt;40,"30-39",
IF(Titanic_Dataset[[#This Row],[Age]]&lt;50,"40-49",
IF(Titanic_Dataset[[#This Row],[Age]]&lt;60,"50-59",
IF(Titanic_Dataset[[#This Row],[Age]]&lt;70,"60-69",)))))))</f>
        <v>12-19</v>
      </c>
      <c r="K158">
        <v>0</v>
      </c>
      <c r="L158">
        <v>0</v>
      </c>
      <c r="M158">
        <f>Titanic_Dataset[[#This Row],[Parch]]+Titanic_Dataset[[#This Row],[SibSp]]</f>
        <v>0</v>
      </c>
      <c r="N158" s="1" t="s">
        <v>348</v>
      </c>
      <c r="O158">
        <v>7.7332999999999998</v>
      </c>
      <c r="P158">
        <f>IF(Titanic_Dataset[[#This Row],[Survived]]=1,Titanic_Dataset[[#This Row],[Fare]],NA())</f>
        <v>7.7332999999999998</v>
      </c>
      <c r="Q158" t="e">
        <f>IF(Titanic_Dataset[[#This Row],[Survived]]=0,Titanic_Dataset[[#This Row],[Fare]],NA())</f>
        <v>#N/A</v>
      </c>
      <c r="R158" t="str">
        <f>VLOOKUP(Titanic_Dataset[[#This Row],[Fare]],Table2[],2,TRUE)</f>
        <v>low</v>
      </c>
      <c r="S158" s="1" t="s">
        <v>15</v>
      </c>
      <c r="T158" s="1" t="s">
        <v>31</v>
      </c>
      <c r="U158" s="1"/>
      <c r="V158" s="1"/>
      <c r="W158" s="1"/>
    </row>
    <row r="159" spans="1:23" x14ac:dyDescent="0.25">
      <c r="A159">
        <v>158</v>
      </c>
      <c r="B159">
        <v>0</v>
      </c>
      <c r="C159" t="str">
        <f>IF(Titanic_Dataset[[#This Row],[Survived]]=1,"Survived","Died")</f>
        <v>Died</v>
      </c>
      <c r="D159">
        <v>3</v>
      </c>
      <c r="E159" t="str">
        <f>IF(Titanic_Dataset[[#This Row],[Pclass]]=1,"1st",IF(Titanic_Dataset[[#This Row],[Pclass]]=2,"2nd",IF(Titanic_Dataset[[#This Row],[Pclass]]=3,"3rd")))</f>
        <v>3rd</v>
      </c>
      <c r="F159" s="1" t="s">
        <v>349</v>
      </c>
      <c r="G159" s="1" t="str">
        <f>TRIM(MID(Titanic_Dataset[[#This Row],[Name]],
FIND(",",Titanic_Dataset[[#This Row],[Name]])+2,
FIND(".",Titanic_Dataset[[#This Row],[Name]],FIND(",",Titanic_Dataset[[#This Row],[Name]]))-FIND(",",Titanic_Dataset[[#This Row],[Name]])-1))</f>
        <v>Mr.</v>
      </c>
      <c r="H159" s="1" t="s">
        <v>13</v>
      </c>
      <c r="I159">
        <v>30</v>
      </c>
      <c r="J159" t="str">
        <f>IF(Titanic_Dataset[[#This Row],[Age]]&lt;12,"0-11",
IF(Titanic_Dataset[[#This Row],[Age]]&lt;20,"12-19",
IF(Titanic_Dataset[[#This Row],[Age]]&lt;30,"20-29",
IF(Titanic_Dataset[[#This Row],[Age]]&lt;40,"30-39",
IF(Titanic_Dataset[[#This Row],[Age]]&lt;50,"40-49",
IF(Titanic_Dataset[[#This Row],[Age]]&lt;60,"50-59",
IF(Titanic_Dataset[[#This Row],[Age]]&lt;70,"60-69",)))))))</f>
        <v>30-39</v>
      </c>
      <c r="K159">
        <v>0</v>
      </c>
      <c r="L159">
        <v>0</v>
      </c>
      <c r="M159">
        <f>Titanic_Dataset[[#This Row],[Parch]]+Titanic_Dataset[[#This Row],[SibSp]]</f>
        <v>0</v>
      </c>
      <c r="N159" s="1" t="s">
        <v>350</v>
      </c>
      <c r="O159">
        <v>8.0500000000000007</v>
      </c>
      <c r="P159" t="e">
        <f>IF(Titanic_Dataset[[#This Row],[Survived]]=1,Titanic_Dataset[[#This Row],[Fare]],NA())</f>
        <v>#N/A</v>
      </c>
      <c r="Q159">
        <f>IF(Titanic_Dataset[[#This Row],[Survived]]=0,Titanic_Dataset[[#This Row],[Fare]],NA())</f>
        <v>8.0500000000000007</v>
      </c>
      <c r="R159" t="str">
        <f>VLOOKUP(Titanic_Dataset[[#This Row],[Fare]],Table2[],2,TRUE)</f>
        <v>medium</v>
      </c>
      <c r="S159" s="1" t="s">
        <v>15</v>
      </c>
      <c r="T159" s="1" t="s">
        <v>16</v>
      </c>
      <c r="U159" s="1"/>
      <c r="V159" s="1"/>
      <c r="W159" s="1"/>
    </row>
    <row r="160" spans="1:23" x14ac:dyDescent="0.25">
      <c r="A160">
        <v>159</v>
      </c>
      <c r="B160">
        <v>0</v>
      </c>
      <c r="C160" t="str">
        <f>IF(Titanic_Dataset[[#This Row],[Survived]]=1,"Survived","Died")</f>
        <v>Died</v>
      </c>
      <c r="D160">
        <v>3</v>
      </c>
      <c r="E160" t="str">
        <f>IF(Titanic_Dataset[[#This Row],[Pclass]]=1,"1st",IF(Titanic_Dataset[[#This Row],[Pclass]]=2,"2nd",IF(Titanic_Dataset[[#This Row],[Pclass]]=3,"3rd")))</f>
        <v>3rd</v>
      </c>
      <c r="F160" s="1" t="s">
        <v>351</v>
      </c>
      <c r="G160" s="1" t="str">
        <f>TRIM(MID(Titanic_Dataset[[#This Row],[Name]],
FIND(",",Titanic_Dataset[[#This Row],[Name]])+2,
FIND(".",Titanic_Dataset[[#This Row],[Name]],FIND(",",Titanic_Dataset[[#This Row],[Name]]))-FIND(",",Titanic_Dataset[[#This Row],[Name]])-1))</f>
        <v>Mr.</v>
      </c>
      <c r="H160" s="1" t="s">
        <v>13</v>
      </c>
      <c r="I160">
        <v>28</v>
      </c>
      <c r="J16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60">
        <v>0</v>
      </c>
      <c r="L160">
        <v>0</v>
      </c>
      <c r="M160">
        <f>Titanic_Dataset[[#This Row],[Parch]]+Titanic_Dataset[[#This Row],[SibSp]]</f>
        <v>0</v>
      </c>
      <c r="N160" s="1" t="s">
        <v>352</v>
      </c>
      <c r="O160">
        <v>8.6624999999999996</v>
      </c>
      <c r="P160" t="e">
        <f>IF(Titanic_Dataset[[#This Row],[Survived]]=1,Titanic_Dataset[[#This Row],[Fare]],NA())</f>
        <v>#N/A</v>
      </c>
      <c r="Q160">
        <f>IF(Titanic_Dataset[[#This Row],[Survived]]=0,Titanic_Dataset[[#This Row],[Fare]],NA())</f>
        <v>8.6624999999999996</v>
      </c>
      <c r="R160" t="str">
        <f>VLOOKUP(Titanic_Dataset[[#This Row],[Fare]],Table2[],2,TRUE)</f>
        <v>medium</v>
      </c>
      <c r="S160" s="1" t="s">
        <v>15</v>
      </c>
      <c r="T160" s="1" t="s">
        <v>16</v>
      </c>
      <c r="U160" s="1"/>
      <c r="V160" s="1"/>
      <c r="W160" s="1"/>
    </row>
    <row r="161" spans="1:23" x14ac:dyDescent="0.25">
      <c r="A161">
        <v>160</v>
      </c>
      <c r="B161">
        <v>0</v>
      </c>
      <c r="C161" t="str">
        <f>IF(Titanic_Dataset[[#This Row],[Survived]]=1,"Survived","Died")</f>
        <v>Died</v>
      </c>
      <c r="D161">
        <v>3</v>
      </c>
      <c r="E161" t="str">
        <f>IF(Titanic_Dataset[[#This Row],[Pclass]]=1,"1st",IF(Titanic_Dataset[[#This Row],[Pclass]]=2,"2nd",IF(Titanic_Dataset[[#This Row],[Pclass]]=3,"3rd")))</f>
        <v>3rd</v>
      </c>
      <c r="F161" s="1" t="s">
        <v>353</v>
      </c>
      <c r="G161" s="1" t="str">
        <f>TRIM(MID(Titanic_Dataset[[#This Row],[Name]],
FIND(",",Titanic_Dataset[[#This Row],[Name]])+2,
FIND(".",Titanic_Dataset[[#This Row],[Name]],FIND(",",Titanic_Dataset[[#This Row],[Name]]))-FIND(",",Titanic_Dataset[[#This Row],[Name]])-1))</f>
        <v>Master.</v>
      </c>
      <c r="H161" s="1" t="s">
        <v>13</v>
      </c>
      <c r="I161">
        <v>28</v>
      </c>
      <c r="J16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61">
        <v>8</v>
      </c>
      <c r="L161">
        <v>2</v>
      </c>
      <c r="M161">
        <f>Titanic_Dataset[[#This Row],[Parch]]+Titanic_Dataset[[#This Row],[SibSp]]</f>
        <v>10</v>
      </c>
      <c r="N161" s="1" t="s">
        <v>354</v>
      </c>
      <c r="O161">
        <v>69.55</v>
      </c>
      <c r="P161" t="e">
        <f>IF(Titanic_Dataset[[#This Row],[Survived]]=1,Titanic_Dataset[[#This Row],[Fare]],NA())</f>
        <v>#N/A</v>
      </c>
      <c r="Q161">
        <f>IF(Titanic_Dataset[[#This Row],[Survived]]=0,Titanic_Dataset[[#This Row],[Fare]],NA())</f>
        <v>69.55</v>
      </c>
      <c r="R161" t="str">
        <f>VLOOKUP(Titanic_Dataset[[#This Row],[Fare]],Table2[],2,TRUE)</f>
        <v>very hiegh</v>
      </c>
      <c r="S161" s="1" t="s">
        <v>15</v>
      </c>
      <c r="T161" s="1" t="s">
        <v>16</v>
      </c>
      <c r="U161" s="1"/>
      <c r="V161" s="1"/>
      <c r="W161" s="1"/>
    </row>
    <row r="162" spans="1:23" x14ac:dyDescent="0.25">
      <c r="A162">
        <v>161</v>
      </c>
      <c r="B162">
        <v>0</v>
      </c>
      <c r="C162" t="str">
        <f>IF(Titanic_Dataset[[#This Row],[Survived]]=1,"Survived","Died")</f>
        <v>Died</v>
      </c>
      <c r="D162">
        <v>3</v>
      </c>
      <c r="E162" t="str">
        <f>IF(Titanic_Dataset[[#This Row],[Pclass]]=1,"1st",IF(Titanic_Dataset[[#This Row],[Pclass]]=2,"2nd",IF(Titanic_Dataset[[#This Row],[Pclass]]=3,"3rd")))</f>
        <v>3rd</v>
      </c>
      <c r="F162" s="1" t="s">
        <v>355</v>
      </c>
      <c r="G162" s="1" t="str">
        <f>TRIM(MID(Titanic_Dataset[[#This Row],[Name]],
FIND(",",Titanic_Dataset[[#This Row],[Name]])+2,
FIND(".",Titanic_Dataset[[#This Row],[Name]],FIND(",",Titanic_Dataset[[#This Row],[Name]]))-FIND(",",Titanic_Dataset[[#This Row],[Name]])-1))</f>
        <v>Mr.</v>
      </c>
      <c r="H162" s="1" t="s">
        <v>13</v>
      </c>
      <c r="I162">
        <v>44</v>
      </c>
      <c r="J162" t="str">
        <f>IF(Titanic_Dataset[[#This Row],[Age]]&lt;12,"0-11",
IF(Titanic_Dataset[[#This Row],[Age]]&lt;20,"12-19",
IF(Titanic_Dataset[[#This Row],[Age]]&lt;30,"20-29",
IF(Titanic_Dataset[[#This Row],[Age]]&lt;40,"30-39",
IF(Titanic_Dataset[[#This Row],[Age]]&lt;50,"40-49",
IF(Titanic_Dataset[[#This Row],[Age]]&lt;60,"50-59",
IF(Titanic_Dataset[[#This Row],[Age]]&lt;70,"60-69",)))))))</f>
        <v>40-49</v>
      </c>
      <c r="K162">
        <v>0</v>
      </c>
      <c r="L162">
        <v>1</v>
      </c>
      <c r="M162">
        <f>Titanic_Dataset[[#This Row],[Parch]]+Titanic_Dataset[[#This Row],[SibSp]]</f>
        <v>1</v>
      </c>
      <c r="N162" s="1" t="s">
        <v>356</v>
      </c>
      <c r="O162">
        <v>16.100000000000001</v>
      </c>
      <c r="P162" t="e">
        <f>IF(Titanic_Dataset[[#This Row],[Survived]]=1,Titanic_Dataset[[#This Row],[Fare]],NA())</f>
        <v>#N/A</v>
      </c>
      <c r="Q162">
        <f>IF(Titanic_Dataset[[#This Row],[Survived]]=0,Titanic_Dataset[[#This Row],[Fare]],NA())</f>
        <v>16.100000000000001</v>
      </c>
      <c r="R162" t="str">
        <f>VLOOKUP(Titanic_Dataset[[#This Row],[Fare]],Table2[],2,TRUE)</f>
        <v>high</v>
      </c>
      <c r="S162" s="1" t="s">
        <v>15</v>
      </c>
      <c r="T162" s="1" t="s">
        <v>16</v>
      </c>
      <c r="U162" s="1"/>
      <c r="V162" s="1"/>
      <c r="W162" s="1"/>
    </row>
    <row r="163" spans="1:23" x14ac:dyDescent="0.25">
      <c r="A163">
        <v>162</v>
      </c>
      <c r="B163">
        <v>1</v>
      </c>
      <c r="C163" t="str">
        <f>IF(Titanic_Dataset[[#This Row],[Survived]]=1,"Survived","Died")</f>
        <v>Survived</v>
      </c>
      <c r="D163">
        <v>2</v>
      </c>
      <c r="E163" t="str">
        <f>IF(Titanic_Dataset[[#This Row],[Pclass]]=1,"1st",IF(Titanic_Dataset[[#This Row],[Pclass]]=2,"2nd",IF(Titanic_Dataset[[#This Row],[Pclass]]=3,"3rd")))</f>
        <v>2nd</v>
      </c>
      <c r="F163" s="1" t="s">
        <v>357</v>
      </c>
      <c r="G163" s="1" t="str">
        <f>TRIM(MID(Titanic_Dataset[[#This Row],[Name]],
FIND(",",Titanic_Dataset[[#This Row],[Name]])+2,
FIND(".",Titanic_Dataset[[#This Row],[Name]],FIND(",",Titanic_Dataset[[#This Row],[Name]]))-FIND(",",Titanic_Dataset[[#This Row],[Name]])-1))</f>
        <v>Mrs.</v>
      </c>
      <c r="H163" s="1" t="s">
        <v>18</v>
      </c>
      <c r="I163">
        <v>40</v>
      </c>
      <c r="J163" t="str">
        <f>IF(Titanic_Dataset[[#This Row],[Age]]&lt;12,"0-11",
IF(Titanic_Dataset[[#This Row],[Age]]&lt;20,"12-19",
IF(Titanic_Dataset[[#This Row],[Age]]&lt;30,"20-29",
IF(Titanic_Dataset[[#This Row],[Age]]&lt;40,"30-39",
IF(Titanic_Dataset[[#This Row],[Age]]&lt;50,"40-49",
IF(Titanic_Dataset[[#This Row],[Age]]&lt;60,"50-59",
IF(Titanic_Dataset[[#This Row],[Age]]&lt;70,"60-69",)))))))</f>
        <v>40-49</v>
      </c>
      <c r="K163">
        <v>0</v>
      </c>
      <c r="L163">
        <v>0</v>
      </c>
      <c r="M163">
        <f>Titanic_Dataset[[#This Row],[Parch]]+Titanic_Dataset[[#This Row],[SibSp]]</f>
        <v>0</v>
      </c>
      <c r="N163" s="1" t="s">
        <v>358</v>
      </c>
      <c r="O163">
        <v>15.75</v>
      </c>
      <c r="P163">
        <f>IF(Titanic_Dataset[[#This Row],[Survived]]=1,Titanic_Dataset[[#This Row],[Fare]],NA())</f>
        <v>15.75</v>
      </c>
      <c r="Q163" t="e">
        <f>IF(Titanic_Dataset[[#This Row],[Survived]]=0,Titanic_Dataset[[#This Row],[Fare]],NA())</f>
        <v>#N/A</v>
      </c>
      <c r="R163" t="str">
        <f>VLOOKUP(Titanic_Dataset[[#This Row],[Fare]],Table2[],2,TRUE)</f>
        <v>high</v>
      </c>
      <c r="S163" s="1" t="s">
        <v>15</v>
      </c>
      <c r="T163" s="1" t="s">
        <v>16</v>
      </c>
      <c r="U163" s="1"/>
      <c r="V163" s="1"/>
      <c r="W163" s="1"/>
    </row>
    <row r="164" spans="1:23" x14ac:dyDescent="0.25">
      <c r="A164">
        <v>163</v>
      </c>
      <c r="B164">
        <v>0</v>
      </c>
      <c r="C164" t="str">
        <f>IF(Titanic_Dataset[[#This Row],[Survived]]=1,"Survived","Died")</f>
        <v>Died</v>
      </c>
      <c r="D164">
        <v>3</v>
      </c>
      <c r="E164" t="str">
        <f>IF(Titanic_Dataset[[#This Row],[Pclass]]=1,"1st",IF(Titanic_Dataset[[#This Row],[Pclass]]=2,"2nd",IF(Titanic_Dataset[[#This Row],[Pclass]]=3,"3rd")))</f>
        <v>3rd</v>
      </c>
      <c r="F164" s="1" t="s">
        <v>359</v>
      </c>
      <c r="G164" s="1" t="str">
        <f>TRIM(MID(Titanic_Dataset[[#This Row],[Name]],
FIND(",",Titanic_Dataset[[#This Row],[Name]])+2,
FIND(".",Titanic_Dataset[[#This Row],[Name]],FIND(",",Titanic_Dataset[[#This Row],[Name]]))-FIND(",",Titanic_Dataset[[#This Row],[Name]])-1))</f>
        <v>Mr.</v>
      </c>
      <c r="H164" s="1" t="s">
        <v>13</v>
      </c>
      <c r="I164">
        <v>26</v>
      </c>
      <c r="J16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64">
        <v>0</v>
      </c>
      <c r="L164">
        <v>0</v>
      </c>
      <c r="M164">
        <f>Titanic_Dataset[[#This Row],[Parch]]+Titanic_Dataset[[#This Row],[SibSp]]</f>
        <v>0</v>
      </c>
      <c r="N164" s="1" t="s">
        <v>360</v>
      </c>
      <c r="O164">
        <v>7.7750000000000004</v>
      </c>
      <c r="P164" t="e">
        <f>IF(Titanic_Dataset[[#This Row],[Survived]]=1,Titanic_Dataset[[#This Row],[Fare]],NA())</f>
        <v>#N/A</v>
      </c>
      <c r="Q164">
        <f>IF(Titanic_Dataset[[#This Row],[Survived]]=0,Titanic_Dataset[[#This Row],[Fare]],NA())</f>
        <v>7.7750000000000004</v>
      </c>
      <c r="R164" t="str">
        <f>VLOOKUP(Titanic_Dataset[[#This Row],[Fare]],Table2[],2,TRUE)</f>
        <v>low</v>
      </c>
      <c r="S164" s="1" t="s">
        <v>15</v>
      </c>
      <c r="T164" s="1" t="s">
        <v>16</v>
      </c>
      <c r="U164" s="1"/>
      <c r="V164" s="1"/>
      <c r="W164" s="1"/>
    </row>
    <row r="165" spans="1:23" x14ac:dyDescent="0.25">
      <c r="A165">
        <v>164</v>
      </c>
      <c r="B165">
        <v>0</v>
      </c>
      <c r="C165" t="str">
        <f>IF(Titanic_Dataset[[#This Row],[Survived]]=1,"Survived","Died")</f>
        <v>Died</v>
      </c>
      <c r="D165">
        <v>3</v>
      </c>
      <c r="E165" t="str">
        <f>IF(Titanic_Dataset[[#This Row],[Pclass]]=1,"1st",IF(Titanic_Dataset[[#This Row],[Pclass]]=2,"2nd",IF(Titanic_Dataset[[#This Row],[Pclass]]=3,"3rd")))</f>
        <v>3rd</v>
      </c>
      <c r="F165" s="1" t="s">
        <v>361</v>
      </c>
      <c r="G165" s="1" t="str">
        <f>TRIM(MID(Titanic_Dataset[[#This Row],[Name]],
FIND(",",Titanic_Dataset[[#This Row],[Name]])+2,
FIND(".",Titanic_Dataset[[#This Row],[Name]],FIND(",",Titanic_Dataset[[#This Row],[Name]]))-FIND(",",Titanic_Dataset[[#This Row],[Name]])-1))</f>
        <v>Mr.</v>
      </c>
      <c r="H165" s="1" t="s">
        <v>13</v>
      </c>
      <c r="I165">
        <v>17</v>
      </c>
      <c r="J165" t="str">
        <f>IF(Titanic_Dataset[[#This Row],[Age]]&lt;12,"0-11",
IF(Titanic_Dataset[[#This Row],[Age]]&lt;20,"12-19",
IF(Titanic_Dataset[[#This Row],[Age]]&lt;30,"20-29",
IF(Titanic_Dataset[[#This Row],[Age]]&lt;40,"30-39",
IF(Titanic_Dataset[[#This Row],[Age]]&lt;50,"40-49",
IF(Titanic_Dataset[[#This Row],[Age]]&lt;60,"50-59",
IF(Titanic_Dataset[[#This Row],[Age]]&lt;70,"60-69",)))))))</f>
        <v>12-19</v>
      </c>
      <c r="K165">
        <v>0</v>
      </c>
      <c r="L165">
        <v>0</v>
      </c>
      <c r="M165">
        <f>Titanic_Dataset[[#This Row],[Parch]]+Titanic_Dataset[[#This Row],[SibSp]]</f>
        <v>0</v>
      </c>
      <c r="N165" s="1" t="s">
        <v>362</v>
      </c>
      <c r="O165">
        <v>8.6624999999999996</v>
      </c>
      <c r="P165" t="e">
        <f>IF(Titanic_Dataset[[#This Row],[Survived]]=1,Titanic_Dataset[[#This Row],[Fare]],NA())</f>
        <v>#N/A</v>
      </c>
      <c r="Q165">
        <f>IF(Titanic_Dataset[[#This Row],[Survived]]=0,Titanic_Dataset[[#This Row],[Fare]],NA())</f>
        <v>8.6624999999999996</v>
      </c>
      <c r="R165" t="str">
        <f>VLOOKUP(Titanic_Dataset[[#This Row],[Fare]],Table2[],2,TRUE)</f>
        <v>medium</v>
      </c>
      <c r="S165" s="1" t="s">
        <v>15</v>
      </c>
      <c r="T165" s="1" t="s">
        <v>16</v>
      </c>
      <c r="U165" s="1"/>
      <c r="V165" s="1"/>
      <c r="W165" s="1"/>
    </row>
    <row r="166" spans="1:23" x14ac:dyDescent="0.25">
      <c r="A166">
        <v>165</v>
      </c>
      <c r="B166">
        <v>0</v>
      </c>
      <c r="C166" t="str">
        <f>IF(Titanic_Dataset[[#This Row],[Survived]]=1,"Survived","Died")</f>
        <v>Died</v>
      </c>
      <c r="D166">
        <v>3</v>
      </c>
      <c r="E166" t="str">
        <f>IF(Titanic_Dataset[[#This Row],[Pclass]]=1,"1st",IF(Titanic_Dataset[[#This Row],[Pclass]]=2,"2nd",IF(Titanic_Dataset[[#This Row],[Pclass]]=3,"3rd")))</f>
        <v>3rd</v>
      </c>
      <c r="F166" s="1" t="s">
        <v>363</v>
      </c>
      <c r="G166" s="1" t="str">
        <f>TRIM(MID(Titanic_Dataset[[#This Row],[Name]],
FIND(",",Titanic_Dataset[[#This Row],[Name]])+2,
FIND(".",Titanic_Dataset[[#This Row],[Name]],FIND(",",Titanic_Dataset[[#This Row],[Name]]))-FIND(",",Titanic_Dataset[[#This Row],[Name]])-1))</f>
        <v>Master.</v>
      </c>
      <c r="H166" s="1" t="s">
        <v>13</v>
      </c>
      <c r="I166">
        <v>1</v>
      </c>
      <c r="J166" t="str">
        <f>IF(Titanic_Dataset[[#This Row],[Age]]&lt;12,"0-11",
IF(Titanic_Dataset[[#This Row],[Age]]&lt;20,"12-19",
IF(Titanic_Dataset[[#This Row],[Age]]&lt;30,"20-29",
IF(Titanic_Dataset[[#This Row],[Age]]&lt;40,"30-39",
IF(Titanic_Dataset[[#This Row],[Age]]&lt;50,"40-49",
IF(Titanic_Dataset[[#This Row],[Age]]&lt;60,"50-59",
IF(Titanic_Dataset[[#This Row],[Age]]&lt;70,"60-69",)))))))</f>
        <v>0-11</v>
      </c>
      <c r="K166">
        <v>4</v>
      </c>
      <c r="L166">
        <v>1</v>
      </c>
      <c r="M166">
        <f>Titanic_Dataset[[#This Row],[Parch]]+Titanic_Dataset[[#This Row],[SibSp]]</f>
        <v>5</v>
      </c>
      <c r="N166" s="1" t="s">
        <v>127</v>
      </c>
      <c r="O166">
        <v>39.6875</v>
      </c>
      <c r="P166" t="e">
        <f>IF(Titanic_Dataset[[#This Row],[Survived]]=1,Titanic_Dataset[[#This Row],[Fare]],NA())</f>
        <v>#N/A</v>
      </c>
      <c r="Q166">
        <f>IF(Titanic_Dataset[[#This Row],[Survived]]=0,Titanic_Dataset[[#This Row],[Fare]],NA())</f>
        <v>39.6875</v>
      </c>
      <c r="R166" t="str">
        <f>VLOOKUP(Titanic_Dataset[[#This Row],[Fare]],Table2[],2,TRUE)</f>
        <v>very hiegh</v>
      </c>
      <c r="S166" s="1" t="s">
        <v>15</v>
      </c>
      <c r="T166" s="1" t="s">
        <v>16</v>
      </c>
      <c r="U166" s="1"/>
      <c r="V166" s="1"/>
      <c r="W166" s="1"/>
    </row>
    <row r="167" spans="1:23" x14ac:dyDescent="0.25">
      <c r="A167">
        <v>166</v>
      </c>
      <c r="B167">
        <v>1</v>
      </c>
      <c r="C167" t="str">
        <f>IF(Titanic_Dataset[[#This Row],[Survived]]=1,"Survived","Died")</f>
        <v>Survived</v>
      </c>
      <c r="D167">
        <v>3</v>
      </c>
      <c r="E167" t="str">
        <f>IF(Titanic_Dataset[[#This Row],[Pclass]]=1,"1st",IF(Titanic_Dataset[[#This Row],[Pclass]]=2,"2nd",IF(Titanic_Dataset[[#This Row],[Pclass]]=3,"3rd")))</f>
        <v>3rd</v>
      </c>
      <c r="F167" s="1" t="s">
        <v>364</v>
      </c>
      <c r="G167" s="1" t="str">
        <f>TRIM(MID(Titanic_Dataset[[#This Row],[Name]],
FIND(",",Titanic_Dataset[[#This Row],[Name]])+2,
FIND(".",Titanic_Dataset[[#This Row],[Name]],FIND(",",Titanic_Dataset[[#This Row],[Name]]))-FIND(",",Titanic_Dataset[[#This Row],[Name]])-1))</f>
        <v>Master.</v>
      </c>
      <c r="H167" s="1" t="s">
        <v>13</v>
      </c>
      <c r="I167">
        <v>9</v>
      </c>
      <c r="J167" t="str">
        <f>IF(Titanic_Dataset[[#This Row],[Age]]&lt;12,"0-11",
IF(Titanic_Dataset[[#This Row],[Age]]&lt;20,"12-19",
IF(Titanic_Dataset[[#This Row],[Age]]&lt;30,"20-29",
IF(Titanic_Dataset[[#This Row],[Age]]&lt;40,"30-39",
IF(Titanic_Dataset[[#This Row],[Age]]&lt;50,"40-49",
IF(Titanic_Dataset[[#This Row],[Age]]&lt;60,"50-59",
IF(Titanic_Dataset[[#This Row],[Age]]&lt;70,"60-69",)))))))</f>
        <v>0-11</v>
      </c>
      <c r="K167">
        <v>0</v>
      </c>
      <c r="L167">
        <v>2</v>
      </c>
      <c r="M167">
        <f>Titanic_Dataset[[#This Row],[Parch]]+Titanic_Dataset[[#This Row],[SibSp]]</f>
        <v>2</v>
      </c>
      <c r="N167" s="1" t="s">
        <v>365</v>
      </c>
      <c r="O167">
        <v>20.524999999999999</v>
      </c>
      <c r="P167">
        <f>IF(Titanic_Dataset[[#This Row],[Survived]]=1,Titanic_Dataset[[#This Row],[Fare]],NA())</f>
        <v>20.524999999999999</v>
      </c>
      <c r="Q167" t="e">
        <f>IF(Titanic_Dataset[[#This Row],[Survived]]=0,Titanic_Dataset[[#This Row],[Fare]],NA())</f>
        <v>#N/A</v>
      </c>
      <c r="R167" t="str">
        <f>VLOOKUP(Titanic_Dataset[[#This Row],[Fare]],Table2[],2,TRUE)</f>
        <v>high</v>
      </c>
      <c r="S167" s="1" t="s">
        <v>15</v>
      </c>
      <c r="T167" s="1" t="s">
        <v>16</v>
      </c>
      <c r="U167" s="1"/>
      <c r="V167" s="1"/>
      <c r="W167" s="1"/>
    </row>
    <row r="168" spans="1:23" x14ac:dyDescent="0.25">
      <c r="A168">
        <v>167</v>
      </c>
      <c r="B168">
        <v>1</v>
      </c>
      <c r="C168" t="str">
        <f>IF(Titanic_Dataset[[#This Row],[Survived]]=1,"Survived","Died")</f>
        <v>Survived</v>
      </c>
      <c r="D168">
        <v>1</v>
      </c>
      <c r="E168" t="str">
        <f>IF(Titanic_Dataset[[#This Row],[Pclass]]=1,"1st",IF(Titanic_Dataset[[#This Row],[Pclass]]=2,"2nd",IF(Titanic_Dataset[[#This Row],[Pclass]]=3,"3rd")))</f>
        <v>1st</v>
      </c>
      <c r="F168" s="1" t="s">
        <v>366</v>
      </c>
      <c r="G168" s="1" t="str">
        <f>TRIM(MID(Titanic_Dataset[[#This Row],[Name]],
FIND(",",Titanic_Dataset[[#This Row],[Name]])+2,
FIND(".",Titanic_Dataset[[#This Row],[Name]],FIND(",",Titanic_Dataset[[#This Row],[Name]]))-FIND(",",Titanic_Dataset[[#This Row],[Name]])-1))</f>
        <v>Mrs.</v>
      </c>
      <c r="H168" s="1" t="s">
        <v>18</v>
      </c>
      <c r="I168">
        <v>28</v>
      </c>
      <c r="J16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68">
        <v>0</v>
      </c>
      <c r="L168">
        <v>1</v>
      </c>
      <c r="M168">
        <f>Titanic_Dataset[[#This Row],[Parch]]+Titanic_Dataset[[#This Row],[SibSp]]</f>
        <v>1</v>
      </c>
      <c r="N168" s="1" t="s">
        <v>367</v>
      </c>
      <c r="O168">
        <v>55</v>
      </c>
      <c r="P168">
        <f>IF(Titanic_Dataset[[#This Row],[Survived]]=1,Titanic_Dataset[[#This Row],[Fare]],NA())</f>
        <v>55</v>
      </c>
      <c r="Q168" t="e">
        <f>IF(Titanic_Dataset[[#This Row],[Survived]]=0,Titanic_Dataset[[#This Row],[Fare]],NA())</f>
        <v>#N/A</v>
      </c>
      <c r="R168" t="str">
        <f>VLOOKUP(Titanic_Dataset[[#This Row],[Fare]],Table2[],2,TRUE)</f>
        <v>very hiegh</v>
      </c>
      <c r="S168" s="1" t="s">
        <v>368</v>
      </c>
      <c r="T168" s="1" t="s">
        <v>16</v>
      </c>
      <c r="U168" s="1"/>
      <c r="V168" s="1"/>
      <c r="W168" s="1"/>
    </row>
    <row r="169" spans="1:23" x14ac:dyDescent="0.25">
      <c r="A169">
        <v>168</v>
      </c>
      <c r="B169">
        <v>0</v>
      </c>
      <c r="C169" t="str">
        <f>IF(Titanic_Dataset[[#This Row],[Survived]]=1,"Survived","Died")</f>
        <v>Died</v>
      </c>
      <c r="D169">
        <v>3</v>
      </c>
      <c r="E169" t="str">
        <f>IF(Titanic_Dataset[[#This Row],[Pclass]]=1,"1st",IF(Titanic_Dataset[[#This Row],[Pclass]]=2,"2nd",IF(Titanic_Dataset[[#This Row],[Pclass]]=3,"3rd")))</f>
        <v>3rd</v>
      </c>
      <c r="F169" s="1" t="s">
        <v>369</v>
      </c>
      <c r="G169" s="1" t="str">
        <f>TRIM(MID(Titanic_Dataset[[#This Row],[Name]],
FIND(",",Titanic_Dataset[[#This Row],[Name]])+2,
FIND(".",Titanic_Dataset[[#This Row],[Name]],FIND(",",Titanic_Dataset[[#This Row],[Name]]))-FIND(",",Titanic_Dataset[[#This Row],[Name]])-1))</f>
        <v>Mrs.</v>
      </c>
      <c r="H169" s="1" t="s">
        <v>18</v>
      </c>
      <c r="I169">
        <v>45</v>
      </c>
      <c r="J169" t="str">
        <f>IF(Titanic_Dataset[[#This Row],[Age]]&lt;12,"0-11",
IF(Titanic_Dataset[[#This Row],[Age]]&lt;20,"12-19",
IF(Titanic_Dataset[[#This Row],[Age]]&lt;30,"20-29",
IF(Titanic_Dataset[[#This Row],[Age]]&lt;40,"30-39",
IF(Titanic_Dataset[[#This Row],[Age]]&lt;50,"40-49",
IF(Titanic_Dataset[[#This Row],[Age]]&lt;60,"50-59",
IF(Titanic_Dataset[[#This Row],[Age]]&lt;70,"60-69",)))))))</f>
        <v>40-49</v>
      </c>
      <c r="K169">
        <v>1</v>
      </c>
      <c r="L169">
        <v>4</v>
      </c>
      <c r="M169">
        <f>Titanic_Dataset[[#This Row],[Parch]]+Titanic_Dataset[[#This Row],[SibSp]]</f>
        <v>5</v>
      </c>
      <c r="N169" s="1" t="s">
        <v>158</v>
      </c>
      <c r="O169">
        <v>27.9</v>
      </c>
      <c r="P169" t="e">
        <f>IF(Titanic_Dataset[[#This Row],[Survived]]=1,Titanic_Dataset[[#This Row],[Fare]],NA())</f>
        <v>#N/A</v>
      </c>
      <c r="Q169">
        <f>IF(Titanic_Dataset[[#This Row],[Survived]]=0,Titanic_Dataset[[#This Row],[Fare]],NA())</f>
        <v>27.9</v>
      </c>
      <c r="R169" t="str">
        <f>VLOOKUP(Titanic_Dataset[[#This Row],[Fare]],Table2[],2,TRUE)</f>
        <v>high</v>
      </c>
      <c r="S169" s="1" t="s">
        <v>15</v>
      </c>
      <c r="T169" s="1" t="s">
        <v>16</v>
      </c>
      <c r="U169" s="1"/>
      <c r="V169" s="1"/>
      <c r="W169" s="1"/>
    </row>
    <row r="170" spans="1:23" x14ac:dyDescent="0.25">
      <c r="A170">
        <v>169</v>
      </c>
      <c r="B170">
        <v>0</v>
      </c>
      <c r="C170" t="str">
        <f>IF(Titanic_Dataset[[#This Row],[Survived]]=1,"Survived","Died")</f>
        <v>Died</v>
      </c>
      <c r="D170">
        <v>1</v>
      </c>
      <c r="E170" t="str">
        <f>IF(Titanic_Dataset[[#This Row],[Pclass]]=1,"1st",IF(Titanic_Dataset[[#This Row],[Pclass]]=2,"2nd",IF(Titanic_Dataset[[#This Row],[Pclass]]=3,"3rd")))</f>
        <v>1st</v>
      </c>
      <c r="F170" s="1" t="s">
        <v>370</v>
      </c>
      <c r="G170" s="1" t="str">
        <f>TRIM(MID(Titanic_Dataset[[#This Row],[Name]],
FIND(",",Titanic_Dataset[[#This Row],[Name]])+2,
FIND(".",Titanic_Dataset[[#This Row],[Name]],FIND(",",Titanic_Dataset[[#This Row],[Name]]))-FIND(",",Titanic_Dataset[[#This Row],[Name]])-1))</f>
        <v>Mr.</v>
      </c>
      <c r="H170" s="1" t="s">
        <v>13</v>
      </c>
      <c r="I170">
        <v>28</v>
      </c>
      <c r="J17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70">
        <v>0</v>
      </c>
      <c r="L170">
        <v>0</v>
      </c>
      <c r="M170">
        <f>Titanic_Dataset[[#This Row],[Parch]]+Titanic_Dataset[[#This Row],[SibSp]]</f>
        <v>0</v>
      </c>
      <c r="N170" s="1" t="s">
        <v>371</v>
      </c>
      <c r="O170">
        <v>25.925000000000001</v>
      </c>
      <c r="P170" t="e">
        <f>IF(Titanic_Dataset[[#This Row],[Survived]]=1,Titanic_Dataset[[#This Row],[Fare]],NA())</f>
        <v>#N/A</v>
      </c>
      <c r="Q170">
        <f>IF(Titanic_Dataset[[#This Row],[Survived]]=0,Titanic_Dataset[[#This Row],[Fare]],NA())</f>
        <v>25.925000000000001</v>
      </c>
      <c r="R170" t="str">
        <f>VLOOKUP(Titanic_Dataset[[#This Row],[Fare]],Table2[],2,TRUE)</f>
        <v>high</v>
      </c>
      <c r="S170" s="1" t="s">
        <v>15</v>
      </c>
      <c r="T170" s="1" t="s">
        <v>16</v>
      </c>
      <c r="U170" s="1"/>
      <c r="V170" s="1"/>
      <c r="W170" s="1"/>
    </row>
    <row r="171" spans="1:23" x14ac:dyDescent="0.25">
      <c r="A171">
        <v>170</v>
      </c>
      <c r="B171">
        <v>0</v>
      </c>
      <c r="C171" t="str">
        <f>IF(Titanic_Dataset[[#This Row],[Survived]]=1,"Survived","Died")</f>
        <v>Died</v>
      </c>
      <c r="D171">
        <v>3</v>
      </c>
      <c r="E171" t="str">
        <f>IF(Titanic_Dataset[[#This Row],[Pclass]]=1,"1st",IF(Titanic_Dataset[[#This Row],[Pclass]]=2,"2nd",IF(Titanic_Dataset[[#This Row],[Pclass]]=3,"3rd")))</f>
        <v>3rd</v>
      </c>
      <c r="F171" s="1" t="s">
        <v>372</v>
      </c>
      <c r="G171" s="1" t="str">
        <f>TRIM(MID(Titanic_Dataset[[#This Row],[Name]],
FIND(",",Titanic_Dataset[[#This Row],[Name]])+2,
FIND(".",Titanic_Dataset[[#This Row],[Name]],FIND(",",Titanic_Dataset[[#This Row],[Name]]))-FIND(",",Titanic_Dataset[[#This Row],[Name]])-1))</f>
        <v>Mr.</v>
      </c>
      <c r="H171" s="1" t="s">
        <v>13</v>
      </c>
      <c r="I171">
        <v>28</v>
      </c>
      <c r="J17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71">
        <v>0</v>
      </c>
      <c r="L171">
        <v>0</v>
      </c>
      <c r="M171">
        <f>Titanic_Dataset[[#This Row],[Parch]]+Titanic_Dataset[[#This Row],[SibSp]]</f>
        <v>0</v>
      </c>
      <c r="N171" s="1" t="s">
        <v>180</v>
      </c>
      <c r="O171">
        <v>56.495800000000003</v>
      </c>
      <c r="P171" t="e">
        <f>IF(Titanic_Dataset[[#This Row],[Survived]]=1,Titanic_Dataset[[#This Row],[Fare]],NA())</f>
        <v>#N/A</v>
      </c>
      <c r="Q171">
        <f>IF(Titanic_Dataset[[#This Row],[Survived]]=0,Titanic_Dataset[[#This Row],[Fare]],NA())</f>
        <v>56.495800000000003</v>
      </c>
      <c r="R171" t="str">
        <f>VLOOKUP(Titanic_Dataset[[#This Row],[Fare]],Table2[],2,TRUE)</f>
        <v>very hiegh</v>
      </c>
      <c r="S171" s="1" t="s">
        <v>15</v>
      </c>
      <c r="T171" s="1" t="s">
        <v>16</v>
      </c>
      <c r="U171" s="1"/>
      <c r="V171" s="1"/>
      <c r="W171" s="1"/>
    </row>
    <row r="172" spans="1:23" x14ac:dyDescent="0.25">
      <c r="A172">
        <v>171</v>
      </c>
      <c r="B172">
        <v>0</v>
      </c>
      <c r="C172" t="str">
        <f>IF(Titanic_Dataset[[#This Row],[Survived]]=1,"Survived","Died")</f>
        <v>Died</v>
      </c>
      <c r="D172">
        <v>1</v>
      </c>
      <c r="E172" t="str">
        <f>IF(Titanic_Dataset[[#This Row],[Pclass]]=1,"1st",IF(Titanic_Dataset[[#This Row],[Pclass]]=2,"2nd",IF(Titanic_Dataset[[#This Row],[Pclass]]=3,"3rd")))</f>
        <v>1st</v>
      </c>
      <c r="F172" s="1" t="s">
        <v>373</v>
      </c>
      <c r="G172" s="1" t="str">
        <f>TRIM(MID(Titanic_Dataset[[#This Row],[Name]],
FIND(",",Titanic_Dataset[[#This Row],[Name]])+2,
FIND(".",Titanic_Dataset[[#This Row],[Name]],FIND(",",Titanic_Dataset[[#This Row],[Name]]))-FIND(",",Titanic_Dataset[[#This Row],[Name]])-1))</f>
        <v>Mr.</v>
      </c>
      <c r="H172" s="1" t="s">
        <v>13</v>
      </c>
      <c r="I172">
        <v>61</v>
      </c>
      <c r="J172" t="str">
        <f>IF(Titanic_Dataset[[#This Row],[Age]]&lt;12,"0-11",
IF(Titanic_Dataset[[#This Row],[Age]]&lt;20,"12-19",
IF(Titanic_Dataset[[#This Row],[Age]]&lt;30,"20-29",
IF(Titanic_Dataset[[#This Row],[Age]]&lt;40,"30-39",
IF(Titanic_Dataset[[#This Row],[Age]]&lt;50,"40-49",
IF(Titanic_Dataset[[#This Row],[Age]]&lt;60,"50-59",
IF(Titanic_Dataset[[#This Row],[Age]]&lt;70,"60-69",)))))))</f>
        <v>60-69</v>
      </c>
      <c r="K172">
        <v>0</v>
      </c>
      <c r="L172">
        <v>0</v>
      </c>
      <c r="M172">
        <f>Titanic_Dataset[[#This Row],[Parch]]+Titanic_Dataset[[#This Row],[SibSp]]</f>
        <v>0</v>
      </c>
      <c r="N172" s="1" t="s">
        <v>374</v>
      </c>
      <c r="O172">
        <v>33.5</v>
      </c>
      <c r="P172" t="e">
        <f>IF(Titanic_Dataset[[#This Row],[Survived]]=1,Titanic_Dataset[[#This Row],[Fare]],NA())</f>
        <v>#N/A</v>
      </c>
      <c r="Q172">
        <f>IF(Titanic_Dataset[[#This Row],[Survived]]=0,Titanic_Dataset[[#This Row],[Fare]],NA())</f>
        <v>33.5</v>
      </c>
      <c r="R172" t="str">
        <f>VLOOKUP(Titanic_Dataset[[#This Row],[Fare]],Table2[],2,TRUE)</f>
        <v>very hiegh</v>
      </c>
      <c r="S172" s="1" t="s">
        <v>375</v>
      </c>
      <c r="T172" s="1" t="s">
        <v>16</v>
      </c>
      <c r="U172" s="1"/>
      <c r="V172" s="1"/>
      <c r="W172" s="1"/>
    </row>
    <row r="173" spans="1:23" x14ac:dyDescent="0.25">
      <c r="A173">
        <v>172</v>
      </c>
      <c r="B173">
        <v>0</v>
      </c>
      <c r="C173" t="str">
        <f>IF(Titanic_Dataset[[#This Row],[Survived]]=1,"Survived","Died")</f>
        <v>Died</v>
      </c>
      <c r="D173">
        <v>3</v>
      </c>
      <c r="E173" t="str">
        <f>IF(Titanic_Dataset[[#This Row],[Pclass]]=1,"1st",IF(Titanic_Dataset[[#This Row],[Pclass]]=2,"2nd",IF(Titanic_Dataset[[#This Row],[Pclass]]=3,"3rd")))</f>
        <v>3rd</v>
      </c>
      <c r="F173" s="1" t="s">
        <v>376</v>
      </c>
      <c r="G173" s="1" t="str">
        <f>TRIM(MID(Titanic_Dataset[[#This Row],[Name]],
FIND(",",Titanic_Dataset[[#This Row],[Name]])+2,
FIND(".",Titanic_Dataset[[#This Row],[Name]],FIND(",",Titanic_Dataset[[#This Row],[Name]]))-FIND(",",Titanic_Dataset[[#This Row],[Name]])-1))</f>
        <v>Master.</v>
      </c>
      <c r="H173" s="1" t="s">
        <v>13</v>
      </c>
      <c r="I173">
        <v>4</v>
      </c>
      <c r="J173" t="str">
        <f>IF(Titanic_Dataset[[#This Row],[Age]]&lt;12,"0-11",
IF(Titanic_Dataset[[#This Row],[Age]]&lt;20,"12-19",
IF(Titanic_Dataset[[#This Row],[Age]]&lt;30,"20-29",
IF(Titanic_Dataset[[#This Row],[Age]]&lt;40,"30-39",
IF(Titanic_Dataset[[#This Row],[Age]]&lt;50,"40-49",
IF(Titanic_Dataset[[#This Row],[Age]]&lt;60,"50-59",
IF(Titanic_Dataset[[#This Row],[Age]]&lt;70,"60-69",)))))))</f>
        <v>0-11</v>
      </c>
      <c r="K173">
        <v>4</v>
      </c>
      <c r="L173">
        <v>1</v>
      </c>
      <c r="M173">
        <f>Titanic_Dataset[[#This Row],[Parch]]+Titanic_Dataset[[#This Row],[SibSp]]</f>
        <v>5</v>
      </c>
      <c r="N173" s="1" t="s">
        <v>56</v>
      </c>
      <c r="O173">
        <v>29.125</v>
      </c>
      <c r="P173" t="e">
        <f>IF(Titanic_Dataset[[#This Row],[Survived]]=1,Titanic_Dataset[[#This Row],[Fare]],NA())</f>
        <v>#N/A</v>
      </c>
      <c r="Q173">
        <f>IF(Titanic_Dataset[[#This Row],[Survived]]=0,Titanic_Dataset[[#This Row],[Fare]],NA())</f>
        <v>29.125</v>
      </c>
      <c r="R173" t="str">
        <f>VLOOKUP(Titanic_Dataset[[#This Row],[Fare]],Table2[],2,TRUE)</f>
        <v>high</v>
      </c>
      <c r="S173" s="1" t="s">
        <v>15</v>
      </c>
      <c r="T173" s="1" t="s">
        <v>31</v>
      </c>
      <c r="U173" s="1"/>
      <c r="V173" s="1"/>
      <c r="W173" s="1"/>
    </row>
    <row r="174" spans="1:23" x14ac:dyDescent="0.25">
      <c r="A174">
        <v>173</v>
      </c>
      <c r="B174">
        <v>1</v>
      </c>
      <c r="C174" t="str">
        <f>IF(Titanic_Dataset[[#This Row],[Survived]]=1,"Survived","Died")</f>
        <v>Survived</v>
      </c>
      <c r="D174">
        <v>3</v>
      </c>
      <c r="E174" t="str">
        <f>IF(Titanic_Dataset[[#This Row],[Pclass]]=1,"1st",IF(Titanic_Dataset[[#This Row],[Pclass]]=2,"2nd",IF(Titanic_Dataset[[#This Row],[Pclass]]=3,"3rd")))</f>
        <v>3rd</v>
      </c>
      <c r="F174" s="1" t="s">
        <v>377</v>
      </c>
      <c r="G174" s="1" t="str">
        <f>TRIM(MID(Titanic_Dataset[[#This Row],[Name]],
FIND(",",Titanic_Dataset[[#This Row],[Name]])+2,
FIND(".",Titanic_Dataset[[#This Row],[Name]],FIND(",",Titanic_Dataset[[#This Row],[Name]]))-FIND(",",Titanic_Dataset[[#This Row],[Name]])-1))</f>
        <v>Miss.</v>
      </c>
      <c r="H174" s="1" t="s">
        <v>18</v>
      </c>
      <c r="I174">
        <v>1</v>
      </c>
      <c r="J174" t="str">
        <f>IF(Titanic_Dataset[[#This Row],[Age]]&lt;12,"0-11",
IF(Titanic_Dataset[[#This Row],[Age]]&lt;20,"12-19",
IF(Titanic_Dataset[[#This Row],[Age]]&lt;30,"20-29",
IF(Titanic_Dataset[[#This Row],[Age]]&lt;40,"30-39",
IF(Titanic_Dataset[[#This Row],[Age]]&lt;50,"40-49",
IF(Titanic_Dataset[[#This Row],[Age]]&lt;60,"50-59",
IF(Titanic_Dataset[[#This Row],[Age]]&lt;70,"60-69",)))))))</f>
        <v>0-11</v>
      </c>
      <c r="K174">
        <v>1</v>
      </c>
      <c r="L174">
        <v>1</v>
      </c>
      <c r="M174">
        <f>Titanic_Dataset[[#This Row],[Parch]]+Titanic_Dataset[[#This Row],[SibSp]]</f>
        <v>2</v>
      </c>
      <c r="N174" s="1" t="s">
        <v>38</v>
      </c>
      <c r="O174">
        <v>11.1333</v>
      </c>
      <c r="P174">
        <f>IF(Titanic_Dataset[[#This Row],[Survived]]=1,Titanic_Dataset[[#This Row],[Fare]],NA())</f>
        <v>11.1333</v>
      </c>
      <c r="Q174" t="e">
        <f>IF(Titanic_Dataset[[#This Row],[Survived]]=0,Titanic_Dataset[[#This Row],[Fare]],NA())</f>
        <v>#N/A</v>
      </c>
      <c r="R174" t="str">
        <f>VLOOKUP(Titanic_Dataset[[#This Row],[Fare]],Table2[],2,TRUE)</f>
        <v>medium</v>
      </c>
      <c r="S174" s="1" t="s">
        <v>15</v>
      </c>
      <c r="T174" s="1" t="s">
        <v>16</v>
      </c>
      <c r="U174" s="1"/>
      <c r="V174" s="1"/>
      <c r="W174" s="1"/>
    </row>
    <row r="175" spans="1:23" x14ac:dyDescent="0.25">
      <c r="A175">
        <v>174</v>
      </c>
      <c r="B175">
        <v>0</v>
      </c>
      <c r="C175" t="str">
        <f>IF(Titanic_Dataset[[#This Row],[Survived]]=1,"Survived","Died")</f>
        <v>Died</v>
      </c>
      <c r="D175">
        <v>3</v>
      </c>
      <c r="E175" t="str">
        <f>IF(Titanic_Dataset[[#This Row],[Pclass]]=1,"1st",IF(Titanic_Dataset[[#This Row],[Pclass]]=2,"2nd",IF(Titanic_Dataset[[#This Row],[Pclass]]=3,"3rd")))</f>
        <v>3rd</v>
      </c>
      <c r="F175" s="1" t="s">
        <v>378</v>
      </c>
      <c r="G175" s="1" t="str">
        <f>TRIM(MID(Titanic_Dataset[[#This Row],[Name]],
FIND(",",Titanic_Dataset[[#This Row],[Name]])+2,
FIND(".",Titanic_Dataset[[#This Row],[Name]],FIND(",",Titanic_Dataset[[#This Row],[Name]]))-FIND(",",Titanic_Dataset[[#This Row],[Name]])-1))</f>
        <v>Mr.</v>
      </c>
      <c r="H175" s="1" t="s">
        <v>13</v>
      </c>
      <c r="I175">
        <v>21</v>
      </c>
      <c r="J17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75">
        <v>0</v>
      </c>
      <c r="L175">
        <v>0</v>
      </c>
      <c r="M175">
        <f>Titanic_Dataset[[#This Row],[Parch]]+Titanic_Dataset[[#This Row],[SibSp]]</f>
        <v>0</v>
      </c>
      <c r="N175" s="1" t="s">
        <v>379</v>
      </c>
      <c r="O175">
        <v>7.9249999999999998</v>
      </c>
      <c r="P175" t="e">
        <f>IF(Titanic_Dataset[[#This Row],[Survived]]=1,Titanic_Dataset[[#This Row],[Fare]],NA())</f>
        <v>#N/A</v>
      </c>
      <c r="Q175">
        <f>IF(Titanic_Dataset[[#This Row],[Survived]]=0,Titanic_Dataset[[#This Row],[Fare]],NA())</f>
        <v>7.9249999999999998</v>
      </c>
      <c r="R175" t="str">
        <f>VLOOKUP(Titanic_Dataset[[#This Row],[Fare]],Table2[],2,TRUE)</f>
        <v>low</v>
      </c>
      <c r="S175" s="1" t="s">
        <v>15</v>
      </c>
      <c r="T175" s="1" t="s">
        <v>16</v>
      </c>
      <c r="U175" s="1"/>
      <c r="V175" s="1"/>
      <c r="W175" s="1"/>
    </row>
    <row r="176" spans="1:23" x14ac:dyDescent="0.25">
      <c r="A176">
        <v>175</v>
      </c>
      <c r="B176">
        <v>0</v>
      </c>
      <c r="C176" t="str">
        <f>IF(Titanic_Dataset[[#This Row],[Survived]]=1,"Survived","Died")</f>
        <v>Died</v>
      </c>
      <c r="D176">
        <v>1</v>
      </c>
      <c r="E176" t="str">
        <f>IF(Titanic_Dataset[[#This Row],[Pclass]]=1,"1st",IF(Titanic_Dataset[[#This Row],[Pclass]]=2,"2nd",IF(Titanic_Dataset[[#This Row],[Pclass]]=3,"3rd")))</f>
        <v>1st</v>
      </c>
      <c r="F176" s="1" t="s">
        <v>380</v>
      </c>
      <c r="G176" s="1" t="str">
        <f>TRIM(MID(Titanic_Dataset[[#This Row],[Name]],
FIND(",",Titanic_Dataset[[#This Row],[Name]])+2,
FIND(".",Titanic_Dataset[[#This Row],[Name]],FIND(",",Titanic_Dataset[[#This Row],[Name]]))-FIND(",",Titanic_Dataset[[#This Row],[Name]])-1))</f>
        <v>Mr.</v>
      </c>
      <c r="H176" s="1" t="s">
        <v>13</v>
      </c>
      <c r="I176">
        <v>56</v>
      </c>
      <c r="J176" t="str">
        <f>IF(Titanic_Dataset[[#This Row],[Age]]&lt;12,"0-11",
IF(Titanic_Dataset[[#This Row],[Age]]&lt;20,"12-19",
IF(Titanic_Dataset[[#This Row],[Age]]&lt;30,"20-29",
IF(Titanic_Dataset[[#This Row],[Age]]&lt;40,"30-39",
IF(Titanic_Dataset[[#This Row],[Age]]&lt;50,"40-49",
IF(Titanic_Dataset[[#This Row],[Age]]&lt;60,"50-59",
IF(Titanic_Dataset[[#This Row],[Age]]&lt;70,"60-69",)))))))</f>
        <v>50-59</v>
      </c>
      <c r="K176">
        <v>0</v>
      </c>
      <c r="L176">
        <v>0</v>
      </c>
      <c r="M176">
        <f>Titanic_Dataset[[#This Row],[Parch]]+Titanic_Dataset[[#This Row],[SibSp]]</f>
        <v>0</v>
      </c>
      <c r="N176" s="1" t="s">
        <v>381</v>
      </c>
      <c r="O176">
        <v>30.695799999999998</v>
      </c>
      <c r="P176" t="e">
        <f>IF(Titanic_Dataset[[#This Row],[Survived]]=1,Titanic_Dataset[[#This Row],[Fare]],NA())</f>
        <v>#N/A</v>
      </c>
      <c r="Q176">
        <f>IF(Titanic_Dataset[[#This Row],[Survived]]=0,Titanic_Dataset[[#This Row],[Fare]],NA())</f>
        <v>30.695799999999998</v>
      </c>
      <c r="R176" t="str">
        <f>VLOOKUP(Titanic_Dataset[[#This Row],[Fare]],Table2[],2,TRUE)</f>
        <v>very hiegh</v>
      </c>
      <c r="S176" s="1" t="s">
        <v>382</v>
      </c>
      <c r="T176" s="1" t="s">
        <v>21</v>
      </c>
      <c r="U176" s="1"/>
      <c r="V176" s="1"/>
      <c r="W176" s="1"/>
    </row>
    <row r="177" spans="1:23" x14ac:dyDescent="0.25">
      <c r="A177">
        <v>176</v>
      </c>
      <c r="B177">
        <v>0</v>
      </c>
      <c r="C177" t="str">
        <f>IF(Titanic_Dataset[[#This Row],[Survived]]=1,"Survived","Died")</f>
        <v>Died</v>
      </c>
      <c r="D177">
        <v>3</v>
      </c>
      <c r="E177" t="str">
        <f>IF(Titanic_Dataset[[#This Row],[Pclass]]=1,"1st",IF(Titanic_Dataset[[#This Row],[Pclass]]=2,"2nd",IF(Titanic_Dataset[[#This Row],[Pclass]]=3,"3rd")))</f>
        <v>3rd</v>
      </c>
      <c r="F177" s="1" t="s">
        <v>383</v>
      </c>
      <c r="G177" s="1" t="str">
        <f>TRIM(MID(Titanic_Dataset[[#This Row],[Name]],
FIND(",",Titanic_Dataset[[#This Row],[Name]])+2,
FIND(".",Titanic_Dataset[[#This Row],[Name]],FIND(",",Titanic_Dataset[[#This Row],[Name]]))-FIND(",",Titanic_Dataset[[#This Row],[Name]])-1))</f>
        <v>Mr.</v>
      </c>
      <c r="H177" s="1" t="s">
        <v>13</v>
      </c>
      <c r="I177">
        <v>18</v>
      </c>
      <c r="J177" t="str">
        <f>IF(Titanic_Dataset[[#This Row],[Age]]&lt;12,"0-11",
IF(Titanic_Dataset[[#This Row],[Age]]&lt;20,"12-19",
IF(Titanic_Dataset[[#This Row],[Age]]&lt;30,"20-29",
IF(Titanic_Dataset[[#This Row],[Age]]&lt;40,"30-39",
IF(Titanic_Dataset[[#This Row],[Age]]&lt;50,"40-49",
IF(Titanic_Dataset[[#This Row],[Age]]&lt;60,"50-59",
IF(Titanic_Dataset[[#This Row],[Age]]&lt;70,"60-69",)))))))</f>
        <v>12-19</v>
      </c>
      <c r="K177">
        <v>1</v>
      </c>
      <c r="L177">
        <v>1</v>
      </c>
      <c r="M177">
        <f>Titanic_Dataset[[#This Row],[Parch]]+Titanic_Dataset[[#This Row],[SibSp]]</f>
        <v>2</v>
      </c>
      <c r="N177" s="1" t="s">
        <v>384</v>
      </c>
      <c r="O177">
        <v>7.8541999999999996</v>
      </c>
      <c r="P177" t="e">
        <f>IF(Titanic_Dataset[[#This Row],[Survived]]=1,Titanic_Dataset[[#This Row],[Fare]],NA())</f>
        <v>#N/A</v>
      </c>
      <c r="Q177">
        <f>IF(Titanic_Dataset[[#This Row],[Survived]]=0,Titanic_Dataset[[#This Row],[Fare]],NA())</f>
        <v>7.8541999999999996</v>
      </c>
      <c r="R177" t="str">
        <f>VLOOKUP(Titanic_Dataset[[#This Row],[Fare]],Table2[],2,TRUE)</f>
        <v>low</v>
      </c>
      <c r="S177" s="1" t="s">
        <v>15</v>
      </c>
      <c r="T177" s="1" t="s">
        <v>16</v>
      </c>
      <c r="U177" s="1"/>
      <c r="V177" s="1"/>
      <c r="W177" s="1"/>
    </row>
    <row r="178" spans="1:23" x14ac:dyDescent="0.25">
      <c r="A178">
        <v>177</v>
      </c>
      <c r="B178">
        <v>0</v>
      </c>
      <c r="C178" t="str">
        <f>IF(Titanic_Dataset[[#This Row],[Survived]]=1,"Survived","Died")</f>
        <v>Died</v>
      </c>
      <c r="D178">
        <v>3</v>
      </c>
      <c r="E178" t="str">
        <f>IF(Titanic_Dataset[[#This Row],[Pclass]]=1,"1st",IF(Titanic_Dataset[[#This Row],[Pclass]]=2,"2nd",IF(Titanic_Dataset[[#This Row],[Pclass]]=3,"3rd")))</f>
        <v>3rd</v>
      </c>
      <c r="F178" s="1" t="s">
        <v>385</v>
      </c>
      <c r="G178" s="1" t="str">
        <f>TRIM(MID(Titanic_Dataset[[#This Row],[Name]],
FIND(",",Titanic_Dataset[[#This Row],[Name]])+2,
FIND(".",Titanic_Dataset[[#This Row],[Name]],FIND(",",Titanic_Dataset[[#This Row],[Name]]))-FIND(",",Titanic_Dataset[[#This Row],[Name]])-1))</f>
        <v>Master.</v>
      </c>
      <c r="H178" s="1" t="s">
        <v>13</v>
      </c>
      <c r="I178">
        <v>28</v>
      </c>
      <c r="J17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78">
        <v>3</v>
      </c>
      <c r="L178">
        <v>1</v>
      </c>
      <c r="M178">
        <f>Titanic_Dataset[[#This Row],[Parch]]+Titanic_Dataset[[#This Row],[SibSp]]</f>
        <v>4</v>
      </c>
      <c r="N178" s="1" t="s">
        <v>386</v>
      </c>
      <c r="O178">
        <v>25.466699999999999</v>
      </c>
      <c r="P178" t="e">
        <f>IF(Titanic_Dataset[[#This Row],[Survived]]=1,Titanic_Dataset[[#This Row],[Fare]],NA())</f>
        <v>#N/A</v>
      </c>
      <c r="Q178">
        <f>IF(Titanic_Dataset[[#This Row],[Survived]]=0,Titanic_Dataset[[#This Row],[Fare]],NA())</f>
        <v>25.466699999999999</v>
      </c>
      <c r="R178" t="str">
        <f>VLOOKUP(Titanic_Dataset[[#This Row],[Fare]],Table2[],2,TRUE)</f>
        <v>high</v>
      </c>
      <c r="S178" s="1" t="s">
        <v>15</v>
      </c>
      <c r="T178" s="1" t="s">
        <v>16</v>
      </c>
      <c r="U178" s="1"/>
      <c r="V178" s="1"/>
      <c r="W178" s="1"/>
    </row>
    <row r="179" spans="1:23" x14ac:dyDescent="0.25">
      <c r="A179">
        <v>178</v>
      </c>
      <c r="B179">
        <v>0</v>
      </c>
      <c r="C179" t="str">
        <f>IF(Titanic_Dataset[[#This Row],[Survived]]=1,"Survived","Died")</f>
        <v>Died</v>
      </c>
      <c r="D179">
        <v>1</v>
      </c>
      <c r="E179" t="str">
        <f>IF(Titanic_Dataset[[#This Row],[Pclass]]=1,"1st",IF(Titanic_Dataset[[#This Row],[Pclass]]=2,"2nd",IF(Titanic_Dataset[[#This Row],[Pclass]]=3,"3rd")))</f>
        <v>1st</v>
      </c>
      <c r="F179" s="1" t="s">
        <v>387</v>
      </c>
      <c r="G179" s="1" t="str">
        <f>TRIM(MID(Titanic_Dataset[[#This Row],[Name]],
FIND(",",Titanic_Dataset[[#This Row],[Name]])+2,
FIND(".",Titanic_Dataset[[#This Row],[Name]],FIND(",",Titanic_Dataset[[#This Row],[Name]]))-FIND(",",Titanic_Dataset[[#This Row],[Name]])-1))</f>
        <v>Miss.</v>
      </c>
      <c r="H179" s="1" t="s">
        <v>18</v>
      </c>
      <c r="I179">
        <v>50</v>
      </c>
      <c r="J179" t="str">
        <f>IF(Titanic_Dataset[[#This Row],[Age]]&lt;12,"0-11",
IF(Titanic_Dataset[[#This Row],[Age]]&lt;20,"12-19",
IF(Titanic_Dataset[[#This Row],[Age]]&lt;30,"20-29",
IF(Titanic_Dataset[[#This Row],[Age]]&lt;40,"30-39",
IF(Titanic_Dataset[[#This Row],[Age]]&lt;50,"40-49",
IF(Titanic_Dataset[[#This Row],[Age]]&lt;60,"50-59",
IF(Titanic_Dataset[[#This Row],[Age]]&lt;70,"60-69",)))))))</f>
        <v>50-59</v>
      </c>
      <c r="K179">
        <v>0</v>
      </c>
      <c r="L179">
        <v>0</v>
      </c>
      <c r="M179">
        <f>Titanic_Dataset[[#This Row],[Parch]]+Titanic_Dataset[[#This Row],[SibSp]]</f>
        <v>0</v>
      </c>
      <c r="N179" s="1" t="s">
        <v>388</v>
      </c>
      <c r="O179">
        <v>28.712499999999999</v>
      </c>
      <c r="P179" t="e">
        <f>IF(Titanic_Dataset[[#This Row],[Survived]]=1,Titanic_Dataset[[#This Row],[Fare]],NA())</f>
        <v>#N/A</v>
      </c>
      <c r="Q179">
        <f>IF(Titanic_Dataset[[#This Row],[Survived]]=0,Titanic_Dataset[[#This Row],[Fare]],NA())</f>
        <v>28.712499999999999</v>
      </c>
      <c r="R179" t="str">
        <f>VLOOKUP(Titanic_Dataset[[#This Row],[Fare]],Table2[],2,TRUE)</f>
        <v>high</v>
      </c>
      <c r="S179" s="1" t="s">
        <v>389</v>
      </c>
      <c r="T179" s="1" t="s">
        <v>21</v>
      </c>
      <c r="U179" s="1"/>
      <c r="V179" s="1"/>
      <c r="W179" s="1"/>
    </row>
    <row r="180" spans="1:23" x14ac:dyDescent="0.25">
      <c r="A180">
        <v>179</v>
      </c>
      <c r="B180">
        <v>0</v>
      </c>
      <c r="C180" t="str">
        <f>IF(Titanic_Dataset[[#This Row],[Survived]]=1,"Survived","Died")</f>
        <v>Died</v>
      </c>
      <c r="D180">
        <v>2</v>
      </c>
      <c r="E180" t="str">
        <f>IF(Titanic_Dataset[[#This Row],[Pclass]]=1,"1st",IF(Titanic_Dataset[[#This Row],[Pclass]]=2,"2nd",IF(Titanic_Dataset[[#This Row],[Pclass]]=3,"3rd")))</f>
        <v>2nd</v>
      </c>
      <c r="F180" s="1" t="s">
        <v>390</v>
      </c>
      <c r="G180" s="1" t="str">
        <f>TRIM(MID(Titanic_Dataset[[#This Row],[Name]],
FIND(",",Titanic_Dataset[[#This Row],[Name]])+2,
FIND(".",Titanic_Dataset[[#This Row],[Name]],FIND(",",Titanic_Dataset[[#This Row],[Name]]))-FIND(",",Titanic_Dataset[[#This Row],[Name]])-1))</f>
        <v>Mr.</v>
      </c>
      <c r="H180" s="1" t="s">
        <v>13</v>
      </c>
      <c r="I180">
        <v>30</v>
      </c>
      <c r="J180" t="str">
        <f>IF(Titanic_Dataset[[#This Row],[Age]]&lt;12,"0-11",
IF(Titanic_Dataset[[#This Row],[Age]]&lt;20,"12-19",
IF(Titanic_Dataset[[#This Row],[Age]]&lt;30,"20-29",
IF(Titanic_Dataset[[#This Row],[Age]]&lt;40,"30-39",
IF(Titanic_Dataset[[#This Row],[Age]]&lt;50,"40-49",
IF(Titanic_Dataset[[#This Row],[Age]]&lt;60,"50-59",
IF(Titanic_Dataset[[#This Row],[Age]]&lt;70,"60-69",)))))))</f>
        <v>30-39</v>
      </c>
      <c r="K180">
        <v>0</v>
      </c>
      <c r="L180">
        <v>0</v>
      </c>
      <c r="M180">
        <f>Titanic_Dataset[[#This Row],[Parch]]+Titanic_Dataset[[#This Row],[SibSp]]</f>
        <v>0</v>
      </c>
      <c r="N180" s="1" t="s">
        <v>391</v>
      </c>
      <c r="O180">
        <v>13</v>
      </c>
      <c r="P180" t="e">
        <f>IF(Titanic_Dataset[[#This Row],[Survived]]=1,Titanic_Dataset[[#This Row],[Fare]],NA())</f>
        <v>#N/A</v>
      </c>
      <c r="Q180">
        <f>IF(Titanic_Dataset[[#This Row],[Survived]]=0,Titanic_Dataset[[#This Row],[Fare]],NA())</f>
        <v>13</v>
      </c>
      <c r="R180" t="str">
        <f>VLOOKUP(Titanic_Dataset[[#This Row],[Fare]],Table2[],2,TRUE)</f>
        <v>medium</v>
      </c>
      <c r="S180" s="1" t="s">
        <v>15</v>
      </c>
      <c r="T180" s="1" t="s">
        <v>16</v>
      </c>
      <c r="U180" s="1"/>
      <c r="V180" s="1"/>
      <c r="W180" s="1"/>
    </row>
    <row r="181" spans="1:23" x14ac:dyDescent="0.25">
      <c r="A181">
        <v>180</v>
      </c>
      <c r="B181">
        <v>0</v>
      </c>
      <c r="C181" t="str">
        <f>IF(Titanic_Dataset[[#This Row],[Survived]]=1,"Survived","Died")</f>
        <v>Died</v>
      </c>
      <c r="D181">
        <v>3</v>
      </c>
      <c r="E181" t="str">
        <f>IF(Titanic_Dataset[[#This Row],[Pclass]]=1,"1st",IF(Titanic_Dataset[[#This Row],[Pclass]]=2,"2nd",IF(Titanic_Dataset[[#This Row],[Pclass]]=3,"3rd")))</f>
        <v>3rd</v>
      </c>
      <c r="F181" s="1" t="s">
        <v>392</v>
      </c>
      <c r="G181" s="1" t="str">
        <f>TRIM(MID(Titanic_Dataset[[#This Row],[Name]],
FIND(",",Titanic_Dataset[[#This Row],[Name]])+2,
FIND(".",Titanic_Dataset[[#This Row],[Name]],FIND(",",Titanic_Dataset[[#This Row],[Name]]))-FIND(",",Titanic_Dataset[[#This Row],[Name]])-1))</f>
        <v>Mr.</v>
      </c>
      <c r="H181" s="1" t="s">
        <v>13</v>
      </c>
      <c r="I181">
        <v>36</v>
      </c>
      <c r="J181" t="str">
        <f>IF(Titanic_Dataset[[#This Row],[Age]]&lt;12,"0-11",
IF(Titanic_Dataset[[#This Row],[Age]]&lt;20,"12-19",
IF(Titanic_Dataset[[#This Row],[Age]]&lt;30,"20-29",
IF(Titanic_Dataset[[#This Row],[Age]]&lt;40,"30-39",
IF(Titanic_Dataset[[#This Row],[Age]]&lt;50,"40-49",
IF(Titanic_Dataset[[#This Row],[Age]]&lt;60,"50-59",
IF(Titanic_Dataset[[#This Row],[Age]]&lt;70,"60-69",)))))))</f>
        <v>30-39</v>
      </c>
      <c r="K181">
        <v>0</v>
      </c>
      <c r="L181">
        <v>0</v>
      </c>
      <c r="M181">
        <f>Titanic_Dataset[[#This Row],[Parch]]+Titanic_Dataset[[#This Row],[SibSp]]</f>
        <v>0</v>
      </c>
      <c r="N181" s="1" t="s">
        <v>393</v>
      </c>
      <c r="O181">
        <v>0</v>
      </c>
      <c r="P181" t="e">
        <f>IF(Titanic_Dataset[[#This Row],[Survived]]=1,Titanic_Dataset[[#This Row],[Fare]],NA())</f>
        <v>#N/A</v>
      </c>
      <c r="Q181">
        <f>IF(Titanic_Dataset[[#This Row],[Survived]]=0,Titanic_Dataset[[#This Row],[Fare]],NA())</f>
        <v>0</v>
      </c>
      <c r="R181" t="str">
        <f>VLOOKUP(Titanic_Dataset[[#This Row],[Fare]],Table2[],2,TRUE)</f>
        <v>low</v>
      </c>
      <c r="S181" s="1" t="s">
        <v>15</v>
      </c>
      <c r="T181" s="1" t="s">
        <v>16</v>
      </c>
      <c r="U181" s="1"/>
      <c r="V181" s="1"/>
      <c r="W181" s="1"/>
    </row>
    <row r="182" spans="1:23" x14ac:dyDescent="0.25">
      <c r="A182">
        <v>181</v>
      </c>
      <c r="B182">
        <v>0</v>
      </c>
      <c r="C182" t="str">
        <f>IF(Titanic_Dataset[[#This Row],[Survived]]=1,"Survived","Died")</f>
        <v>Died</v>
      </c>
      <c r="D182">
        <v>3</v>
      </c>
      <c r="E182" t="str">
        <f>IF(Titanic_Dataset[[#This Row],[Pclass]]=1,"1st",IF(Titanic_Dataset[[#This Row],[Pclass]]=2,"2nd",IF(Titanic_Dataset[[#This Row],[Pclass]]=3,"3rd")))</f>
        <v>3rd</v>
      </c>
      <c r="F182" s="1" t="s">
        <v>394</v>
      </c>
      <c r="G182" s="1" t="str">
        <f>TRIM(MID(Titanic_Dataset[[#This Row],[Name]],
FIND(",",Titanic_Dataset[[#This Row],[Name]])+2,
FIND(".",Titanic_Dataset[[#This Row],[Name]],FIND(",",Titanic_Dataset[[#This Row],[Name]]))-FIND(",",Titanic_Dataset[[#This Row],[Name]])-1))</f>
        <v>Miss.</v>
      </c>
      <c r="H182" s="1" t="s">
        <v>18</v>
      </c>
      <c r="I182">
        <v>28</v>
      </c>
      <c r="J18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82">
        <v>8</v>
      </c>
      <c r="L182">
        <v>2</v>
      </c>
      <c r="M182">
        <f>Titanic_Dataset[[#This Row],[Parch]]+Titanic_Dataset[[#This Row],[SibSp]]</f>
        <v>10</v>
      </c>
      <c r="N182" s="1" t="s">
        <v>354</v>
      </c>
      <c r="O182">
        <v>69.55</v>
      </c>
      <c r="P182" t="e">
        <f>IF(Titanic_Dataset[[#This Row],[Survived]]=1,Titanic_Dataset[[#This Row],[Fare]],NA())</f>
        <v>#N/A</v>
      </c>
      <c r="Q182">
        <f>IF(Titanic_Dataset[[#This Row],[Survived]]=0,Titanic_Dataset[[#This Row],[Fare]],NA())</f>
        <v>69.55</v>
      </c>
      <c r="R182" t="str">
        <f>VLOOKUP(Titanic_Dataset[[#This Row],[Fare]],Table2[],2,TRUE)</f>
        <v>very hiegh</v>
      </c>
      <c r="S182" s="1" t="s">
        <v>15</v>
      </c>
      <c r="T182" s="1" t="s">
        <v>16</v>
      </c>
      <c r="U182" s="1"/>
      <c r="V182" s="1"/>
      <c r="W182" s="1"/>
    </row>
    <row r="183" spans="1:23" x14ac:dyDescent="0.25">
      <c r="A183">
        <v>182</v>
      </c>
      <c r="B183">
        <v>0</v>
      </c>
      <c r="C183" t="str">
        <f>IF(Titanic_Dataset[[#This Row],[Survived]]=1,"Survived","Died")</f>
        <v>Died</v>
      </c>
      <c r="D183">
        <v>2</v>
      </c>
      <c r="E183" t="str">
        <f>IF(Titanic_Dataset[[#This Row],[Pclass]]=1,"1st",IF(Titanic_Dataset[[#This Row],[Pclass]]=2,"2nd",IF(Titanic_Dataset[[#This Row],[Pclass]]=3,"3rd")))</f>
        <v>2nd</v>
      </c>
      <c r="F183" s="1" t="s">
        <v>395</v>
      </c>
      <c r="G183" s="1" t="str">
        <f>TRIM(MID(Titanic_Dataset[[#This Row],[Name]],
FIND(",",Titanic_Dataset[[#This Row],[Name]])+2,
FIND(".",Titanic_Dataset[[#This Row],[Name]],FIND(",",Titanic_Dataset[[#This Row],[Name]]))-FIND(",",Titanic_Dataset[[#This Row],[Name]])-1))</f>
        <v>Mr.</v>
      </c>
      <c r="H183" s="1" t="s">
        <v>13</v>
      </c>
      <c r="I183">
        <v>28</v>
      </c>
      <c r="J18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83">
        <v>0</v>
      </c>
      <c r="L183">
        <v>0</v>
      </c>
      <c r="M183">
        <f>Titanic_Dataset[[#This Row],[Parch]]+Titanic_Dataset[[#This Row],[SibSp]]</f>
        <v>0</v>
      </c>
      <c r="N183" s="1" t="s">
        <v>396</v>
      </c>
      <c r="O183">
        <v>15.05</v>
      </c>
      <c r="P183" t="e">
        <f>IF(Titanic_Dataset[[#This Row],[Survived]]=1,Titanic_Dataset[[#This Row],[Fare]],NA())</f>
        <v>#N/A</v>
      </c>
      <c r="Q183">
        <f>IF(Titanic_Dataset[[#This Row],[Survived]]=0,Titanic_Dataset[[#This Row],[Fare]],NA())</f>
        <v>15.05</v>
      </c>
      <c r="R183" t="str">
        <f>VLOOKUP(Titanic_Dataset[[#This Row],[Fare]],Table2[],2,TRUE)</f>
        <v>high</v>
      </c>
      <c r="S183" s="1" t="s">
        <v>15</v>
      </c>
      <c r="T183" s="1" t="s">
        <v>21</v>
      </c>
      <c r="U183" s="1"/>
      <c r="V183" s="1"/>
      <c r="W183" s="1"/>
    </row>
    <row r="184" spans="1:23" x14ac:dyDescent="0.25">
      <c r="A184">
        <v>183</v>
      </c>
      <c r="B184">
        <v>0</v>
      </c>
      <c r="C184" t="str">
        <f>IF(Titanic_Dataset[[#This Row],[Survived]]=1,"Survived","Died")</f>
        <v>Died</v>
      </c>
      <c r="D184">
        <v>3</v>
      </c>
      <c r="E184" t="str">
        <f>IF(Titanic_Dataset[[#This Row],[Pclass]]=1,"1st",IF(Titanic_Dataset[[#This Row],[Pclass]]=2,"2nd",IF(Titanic_Dataset[[#This Row],[Pclass]]=3,"3rd")))</f>
        <v>3rd</v>
      </c>
      <c r="F184" s="1" t="s">
        <v>397</v>
      </c>
      <c r="G184" s="1" t="str">
        <f>TRIM(MID(Titanic_Dataset[[#This Row],[Name]],
FIND(",",Titanic_Dataset[[#This Row],[Name]])+2,
FIND(".",Titanic_Dataset[[#This Row],[Name]],FIND(",",Titanic_Dataset[[#This Row],[Name]]))-FIND(",",Titanic_Dataset[[#This Row],[Name]])-1))</f>
        <v>Master.</v>
      </c>
      <c r="H184" s="1" t="s">
        <v>13</v>
      </c>
      <c r="I184">
        <v>9</v>
      </c>
      <c r="J184" t="str">
        <f>IF(Titanic_Dataset[[#This Row],[Age]]&lt;12,"0-11",
IF(Titanic_Dataset[[#This Row],[Age]]&lt;20,"12-19",
IF(Titanic_Dataset[[#This Row],[Age]]&lt;30,"20-29",
IF(Titanic_Dataset[[#This Row],[Age]]&lt;40,"30-39",
IF(Titanic_Dataset[[#This Row],[Age]]&lt;50,"40-49",
IF(Titanic_Dataset[[#This Row],[Age]]&lt;60,"50-59",
IF(Titanic_Dataset[[#This Row],[Age]]&lt;70,"60-69",)))))))</f>
        <v>0-11</v>
      </c>
      <c r="K184">
        <v>4</v>
      </c>
      <c r="L184">
        <v>2</v>
      </c>
      <c r="M184">
        <f>Titanic_Dataset[[#This Row],[Parch]]+Titanic_Dataset[[#This Row],[SibSp]]</f>
        <v>6</v>
      </c>
      <c r="N184" s="1" t="s">
        <v>75</v>
      </c>
      <c r="O184">
        <v>31.387499999999999</v>
      </c>
      <c r="P184" t="e">
        <f>IF(Titanic_Dataset[[#This Row],[Survived]]=1,Titanic_Dataset[[#This Row],[Fare]],NA())</f>
        <v>#N/A</v>
      </c>
      <c r="Q184">
        <f>IF(Titanic_Dataset[[#This Row],[Survived]]=0,Titanic_Dataset[[#This Row],[Fare]],NA())</f>
        <v>31.387499999999999</v>
      </c>
      <c r="R184" t="str">
        <f>VLOOKUP(Titanic_Dataset[[#This Row],[Fare]],Table2[],2,TRUE)</f>
        <v>very hiegh</v>
      </c>
      <c r="S184" s="1" t="s">
        <v>15</v>
      </c>
      <c r="T184" s="1" t="s">
        <v>16</v>
      </c>
      <c r="U184" s="1"/>
      <c r="V184" s="1"/>
      <c r="W184" s="1"/>
    </row>
    <row r="185" spans="1:23" x14ac:dyDescent="0.25">
      <c r="A185">
        <v>184</v>
      </c>
      <c r="B185">
        <v>1</v>
      </c>
      <c r="C185" t="str">
        <f>IF(Titanic_Dataset[[#This Row],[Survived]]=1,"Survived","Died")</f>
        <v>Survived</v>
      </c>
      <c r="D185">
        <v>2</v>
      </c>
      <c r="E185" t="str">
        <f>IF(Titanic_Dataset[[#This Row],[Pclass]]=1,"1st",IF(Titanic_Dataset[[#This Row],[Pclass]]=2,"2nd",IF(Titanic_Dataset[[#This Row],[Pclass]]=3,"3rd")))</f>
        <v>2nd</v>
      </c>
      <c r="F185" s="1" t="s">
        <v>398</v>
      </c>
      <c r="G185" s="1" t="str">
        <f>TRIM(MID(Titanic_Dataset[[#This Row],[Name]],
FIND(",",Titanic_Dataset[[#This Row],[Name]])+2,
FIND(".",Titanic_Dataset[[#This Row],[Name]],FIND(",",Titanic_Dataset[[#This Row],[Name]]))-FIND(",",Titanic_Dataset[[#This Row],[Name]])-1))</f>
        <v>Master.</v>
      </c>
      <c r="H185" s="1" t="s">
        <v>13</v>
      </c>
      <c r="I185">
        <v>1</v>
      </c>
      <c r="J185" t="str">
        <f>IF(Titanic_Dataset[[#This Row],[Age]]&lt;12,"0-11",
IF(Titanic_Dataset[[#This Row],[Age]]&lt;20,"12-19",
IF(Titanic_Dataset[[#This Row],[Age]]&lt;30,"20-29",
IF(Titanic_Dataset[[#This Row],[Age]]&lt;40,"30-39",
IF(Titanic_Dataset[[#This Row],[Age]]&lt;50,"40-49",
IF(Titanic_Dataset[[#This Row],[Age]]&lt;60,"50-59",
IF(Titanic_Dataset[[#This Row],[Age]]&lt;70,"60-69",)))))))</f>
        <v>0-11</v>
      </c>
      <c r="K185">
        <v>2</v>
      </c>
      <c r="L185">
        <v>1</v>
      </c>
      <c r="M185">
        <f>Titanic_Dataset[[#This Row],[Parch]]+Titanic_Dataset[[#This Row],[SibSp]]</f>
        <v>3</v>
      </c>
      <c r="N185" s="1" t="s">
        <v>399</v>
      </c>
      <c r="O185">
        <v>39</v>
      </c>
      <c r="P185">
        <f>IF(Titanic_Dataset[[#This Row],[Survived]]=1,Titanic_Dataset[[#This Row],[Fare]],NA())</f>
        <v>39</v>
      </c>
      <c r="Q185" t="e">
        <f>IF(Titanic_Dataset[[#This Row],[Survived]]=0,Titanic_Dataset[[#This Row],[Fare]],NA())</f>
        <v>#N/A</v>
      </c>
      <c r="R185" t="str">
        <f>VLOOKUP(Titanic_Dataset[[#This Row],[Fare]],Table2[],2,TRUE)</f>
        <v>very hiegh</v>
      </c>
      <c r="S185" s="1" t="s">
        <v>400</v>
      </c>
      <c r="T185" s="1" t="s">
        <v>16</v>
      </c>
      <c r="U185" s="1"/>
      <c r="V185" s="1"/>
      <c r="W185" s="1"/>
    </row>
    <row r="186" spans="1:23" x14ac:dyDescent="0.25">
      <c r="A186">
        <v>185</v>
      </c>
      <c r="B186">
        <v>1</v>
      </c>
      <c r="C186" t="str">
        <f>IF(Titanic_Dataset[[#This Row],[Survived]]=1,"Survived","Died")</f>
        <v>Survived</v>
      </c>
      <c r="D186">
        <v>3</v>
      </c>
      <c r="E186" t="str">
        <f>IF(Titanic_Dataset[[#This Row],[Pclass]]=1,"1st",IF(Titanic_Dataset[[#This Row],[Pclass]]=2,"2nd",IF(Titanic_Dataset[[#This Row],[Pclass]]=3,"3rd")))</f>
        <v>3rd</v>
      </c>
      <c r="F186" s="1" t="s">
        <v>401</v>
      </c>
      <c r="G186" s="1" t="str">
        <f>TRIM(MID(Titanic_Dataset[[#This Row],[Name]],
FIND(",",Titanic_Dataset[[#This Row],[Name]])+2,
FIND(".",Titanic_Dataset[[#This Row],[Name]],FIND(",",Titanic_Dataset[[#This Row],[Name]]))-FIND(",",Titanic_Dataset[[#This Row],[Name]])-1))</f>
        <v>Miss.</v>
      </c>
      <c r="H186" s="1" t="s">
        <v>18</v>
      </c>
      <c r="I186">
        <v>4</v>
      </c>
      <c r="J186" t="str">
        <f>IF(Titanic_Dataset[[#This Row],[Age]]&lt;12,"0-11",
IF(Titanic_Dataset[[#This Row],[Age]]&lt;20,"12-19",
IF(Titanic_Dataset[[#This Row],[Age]]&lt;30,"20-29",
IF(Titanic_Dataset[[#This Row],[Age]]&lt;40,"30-39",
IF(Titanic_Dataset[[#This Row],[Age]]&lt;50,"40-49",
IF(Titanic_Dataset[[#This Row],[Age]]&lt;60,"50-59",
IF(Titanic_Dataset[[#This Row],[Age]]&lt;70,"60-69",)))))))</f>
        <v>0-11</v>
      </c>
      <c r="K186">
        <v>0</v>
      </c>
      <c r="L186">
        <v>2</v>
      </c>
      <c r="M186">
        <f>Titanic_Dataset[[#This Row],[Parch]]+Titanic_Dataset[[#This Row],[SibSp]]</f>
        <v>2</v>
      </c>
      <c r="N186" s="1" t="s">
        <v>402</v>
      </c>
      <c r="O186">
        <v>22.024999999999999</v>
      </c>
      <c r="P186">
        <f>IF(Titanic_Dataset[[#This Row],[Survived]]=1,Titanic_Dataset[[#This Row],[Fare]],NA())</f>
        <v>22.024999999999999</v>
      </c>
      <c r="Q186" t="e">
        <f>IF(Titanic_Dataset[[#This Row],[Survived]]=0,Titanic_Dataset[[#This Row],[Fare]],NA())</f>
        <v>#N/A</v>
      </c>
      <c r="R186" t="str">
        <f>VLOOKUP(Titanic_Dataset[[#This Row],[Fare]],Table2[],2,TRUE)</f>
        <v>high</v>
      </c>
      <c r="S186" s="1" t="s">
        <v>15</v>
      </c>
      <c r="T186" s="1" t="s">
        <v>16</v>
      </c>
      <c r="U186" s="1"/>
      <c r="V186" s="1"/>
      <c r="W186" s="1"/>
    </row>
    <row r="187" spans="1:23" x14ac:dyDescent="0.25">
      <c r="A187">
        <v>186</v>
      </c>
      <c r="B187">
        <v>0</v>
      </c>
      <c r="C187" t="str">
        <f>IF(Titanic_Dataset[[#This Row],[Survived]]=1,"Survived","Died")</f>
        <v>Died</v>
      </c>
      <c r="D187">
        <v>1</v>
      </c>
      <c r="E187" t="str">
        <f>IF(Titanic_Dataset[[#This Row],[Pclass]]=1,"1st",IF(Titanic_Dataset[[#This Row],[Pclass]]=2,"2nd",IF(Titanic_Dataset[[#This Row],[Pclass]]=3,"3rd")))</f>
        <v>1st</v>
      </c>
      <c r="F187" s="1" t="s">
        <v>403</v>
      </c>
      <c r="G187" s="1" t="str">
        <f>TRIM(MID(Titanic_Dataset[[#This Row],[Name]],
FIND(",",Titanic_Dataset[[#This Row],[Name]])+2,
FIND(".",Titanic_Dataset[[#This Row],[Name]],FIND(",",Titanic_Dataset[[#This Row],[Name]]))-FIND(",",Titanic_Dataset[[#This Row],[Name]])-1))</f>
        <v>Mr.</v>
      </c>
      <c r="H187" s="1" t="s">
        <v>13</v>
      </c>
      <c r="I187">
        <v>28</v>
      </c>
      <c r="J18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87">
        <v>0</v>
      </c>
      <c r="L187">
        <v>0</v>
      </c>
      <c r="M187">
        <f>Titanic_Dataset[[#This Row],[Parch]]+Titanic_Dataset[[#This Row],[SibSp]]</f>
        <v>0</v>
      </c>
      <c r="N187" s="1" t="s">
        <v>404</v>
      </c>
      <c r="O187">
        <v>50</v>
      </c>
      <c r="P187" t="e">
        <f>IF(Titanic_Dataset[[#This Row],[Survived]]=1,Titanic_Dataset[[#This Row],[Fare]],NA())</f>
        <v>#N/A</v>
      </c>
      <c r="Q187">
        <f>IF(Titanic_Dataset[[#This Row],[Survived]]=0,Titanic_Dataset[[#This Row],[Fare]],NA())</f>
        <v>50</v>
      </c>
      <c r="R187" t="str">
        <f>VLOOKUP(Titanic_Dataset[[#This Row],[Fare]],Table2[],2,TRUE)</f>
        <v>very hiegh</v>
      </c>
      <c r="S187" s="1" t="s">
        <v>405</v>
      </c>
      <c r="T187" s="1" t="s">
        <v>16</v>
      </c>
      <c r="U187" s="1"/>
      <c r="V187" s="1"/>
      <c r="W187" s="1"/>
    </row>
    <row r="188" spans="1:23" x14ac:dyDescent="0.25">
      <c r="A188">
        <v>187</v>
      </c>
      <c r="B188">
        <v>1</v>
      </c>
      <c r="C188" t="str">
        <f>IF(Titanic_Dataset[[#This Row],[Survived]]=1,"Survived","Died")</f>
        <v>Survived</v>
      </c>
      <c r="D188">
        <v>3</v>
      </c>
      <c r="E188" t="str">
        <f>IF(Titanic_Dataset[[#This Row],[Pclass]]=1,"1st",IF(Titanic_Dataset[[#This Row],[Pclass]]=2,"2nd",IF(Titanic_Dataset[[#This Row],[Pclass]]=3,"3rd")))</f>
        <v>3rd</v>
      </c>
      <c r="F188" s="1" t="s">
        <v>406</v>
      </c>
      <c r="G188" s="1" t="str">
        <f>TRIM(MID(Titanic_Dataset[[#This Row],[Name]],
FIND(",",Titanic_Dataset[[#This Row],[Name]])+2,
FIND(".",Titanic_Dataset[[#This Row],[Name]],FIND(",",Titanic_Dataset[[#This Row],[Name]]))-FIND(",",Titanic_Dataset[[#This Row],[Name]])-1))</f>
        <v>Mrs.</v>
      </c>
      <c r="H188" s="1" t="s">
        <v>18</v>
      </c>
      <c r="I188">
        <v>28</v>
      </c>
      <c r="J18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88">
        <v>1</v>
      </c>
      <c r="L188">
        <v>0</v>
      </c>
      <c r="M188">
        <f>Titanic_Dataset[[#This Row],[Parch]]+Titanic_Dataset[[#This Row],[SibSp]]</f>
        <v>1</v>
      </c>
      <c r="N188" s="1" t="s">
        <v>407</v>
      </c>
      <c r="O188">
        <v>15.5</v>
      </c>
      <c r="P188">
        <f>IF(Titanic_Dataset[[#This Row],[Survived]]=1,Titanic_Dataset[[#This Row],[Fare]],NA())</f>
        <v>15.5</v>
      </c>
      <c r="Q188" t="e">
        <f>IF(Titanic_Dataset[[#This Row],[Survived]]=0,Titanic_Dataset[[#This Row],[Fare]],NA())</f>
        <v>#N/A</v>
      </c>
      <c r="R188" t="str">
        <f>VLOOKUP(Titanic_Dataset[[#This Row],[Fare]],Table2[],2,TRUE)</f>
        <v>high</v>
      </c>
      <c r="S188" s="1" t="s">
        <v>15</v>
      </c>
      <c r="T188" s="1" t="s">
        <v>31</v>
      </c>
      <c r="U188" s="1"/>
      <c r="V188" s="1"/>
      <c r="W188" s="1"/>
    </row>
    <row r="189" spans="1:23" x14ac:dyDescent="0.25">
      <c r="A189">
        <v>188</v>
      </c>
      <c r="B189">
        <v>1</v>
      </c>
      <c r="C189" t="str">
        <f>IF(Titanic_Dataset[[#This Row],[Survived]]=1,"Survived","Died")</f>
        <v>Survived</v>
      </c>
      <c r="D189">
        <v>1</v>
      </c>
      <c r="E189" t="str">
        <f>IF(Titanic_Dataset[[#This Row],[Pclass]]=1,"1st",IF(Titanic_Dataset[[#This Row],[Pclass]]=2,"2nd",IF(Titanic_Dataset[[#This Row],[Pclass]]=3,"3rd")))</f>
        <v>1st</v>
      </c>
      <c r="F189" s="1" t="s">
        <v>408</v>
      </c>
      <c r="G189" s="1" t="str">
        <f>TRIM(MID(Titanic_Dataset[[#This Row],[Name]],
FIND(",",Titanic_Dataset[[#This Row],[Name]])+2,
FIND(".",Titanic_Dataset[[#This Row],[Name]],FIND(",",Titanic_Dataset[[#This Row],[Name]]))-FIND(",",Titanic_Dataset[[#This Row],[Name]])-1))</f>
        <v>Mr.</v>
      </c>
      <c r="H189" s="1" t="s">
        <v>13</v>
      </c>
      <c r="I189">
        <v>45</v>
      </c>
      <c r="J189" t="str">
        <f>IF(Titanic_Dataset[[#This Row],[Age]]&lt;12,"0-11",
IF(Titanic_Dataset[[#This Row],[Age]]&lt;20,"12-19",
IF(Titanic_Dataset[[#This Row],[Age]]&lt;30,"20-29",
IF(Titanic_Dataset[[#This Row],[Age]]&lt;40,"30-39",
IF(Titanic_Dataset[[#This Row],[Age]]&lt;50,"40-49",
IF(Titanic_Dataset[[#This Row],[Age]]&lt;60,"50-59",
IF(Titanic_Dataset[[#This Row],[Age]]&lt;70,"60-69",)))))))</f>
        <v>40-49</v>
      </c>
      <c r="K189">
        <v>0</v>
      </c>
      <c r="L189">
        <v>0</v>
      </c>
      <c r="M189">
        <f>Titanic_Dataset[[#This Row],[Parch]]+Titanic_Dataset[[#This Row],[SibSp]]</f>
        <v>0</v>
      </c>
      <c r="N189" s="1" t="s">
        <v>409</v>
      </c>
      <c r="O189">
        <v>26.55</v>
      </c>
      <c r="P189">
        <f>IF(Titanic_Dataset[[#This Row],[Survived]]=1,Titanic_Dataset[[#This Row],[Fare]],NA())</f>
        <v>26.55</v>
      </c>
      <c r="Q189" t="e">
        <f>IF(Titanic_Dataset[[#This Row],[Survived]]=0,Titanic_Dataset[[#This Row],[Fare]],NA())</f>
        <v>#N/A</v>
      </c>
      <c r="R189" t="str">
        <f>VLOOKUP(Titanic_Dataset[[#This Row],[Fare]],Table2[],2,TRUE)</f>
        <v>high</v>
      </c>
      <c r="S189" s="1" t="s">
        <v>15</v>
      </c>
      <c r="T189" s="1" t="s">
        <v>16</v>
      </c>
      <c r="U189" s="1"/>
      <c r="V189" s="1"/>
      <c r="W189" s="1"/>
    </row>
    <row r="190" spans="1:23" x14ac:dyDescent="0.25">
      <c r="A190">
        <v>189</v>
      </c>
      <c r="B190">
        <v>0</v>
      </c>
      <c r="C190" t="str">
        <f>IF(Titanic_Dataset[[#This Row],[Survived]]=1,"Survived","Died")</f>
        <v>Died</v>
      </c>
      <c r="D190">
        <v>3</v>
      </c>
      <c r="E190" t="str">
        <f>IF(Titanic_Dataset[[#This Row],[Pclass]]=1,"1st",IF(Titanic_Dataset[[#This Row],[Pclass]]=2,"2nd",IF(Titanic_Dataset[[#This Row],[Pclass]]=3,"3rd")))</f>
        <v>3rd</v>
      </c>
      <c r="F190" s="1" t="s">
        <v>410</v>
      </c>
      <c r="G190" s="1" t="str">
        <f>TRIM(MID(Titanic_Dataset[[#This Row],[Name]],
FIND(",",Titanic_Dataset[[#This Row],[Name]])+2,
FIND(".",Titanic_Dataset[[#This Row],[Name]],FIND(",",Titanic_Dataset[[#This Row],[Name]]))-FIND(",",Titanic_Dataset[[#This Row],[Name]])-1))</f>
        <v>Mr.</v>
      </c>
      <c r="H190" s="1" t="s">
        <v>13</v>
      </c>
      <c r="I190">
        <v>40</v>
      </c>
      <c r="J190" t="str">
        <f>IF(Titanic_Dataset[[#This Row],[Age]]&lt;12,"0-11",
IF(Titanic_Dataset[[#This Row],[Age]]&lt;20,"12-19",
IF(Titanic_Dataset[[#This Row],[Age]]&lt;30,"20-29",
IF(Titanic_Dataset[[#This Row],[Age]]&lt;40,"30-39",
IF(Titanic_Dataset[[#This Row],[Age]]&lt;50,"40-49",
IF(Titanic_Dataset[[#This Row],[Age]]&lt;60,"50-59",
IF(Titanic_Dataset[[#This Row],[Age]]&lt;70,"60-69",)))))))</f>
        <v>40-49</v>
      </c>
      <c r="K190">
        <v>1</v>
      </c>
      <c r="L190">
        <v>1</v>
      </c>
      <c r="M190">
        <f>Titanic_Dataset[[#This Row],[Parch]]+Titanic_Dataset[[#This Row],[SibSp]]</f>
        <v>2</v>
      </c>
      <c r="N190" s="1" t="s">
        <v>411</v>
      </c>
      <c r="O190">
        <v>15.5</v>
      </c>
      <c r="P190" t="e">
        <f>IF(Titanic_Dataset[[#This Row],[Survived]]=1,Titanic_Dataset[[#This Row],[Fare]],NA())</f>
        <v>#N/A</v>
      </c>
      <c r="Q190">
        <f>IF(Titanic_Dataset[[#This Row],[Survived]]=0,Titanic_Dataset[[#This Row],[Fare]],NA())</f>
        <v>15.5</v>
      </c>
      <c r="R190" t="str">
        <f>VLOOKUP(Titanic_Dataset[[#This Row],[Fare]],Table2[],2,TRUE)</f>
        <v>high</v>
      </c>
      <c r="S190" s="1" t="s">
        <v>15</v>
      </c>
      <c r="T190" s="1" t="s">
        <v>31</v>
      </c>
      <c r="U190" s="1"/>
      <c r="V190" s="1"/>
      <c r="W190" s="1"/>
    </row>
    <row r="191" spans="1:23" x14ac:dyDescent="0.25">
      <c r="A191">
        <v>190</v>
      </c>
      <c r="B191">
        <v>0</v>
      </c>
      <c r="C191" t="str">
        <f>IF(Titanic_Dataset[[#This Row],[Survived]]=1,"Survived","Died")</f>
        <v>Died</v>
      </c>
      <c r="D191">
        <v>3</v>
      </c>
      <c r="E191" t="str">
        <f>IF(Titanic_Dataset[[#This Row],[Pclass]]=1,"1st",IF(Titanic_Dataset[[#This Row],[Pclass]]=2,"2nd",IF(Titanic_Dataset[[#This Row],[Pclass]]=3,"3rd")))</f>
        <v>3rd</v>
      </c>
      <c r="F191" s="1" t="s">
        <v>412</v>
      </c>
      <c r="G191" s="1" t="str">
        <f>TRIM(MID(Titanic_Dataset[[#This Row],[Name]],
FIND(",",Titanic_Dataset[[#This Row],[Name]])+2,
FIND(".",Titanic_Dataset[[#This Row],[Name]],FIND(",",Titanic_Dataset[[#This Row],[Name]]))-FIND(",",Titanic_Dataset[[#This Row],[Name]])-1))</f>
        <v>Mr.</v>
      </c>
      <c r="H191" s="1" t="s">
        <v>13</v>
      </c>
      <c r="I191">
        <v>36</v>
      </c>
      <c r="J191" t="str">
        <f>IF(Titanic_Dataset[[#This Row],[Age]]&lt;12,"0-11",
IF(Titanic_Dataset[[#This Row],[Age]]&lt;20,"12-19",
IF(Titanic_Dataset[[#This Row],[Age]]&lt;30,"20-29",
IF(Titanic_Dataset[[#This Row],[Age]]&lt;40,"30-39",
IF(Titanic_Dataset[[#This Row],[Age]]&lt;50,"40-49",
IF(Titanic_Dataset[[#This Row],[Age]]&lt;60,"50-59",
IF(Titanic_Dataset[[#This Row],[Age]]&lt;70,"60-69",)))))))</f>
        <v>30-39</v>
      </c>
      <c r="K191">
        <v>0</v>
      </c>
      <c r="L191">
        <v>0</v>
      </c>
      <c r="M191">
        <f>Titanic_Dataset[[#This Row],[Parch]]+Titanic_Dataset[[#This Row],[SibSp]]</f>
        <v>0</v>
      </c>
      <c r="N191" s="1" t="s">
        <v>413</v>
      </c>
      <c r="O191">
        <v>7.8958000000000004</v>
      </c>
      <c r="P191" t="e">
        <f>IF(Titanic_Dataset[[#This Row],[Survived]]=1,Titanic_Dataset[[#This Row],[Fare]],NA())</f>
        <v>#N/A</v>
      </c>
      <c r="Q191">
        <f>IF(Titanic_Dataset[[#This Row],[Survived]]=0,Titanic_Dataset[[#This Row],[Fare]],NA())</f>
        <v>7.8958000000000004</v>
      </c>
      <c r="R191" t="str">
        <f>VLOOKUP(Titanic_Dataset[[#This Row],[Fare]],Table2[],2,TRUE)</f>
        <v>low</v>
      </c>
      <c r="S191" s="1" t="s">
        <v>15</v>
      </c>
      <c r="T191" s="1" t="s">
        <v>16</v>
      </c>
      <c r="U191" s="1"/>
      <c r="V191" s="1"/>
      <c r="W191" s="1"/>
    </row>
    <row r="192" spans="1:23" x14ac:dyDescent="0.25">
      <c r="A192">
        <v>191</v>
      </c>
      <c r="B192">
        <v>1</v>
      </c>
      <c r="C192" t="str">
        <f>IF(Titanic_Dataset[[#This Row],[Survived]]=1,"Survived","Died")</f>
        <v>Survived</v>
      </c>
      <c r="D192">
        <v>2</v>
      </c>
      <c r="E192" t="str">
        <f>IF(Titanic_Dataset[[#This Row],[Pclass]]=1,"1st",IF(Titanic_Dataset[[#This Row],[Pclass]]=2,"2nd",IF(Titanic_Dataset[[#This Row],[Pclass]]=3,"3rd")))</f>
        <v>2nd</v>
      </c>
      <c r="F192" s="1" t="s">
        <v>414</v>
      </c>
      <c r="G192" s="1" t="str">
        <f>TRIM(MID(Titanic_Dataset[[#This Row],[Name]],
FIND(",",Titanic_Dataset[[#This Row],[Name]])+2,
FIND(".",Titanic_Dataset[[#This Row],[Name]],FIND(",",Titanic_Dataset[[#This Row],[Name]]))-FIND(",",Titanic_Dataset[[#This Row],[Name]])-1))</f>
        <v>Mrs.</v>
      </c>
      <c r="H192" s="1" t="s">
        <v>18</v>
      </c>
      <c r="I192">
        <v>32</v>
      </c>
      <c r="J192" t="str">
        <f>IF(Titanic_Dataset[[#This Row],[Age]]&lt;12,"0-11",
IF(Titanic_Dataset[[#This Row],[Age]]&lt;20,"12-19",
IF(Titanic_Dataset[[#This Row],[Age]]&lt;30,"20-29",
IF(Titanic_Dataset[[#This Row],[Age]]&lt;40,"30-39",
IF(Titanic_Dataset[[#This Row],[Age]]&lt;50,"40-49",
IF(Titanic_Dataset[[#This Row],[Age]]&lt;60,"50-59",
IF(Titanic_Dataset[[#This Row],[Age]]&lt;70,"60-69",)))))))</f>
        <v>30-39</v>
      </c>
      <c r="K192">
        <v>0</v>
      </c>
      <c r="L192">
        <v>0</v>
      </c>
      <c r="M192">
        <f>Titanic_Dataset[[#This Row],[Parch]]+Titanic_Dataset[[#This Row],[SibSp]]</f>
        <v>0</v>
      </c>
      <c r="N192" s="1" t="s">
        <v>415</v>
      </c>
      <c r="O192">
        <v>13</v>
      </c>
      <c r="P192">
        <f>IF(Titanic_Dataset[[#This Row],[Survived]]=1,Titanic_Dataset[[#This Row],[Fare]],NA())</f>
        <v>13</v>
      </c>
      <c r="Q192" t="e">
        <f>IF(Titanic_Dataset[[#This Row],[Survived]]=0,Titanic_Dataset[[#This Row],[Fare]],NA())</f>
        <v>#N/A</v>
      </c>
      <c r="R192" t="str">
        <f>VLOOKUP(Titanic_Dataset[[#This Row],[Fare]],Table2[],2,TRUE)</f>
        <v>medium</v>
      </c>
      <c r="S192" s="1" t="s">
        <v>15</v>
      </c>
      <c r="T192" s="1" t="s">
        <v>16</v>
      </c>
      <c r="U192" s="1"/>
      <c r="V192" s="1"/>
      <c r="W192" s="1"/>
    </row>
    <row r="193" spans="1:23" x14ac:dyDescent="0.25">
      <c r="A193">
        <v>192</v>
      </c>
      <c r="B193">
        <v>0</v>
      </c>
      <c r="C193" t="str">
        <f>IF(Titanic_Dataset[[#This Row],[Survived]]=1,"Survived","Died")</f>
        <v>Died</v>
      </c>
      <c r="D193">
        <v>2</v>
      </c>
      <c r="E193" t="str">
        <f>IF(Titanic_Dataset[[#This Row],[Pclass]]=1,"1st",IF(Titanic_Dataset[[#This Row],[Pclass]]=2,"2nd",IF(Titanic_Dataset[[#This Row],[Pclass]]=3,"3rd")))</f>
        <v>2nd</v>
      </c>
      <c r="F193" s="1" t="s">
        <v>416</v>
      </c>
      <c r="G193" s="1" t="str">
        <f>TRIM(MID(Titanic_Dataset[[#This Row],[Name]],
FIND(",",Titanic_Dataset[[#This Row],[Name]])+2,
FIND(".",Titanic_Dataset[[#This Row],[Name]],FIND(",",Titanic_Dataset[[#This Row],[Name]]))-FIND(",",Titanic_Dataset[[#This Row],[Name]])-1))</f>
        <v>Mr.</v>
      </c>
      <c r="H193" s="1" t="s">
        <v>13</v>
      </c>
      <c r="I193">
        <v>19</v>
      </c>
      <c r="J193" t="str">
        <f>IF(Titanic_Dataset[[#This Row],[Age]]&lt;12,"0-11",
IF(Titanic_Dataset[[#This Row],[Age]]&lt;20,"12-19",
IF(Titanic_Dataset[[#This Row],[Age]]&lt;30,"20-29",
IF(Titanic_Dataset[[#This Row],[Age]]&lt;40,"30-39",
IF(Titanic_Dataset[[#This Row],[Age]]&lt;50,"40-49",
IF(Titanic_Dataset[[#This Row],[Age]]&lt;60,"50-59",
IF(Titanic_Dataset[[#This Row],[Age]]&lt;70,"60-69",)))))))</f>
        <v>12-19</v>
      </c>
      <c r="K193">
        <v>0</v>
      </c>
      <c r="L193">
        <v>0</v>
      </c>
      <c r="M193">
        <f>Titanic_Dataset[[#This Row],[Parch]]+Titanic_Dataset[[#This Row],[SibSp]]</f>
        <v>0</v>
      </c>
      <c r="N193" s="1" t="s">
        <v>417</v>
      </c>
      <c r="O193">
        <v>13</v>
      </c>
      <c r="P193" t="e">
        <f>IF(Titanic_Dataset[[#This Row],[Survived]]=1,Titanic_Dataset[[#This Row],[Fare]],NA())</f>
        <v>#N/A</v>
      </c>
      <c r="Q193">
        <f>IF(Titanic_Dataset[[#This Row],[Survived]]=0,Titanic_Dataset[[#This Row],[Fare]],NA())</f>
        <v>13</v>
      </c>
      <c r="R193" t="str">
        <f>VLOOKUP(Titanic_Dataset[[#This Row],[Fare]],Table2[],2,TRUE)</f>
        <v>medium</v>
      </c>
      <c r="S193" s="1" t="s">
        <v>15</v>
      </c>
      <c r="T193" s="1" t="s">
        <v>16</v>
      </c>
      <c r="U193" s="1"/>
      <c r="V193" s="1"/>
      <c r="W193" s="1"/>
    </row>
    <row r="194" spans="1:23" x14ac:dyDescent="0.25">
      <c r="A194">
        <v>193</v>
      </c>
      <c r="B194">
        <v>1</v>
      </c>
      <c r="C194" t="str">
        <f>IF(Titanic_Dataset[[#This Row],[Survived]]=1,"Survived","Died")</f>
        <v>Survived</v>
      </c>
      <c r="D194">
        <v>3</v>
      </c>
      <c r="E194" t="str">
        <f>IF(Titanic_Dataset[[#This Row],[Pclass]]=1,"1st",IF(Titanic_Dataset[[#This Row],[Pclass]]=2,"2nd",IF(Titanic_Dataset[[#This Row],[Pclass]]=3,"3rd")))</f>
        <v>3rd</v>
      </c>
      <c r="F194" s="1" t="s">
        <v>418</v>
      </c>
      <c r="G194" s="1" t="str">
        <f>TRIM(MID(Titanic_Dataset[[#This Row],[Name]],
FIND(",",Titanic_Dataset[[#This Row],[Name]])+2,
FIND(".",Titanic_Dataset[[#This Row],[Name]],FIND(",",Titanic_Dataset[[#This Row],[Name]]))-FIND(",",Titanic_Dataset[[#This Row],[Name]])-1))</f>
        <v>Miss.</v>
      </c>
      <c r="H194" s="1" t="s">
        <v>18</v>
      </c>
      <c r="I194">
        <v>19</v>
      </c>
      <c r="J194" t="str">
        <f>IF(Titanic_Dataset[[#This Row],[Age]]&lt;12,"0-11",
IF(Titanic_Dataset[[#This Row],[Age]]&lt;20,"12-19",
IF(Titanic_Dataset[[#This Row],[Age]]&lt;30,"20-29",
IF(Titanic_Dataset[[#This Row],[Age]]&lt;40,"30-39",
IF(Titanic_Dataset[[#This Row],[Age]]&lt;50,"40-49",
IF(Titanic_Dataset[[#This Row],[Age]]&lt;60,"50-59",
IF(Titanic_Dataset[[#This Row],[Age]]&lt;70,"60-69",)))))))</f>
        <v>12-19</v>
      </c>
      <c r="K194">
        <v>1</v>
      </c>
      <c r="L194">
        <v>0</v>
      </c>
      <c r="M194">
        <f>Titanic_Dataset[[#This Row],[Parch]]+Titanic_Dataset[[#This Row],[SibSp]]</f>
        <v>1</v>
      </c>
      <c r="N194" s="1" t="s">
        <v>419</v>
      </c>
      <c r="O194">
        <v>7.8541999999999996</v>
      </c>
      <c r="P194">
        <f>IF(Titanic_Dataset[[#This Row],[Survived]]=1,Titanic_Dataset[[#This Row],[Fare]],NA())</f>
        <v>7.8541999999999996</v>
      </c>
      <c r="Q194" t="e">
        <f>IF(Titanic_Dataset[[#This Row],[Survived]]=0,Titanic_Dataset[[#This Row],[Fare]],NA())</f>
        <v>#N/A</v>
      </c>
      <c r="R194" t="str">
        <f>VLOOKUP(Titanic_Dataset[[#This Row],[Fare]],Table2[],2,TRUE)</f>
        <v>low</v>
      </c>
      <c r="S194" s="1" t="s">
        <v>15</v>
      </c>
      <c r="T194" s="1" t="s">
        <v>16</v>
      </c>
      <c r="U194" s="1"/>
      <c r="V194" s="1"/>
      <c r="W194" s="1"/>
    </row>
    <row r="195" spans="1:23" x14ac:dyDescent="0.25">
      <c r="A195">
        <v>194</v>
      </c>
      <c r="B195">
        <v>1</v>
      </c>
      <c r="C195" t="str">
        <f>IF(Titanic_Dataset[[#This Row],[Survived]]=1,"Survived","Died")</f>
        <v>Survived</v>
      </c>
      <c r="D195">
        <v>2</v>
      </c>
      <c r="E195" t="str">
        <f>IF(Titanic_Dataset[[#This Row],[Pclass]]=1,"1st",IF(Titanic_Dataset[[#This Row],[Pclass]]=2,"2nd",IF(Titanic_Dataset[[#This Row],[Pclass]]=3,"3rd")))</f>
        <v>2nd</v>
      </c>
      <c r="F195" s="1" t="s">
        <v>420</v>
      </c>
      <c r="G195" s="1" t="str">
        <f>TRIM(MID(Titanic_Dataset[[#This Row],[Name]],
FIND(",",Titanic_Dataset[[#This Row],[Name]])+2,
FIND(".",Titanic_Dataset[[#This Row],[Name]],FIND(",",Titanic_Dataset[[#This Row],[Name]]))-FIND(",",Titanic_Dataset[[#This Row],[Name]])-1))</f>
        <v>Master.</v>
      </c>
      <c r="H195" s="1" t="s">
        <v>13</v>
      </c>
      <c r="I195">
        <v>3</v>
      </c>
      <c r="J195" t="str">
        <f>IF(Titanic_Dataset[[#This Row],[Age]]&lt;12,"0-11",
IF(Titanic_Dataset[[#This Row],[Age]]&lt;20,"12-19",
IF(Titanic_Dataset[[#This Row],[Age]]&lt;30,"20-29",
IF(Titanic_Dataset[[#This Row],[Age]]&lt;40,"30-39",
IF(Titanic_Dataset[[#This Row],[Age]]&lt;50,"40-49",
IF(Titanic_Dataset[[#This Row],[Age]]&lt;60,"50-59",
IF(Titanic_Dataset[[#This Row],[Age]]&lt;70,"60-69",)))))))</f>
        <v>0-11</v>
      </c>
      <c r="K195">
        <v>1</v>
      </c>
      <c r="L195">
        <v>1</v>
      </c>
      <c r="M195">
        <f>Titanic_Dataset[[#This Row],[Parch]]+Titanic_Dataset[[#This Row],[SibSp]]</f>
        <v>2</v>
      </c>
      <c r="N195" s="1" t="s">
        <v>330</v>
      </c>
      <c r="O195">
        <v>26</v>
      </c>
      <c r="P195">
        <f>IF(Titanic_Dataset[[#This Row],[Survived]]=1,Titanic_Dataset[[#This Row],[Fare]],NA())</f>
        <v>26</v>
      </c>
      <c r="Q195" t="e">
        <f>IF(Titanic_Dataset[[#This Row],[Survived]]=0,Titanic_Dataset[[#This Row],[Fare]],NA())</f>
        <v>#N/A</v>
      </c>
      <c r="R195" t="str">
        <f>VLOOKUP(Titanic_Dataset[[#This Row],[Fare]],Table2[],2,TRUE)</f>
        <v>high</v>
      </c>
      <c r="S195" s="1" t="s">
        <v>331</v>
      </c>
      <c r="T195" s="1" t="s">
        <v>16</v>
      </c>
      <c r="U195" s="1"/>
      <c r="V195" s="1"/>
      <c r="W195" s="1"/>
    </row>
    <row r="196" spans="1:23" x14ac:dyDescent="0.25">
      <c r="A196">
        <v>195</v>
      </c>
      <c r="B196">
        <v>1</v>
      </c>
      <c r="C196" t="str">
        <f>IF(Titanic_Dataset[[#This Row],[Survived]]=1,"Survived","Died")</f>
        <v>Survived</v>
      </c>
      <c r="D196">
        <v>1</v>
      </c>
      <c r="E196" t="str">
        <f>IF(Titanic_Dataset[[#This Row],[Pclass]]=1,"1st",IF(Titanic_Dataset[[#This Row],[Pclass]]=2,"2nd",IF(Titanic_Dataset[[#This Row],[Pclass]]=3,"3rd")))</f>
        <v>1st</v>
      </c>
      <c r="F196" s="1" t="s">
        <v>421</v>
      </c>
      <c r="G196" s="1" t="str">
        <f>TRIM(MID(Titanic_Dataset[[#This Row],[Name]],
FIND(",",Titanic_Dataset[[#This Row],[Name]])+2,
FIND(".",Titanic_Dataset[[#This Row],[Name]],FIND(",",Titanic_Dataset[[#This Row],[Name]]))-FIND(",",Titanic_Dataset[[#This Row],[Name]])-1))</f>
        <v>Mrs.</v>
      </c>
      <c r="H196" s="1" t="s">
        <v>18</v>
      </c>
      <c r="I196">
        <v>44</v>
      </c>
      <c r="J196" t="str">
        <f>IF(Titanic_Dataset[[#This Row],[Age]]&lt;12,"0-11",
IF(Titanic_Dataset[[#This Row],[Age]]&lt;20,"12-19",
IF(Titanic_Dataset[[#This Row],[Age]]&lt;30,"20-29",
IF(Titanic_Dataset[[#This Row],[Age]]&lt;40,"30-39",
IF(Titanic_Dataset[[#This Row],[Age]]&lt;50,"40-49",
IF(Titanic_Dataset[[#This Row],[Age]]&lt;60,"50-59",
IF(Titanic_Dataset[[#This Row],[Age]]&lt;70,"60-69",)))))))</f>
        <v>40-49</v>
      </c>
      <c r="K196">
        <v>0</v>
      </c>
      <c r="L196">
        <v>0</v>
      </c>
      <c r="M196">
        <f>Titanic_Dataset[[#This Row],[Parch]]+Titanic_Dataset[[#This Row],[SibSp]]</f>
        <v>0</v>
      </c>
      <c r="N196" s="1" t="s">
        <v>422</v>
      </c>
      <c r="O196">
        <v>27.720800000000001</v>
      </c>
      <c r="P196">
        <f>IF(Titanic_Dataset[[#This Row],[Survived]]=1,Titanic_Dataset[[#This Row],[Fare]],NA())</f>
        <v>27.720800000000001</v>
      </c>
      <c r="Q196" t="e">
        <f>IF(Titanic_Dataset[[#This Row],[Survived]]=0,Titanic_Dataset[[#This Row],[Fare]],NA())</f>
        <v>#N/A</v>
      </c>
      <c r="R196" t="str">
        <f>VLOOKUP(Titanic_Dataset[[#This Row],[Fare]],Table2[],2,TRUE)</f>
        <v>high</v>
      </c>
      <c r="S196" s="1" t="s">
        <v>423</v>
      </c>
      <c r="T196" s="1" t="s">
        <v>21</v>
      </c>
      <c r="U196" s="1"/>
      <c r="V196" s="1"/>
      <c r="W196" s="1"/>
    </row>
    <row r="197" spans="1:23" x14ac:dyDescent="0.25">
      <c r="A197">
        <v>196</v>
      </c>
      <c r="B197">
        <v>1</v>
      </c>
      <c r="C197" t="str">
        <f>IF(Titanic_Dataset[[#This Row],[Survived]]=1,"Survived","Died")</f>
        <v>Survived</v>
      </c>
      <c r="D197">
        <v>1</v>
      </c>
      <c r="E197" t="str">
        <f>IF(Titanic_Dataset[[#This Row],[Pclass]]=1,"1st",IF(Titanic_Dataset[[#This Row],[Pclass]]=2,"2nd",IF(Titanic_Dataset[[#This Row],[Pclass]]=3,"3rd")))</f>
        <v>1st</v>
      </c>
      <c r="F197" s="1" t="s">
        <v>424</v>
      </c>
      <c r="G197" s="1" t="str">
        <f>TRIM(MID(Titanic_Dataset[[#This Row],[Name]],
FIND(",",Titanic_Dataset[[#This Row],[Name]])+2,
FIND(".",Titanic_Dataset[[#This Row],[Name]],FIND(",",Titanic_Dataset[[#This Row],[Name]]))-FIND(",",Titanic_Dataset[[#This Row],[Name]])-1))</f>
        <v>Miss.</v>
      </c>
      <c r="H197" s="1" t="s">
        <v>18</v>
      </c>
      <c r="I197">
        <v>58</v>
      </c>
      <c r="J197" t="str">
        <f>IF(Titanic_Dataset[[#This Row],[Age]]&lt;12,"0-11",
IF(Titanic_Dataset[[#This Row],[Age]]&lt;20,"12-19",
IF(Titanic_Dataset[[#This Row],[Age]]&lt;30,"20-29",
IF(Titanic_Dataset[[#This Row],[Age]]&lt;40,"30-39",
IF(Titanic_Dataset[[#This Row],[Age]]&lt;50,"40-49",
IF(Titanic_Dataset[[#This Row],[Age]]&lt;60,"50-59",
IF(Titanic_Dataset[[#This Row],[Age]]&lt;70,"60-69",)))))))</f>
        <v>50-59</v>
      </c>
      <c r="K197">
        <v>0</v>
      </c>
      <c r="L197">
        <v>0</v>
      </c>
      <c r="M197">
        <f>Titanic_Dataset[[#This Row],[Parch]]+Titanic_Dataset[[#This Row],[SibSp]]</f>
        <v>0</v>
      </c>
      <c r="N197" s="1" t="s">
        <v>88</v>
      </c>
      <c r="O197">
        <v>146.52080000000001</v>
      </c>
      <c r="P197">
        <f>IF(Titanic_Dataset[[#This Row],[Survived]]=1,Titanic_Dataset[[#This Row],[Fare]],NA())</f>
        <v>146.52080000000001</v>
      </c>
      <c r="Q197" t="e">
        <f>IF(Titanic_Dataset[[#This Row],[Survived]]=0,Titanic_Dataset[[#This Row],[Fare]],NA())</f>
        <v>#N/A</v>
      </c>
      <c r="R197" t="str">
        <f>VLOOKUP(Titanic_Dataset[[#This Row],[Fare]],Table2[],2,TRUE)</f>
        <v>very hiegh</v>
      </c>
      <c r="S197" s="1" t="s">
        <v>425</v>
      </c>
      <c r="T197" s="1" t="s">
        <v>21</v>
      </c>
      <c r="U197" s="1"/>
      <c r="V197" s="1"/>
      <c r="W197" s="1"/>
    </row>
    <row r="198" spans="1:23" x14ac:dyDescent="0.25">
      <c r="A198">
        <v>197</v>
      </c>
      <c r="B198">
        <v>0</v>
      </c>
      <c r="C198" t="str">
        <f>IF(Titanic_Dataset[[#This Row],[Survived]]=1,"Survived","Died")</f>
        <v>Died</v>
      </c>
      <c r="D198">
        <v>3</v>
      </c>
      <c r="E198" t="str">
        <f>IF(Titanic_Dataset[[#This Row],[Pclass]]=1,"1st",IF(Titanic_Dataset[[#This Row],[Pclass]]=2,"2nd",IF(Titanic_Dataset[[#This Row],[Pclass]]=3,"3rd")))</f>
        <v>3rd</v>
      </c>
      <c r="F198" s="1" t="s">
        <v>426</v>
      </c>
      <c r="G198" s="1" t="str">
        <f>TRIM(MID(Titanic_Dataset[[#This Row],[Name]],
FIND(",",Titanic_Dataset[[#This Row],[Name]])+2,
FIND(".",Titanic_Dataset[[#This Row],[Name]],FIND(",",Titanic_Dataset[[#This Row],[Name]]))-FIND(",",Titanic_Dataset[[#This Row],[Name]])-1))</f>
        <v>Mr.</v>
      </c>
      <c r="H198" s="1" t="s">
        <v>13</v>
      </c>
      <c r="I198">
        <v>28</v>
      </c>
      <c r="J19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198">
        <v>0</v>
      </c>
      <c r="L198">
        <v>0</v>
      </c>
      <c r="M198">
        <f>Titanic_Dataset[[#This Row],[Parch]]+Titanic_Dataset[[#This Row],[SibSp]]</f>
        <v>0</v>
      </c>
      <c r="N198" s="1" t="s">
        <v>427</v>
      </c>
      <c r="O198">
        <v>7.75</v>
      </c>
      <c r="P198" t="e">
        <f>IF(Titanic_Dataset[[#This Row],[Survived]]=1,Titanic_Dataset[[#This Row],[Fare]],NA())</f>
        <v>#N/A</v>
      </c>
      <c r="Q198">
        <f>IF(Titanic_Dataset[[#This Row],[Survived]]=0,Titanic_Dataset[[#This Row],[Fare]],NA())</f>
        <v>7.75</v>
      </c>
      <c r="R198" t="str">
        <f>VLOOKUP(Titanic_Dataset[[#This Row],[Fare]],Table2[],2,TRUE)</f>
        <v>low</v>
      </c>
      <c r="S198" s="1" t="s">
        <v>15</v>
      </c>
      <c r="T198" s="1" t="s">
        <v>31</v>
      </c>
      <c r="U198" s="1"/>
      <c r="V198" s="1"/>
      <c r="W198" s="1"/>
    </row>
    <row r="199" spans="1:23" x14ac:dyDescent="0.25">
      <c r="A199">
        <v>198</v>
      </c>
      <c r="B199">
        <v>0</v>
      </c>
      <c r="C199" t="str">
        <f>IF(Titanic_Dataset[[#This Row],[Survived]]=1,"Survived","Died")</f>
        <v>Died</v>
      </c>
      <c r="D199">
        <v>3</v>
      </c>
      <c r="E199" t="str">
        <f>IF(Titanic_Dataset[[#This Row],[Pclass]]=1,"1st",IF(Titanic_Dataset[[#This Row],[Pclass]]=2,"2nd",IF(Titanic_Dataset[[#This Row],[Pclass]]=3,"3rd")))</f>
        <v>3rd</v>
      </c>
      <c r="F199" s="1" t="s">
        <v>428</v>
      </c>
      <c r="G199" s="1" t="str">
        <f>TRIM(MID(Titanic_Dataset[[#This Row],[Name]],
FIND(",",Titanic_Dataset[[#This Row],[Name]])+2,
FIND(".",Titanic_Dataset[[#This Row],[Name]],FIND(",",Titanic_Dataset[[#This Row],[Name]]))-FIND(",",Titanic_Dataset[[#This Row],[Name]])-1))</f>
        <v>Mr.</v>
      </c>
      <c r="H199" s="1" t="s">
        <v>13</v>
      </c>
      <c r="I199">
        <v>42</v>
      </c>
      <c r="J199" t="str">
        <f>IF(Titanic_Dataset[[#This Row],[Age]]&lt;12,"0-11",
IF(Titanic_Dataset[[#This Row],[Age]]&lt;20,"12-19",
IF(Titanic_Dataset[[#This Row],[Age]]&lt;30,"20-29",
IF(Titanic_Dataset[[#This Row],[Age]]&lt;40,"30-39",
IF(Titanic_Dataset[[#This Row],[Age]]&lt;50,"40-49",
IF(Titanic_Dataset[[#This Row],[Age]]&lt;60,"50-59",
IF(Titanic_Dataset[[#This Row],[Age]]&lt;70,"60-69",)))))))</f>
        <v>40-49</v>
      </c>
      <c r="K199">
        <v>0</v>
      </c>
      <c r="L199">
        <v>1</v>
      </c>
      <c r="M199">
        <f>Titanic_Dataset[[#This Row],[Parch]]+Titanic_Dataset[[#This Row],[SibSp]]</f>
        <v>1</v>
      </c>
      <c r="N199" s="1" t="s">
        <v>429</v>
      </c>
      <c r="O199">
        <v>8.4041999999999994</v>
      </c>
      <c r="P199" t="e">
        <f>IF(Titanic_Dataset[[#This Row],[Survived]]=1,Titanic_Dataset[[#This Row],[Fare]],NA())</f>
        <v>#N/A</v>
      </c>
      <c r="Q199">
        <f>IF(Titanic_Dataset[[#This Row],[Survived]]=0,Titanic_Dataset[[#This Row],[Fare]],NA())</f>
        <v>8.4041999999999994</v>
      </c>
      <c r="R199" t="str">
        <f>VLOOKUP(Titanic_Dataset[[#This Row],[Fare]],Table2[],2,TRUE)</f>
        <v>medium</v>
      </c>
      <c r="S199" s="1" t="s">
        <v>15</v>
      </c>
      <c r="T199" s="1" t="s">
        <v>16</v>
      </c>
      <c r="U199" s="1"/>
      <c r="V199" s="1"/>
      <c r="W199" s="1"/>
    </row>
    <row r="200" spans="1:23" x14ac:dyDescent="0.25">
      <c r="A200">
        <v>199</v>
      </c>
      <c r="B200">
        <v>1</v>
      </c>
      <c r="C200" t="str">
        <f>IF(Titanic_Dataset[[#This Row],[Survived]]=1,"Survived","Died")</f>
        <v>Survived</v>
      </c>
      <c r="D200">
        <v>3</v>
      </c>
      <c r="E200" t="str">
        <f>IF(Titanic_Dataset[[#This Row],[Pclass]]=1,"1st",IF(Titanic_Dataset[[#This Row],[Pclass]]=2,"2nd",IF(Titanic_Dataset[[#This Row],[Pclass]]=3,"3rd")))</f>
        <v>3rd</v>
      </c>
      <c r="F200" s="1" t="s">
        <v>430</v>
      </c>
      <c r="G200" s="1" t="str">
        <f>TRIM(MID(Titanic_Dataset[[#This Row],[Name]],
FIND(",",Titanic_Dataset[[#This Row],[Name]])+2,
FIND(".",Titanic_Dataset[[#This Row],[Name]],FIND(",",Titanic_Dataset[[#This Row],[Name]]))-FIND(",",Titanic_Dataset[[#This Row],[Name]])-1))</f>
        <v>Miss.</v>
      </c>
      <c r="H200" s="1" t="s">
        <v>18</v>
      </c>
      <c r="I200">
        <v>28</v>
      </c>
      <c r="J20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00">
        <v>0</v>
      </c>
      <c r="L200">
        <v>0</v>
      </c>
      <c r="M200">
        <f>Titanic_Dataset[[#This Row],[Parch]]+Titanic_Dataset[[#This Row],[SibSp]]</f>
        <v>0</v>
      </c>
      <c r="N200" s="1" t="s">
        <v>431</v>
      </c>
      <c r="O200">
        <v>7.75</v>
      </c>
      <c r="P200">
        <f>IF(Titanic_Dataset[[#This Row],[Survived]]=1,Titanic_Dataset[[#This Row],[Fare]],NA())</f>
        <v>7.75</v>
      </c>
      <c r="Q200" t="e">
        <f>IF(Titanic_Dataset[[#This Row],[Survived]]=0,Titanic_Dataset[[#This Row],[Fare]],NA())</f>
        <v>#N/A</v>
      </c>
      <c r="R200" t="str">
        <f>VLOOKUP(Titanic_Dataset[[#This Row],[Fare]],Table2[],2,TRUE)</f>
        <v>low</v>
      </c>
      <c r="S200" s="1" t="s">
        <v>15</v>
      </c>
      <c r="T200" s="1" t="s">
        <v>31</v>
      </c>
      <c r="U200" s="1"/>
      <c r="V200" s="1"/>
      <c r="W200" s="1"/>
    </row>
    <row r="201" spans="1:23" x14ac:dyDescent="0.25">
      <c r="A201">
        <v>200</v>
      </c>
      <c r="B201">
        <v>0</v>
      </c>
      <c r="C201" t="str">
        <f>IF(Titanic_Dataset[[#This Row],[Survived]]=1,"Survived","Died")</f>
        <v>Died</v>
      </c>
      <c r="D201">
        <v>2</v>
      </c>
      <c r="E201" t="str">
        <f>IF(Titanic_Dataset[[#This Row],[Pclass]]=1,"1st",IF(Titanic_Dataset[[#This Row],[Pclass]]=2,"2nd",IF(Titanic_Dataset[[#This Row],[Pclass]]=3,"3rd")))</f>
        <v>2nd</v>
      </c>
      <c r="F201" s="1" t="s">
        <v>432</v>
      </c>
      <c r="G201" s="1" t="str">
        <f>TRIM(MID(Titanic_Dataset[[#This Row],[Name]],
FIND(",",Titanic_Dataset[[#This Row],[Name]])+2,
FIND(".",Titanic_Dataset[[#This Row],[Name]],FIND(",",Titanic_Dataset[[#This Row],[Name]]))-FIND(",",Titanic_Dataset[[#This Row],[Name]])-1))</f>
        <v>Miss.</v>
      </c>
      <c r="H201" s="1" t="s">
        <v>18</v>
      </c>
      <c r="I201">
        <v>24</v>
      </c>
      <c r="J20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01">
        <v>0</v>
      </c>
      <c r="L201">
        <v>0</v>
      </c>
      <c r="M201">
        <f>Titanic_Dataset[[#This Row],[Parch]]+Titanic_Dataset[[#This Row],[SibSp]]</f>
        <v>0</v>
      </c>
      <c r="N201" s="1" t="s">
        <v>433</v>
      </c>
      <c r="O201">
        <v>13</v>
      </c>
      <c r="P201" t="e">
        <f>IF(Titanic_Dataset[[#This Row],[Survived]]=1,Titanic_Dataset[[#This Row],[Fare]],NA())</f>
        <v>#N/A</v>
      </c>
      <c r="Q201">
        <f>IF(Titanic_Dataset[[#This Row],[Survived]]=0,Titanic_Dataset[[#This Row],[Fare]],NA())</f>
        <v>13</v>
      </c>
      <c r="R201" t="str">
        <f>VLOOKUP(Titanic_Dataset[[#This Row],[Fare]],Table2[],2,TRUE)</f>
        <v>medium</v>
      </c>
      <c r="S201" s="1" t="s">
        <v>15</v>
      </c>
      <c r="T201" s="1" t="s">
        <v>16</v>
      </c>
      <c r="U201" s="1"/>
      <c r="V201" s="1"/>
      <c r="W201" s="1"/>
    </row>
    <row r="202" spans="1:23" x14ac:dyDescent="0.25">
      <c r="A202">
        <v>201</v>
      </c>
      <c r="B202">
        <v>0</v>
      </c>
      <c r="C202" t="str">
        <f>IF(Titanic_Dataset[[#This Row],[Survived]]=1,"Survived","Died")</f>
        <v>Died</v>
      </c>
      <c r="D202">
        <v>3</v>
      </c>
      <c r="E202" t="str">
        <f>IF(Titanic_Dataset[[#This Row],[Pclass]]=1,"1st",IF(Titanic_Dataset[[#This Row],[Pclass]]=2,"2nd",IF(Titanic_Dataset[[#This Row],[Pclass]]=3,"3rd")))</f>
        <v>3rd</v>
      </c>
      <c r="F202" s="1" t="s">
        <v>434</v>
      </c>
      <c r="G202" s="1" t="str">
        <f>TRIM(MID(Titanic_Dataset[[#This Row],[Name]],
FIND(",",Titanic_Dataset[[#This Row],[Name]])+2,
FIND(".",Titanic_Dataset[[#This Row],[Name]],FIND(",",Titanic_Dataset[[#This Row],[Name]]))-FIND(",",Titanic_Dataset[[#This Row],[Name]])-1))</f>
        <v>Mr.</v>
      </c>
      <c r="H202" s="1" t="s">
        <v>13</v>
      </c>
      <c r="I202">
        <v>28</v>
      </c>
      <c r="J20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02">
        <v>0</v>
      </c>
      <c r="L202">
        <v>0</v>
      </c>
      <c r="M202">
        <f>Titanic_Dataset[[#This Row],[Parch]]+Titanic_Dataset[[#This Row],[SibSp]]</f>
        <v>0</v>
      </c>
      <c r="N202" s="1" t="s">
        <v>435</v>
      </c>
      <c r="O202">
        <v>9.5</v>
      </c>
      <c r="P202" t="e">
        <f>IF(Titanic_Dataset[[#This Row],[Survived]]=1,Titanic_Dataset[[#This Row],[Fare]],NA())</f>
        <v>#N/A</v>
      </c>
      <c r="Q202">
        <f>IF(Titanic_Dataset[[#This Row],[Survived]]=0,Titanic_Dataset[[#This Row],[Fare]],NA())</f>
        <v>9.5</v>
      </c>
      <c r="R202" t="str">
        <f>VLOOKUP(Titanic_Dataset[[#This Row],[Fare]],Table2[],2,TRUE)</f>
        <v>medium</v>
      </c>
      <c r="S202" s="1" t="s">
        <v>15</v>
      </c>
      <c r="T202" s="1" t="s">
        <v>16</v>
      </c>
      <c r="U202" s="1"/>
      <c r="V202" s="1"/>
      <c r="W202" s="1"/>
    </row>
    <row r="203" spans="1:23" x14ac:dyDescent="0.25">
      <c r="A203">
        <v>202</v>
      </c>
      <c r="B203">
        <v>0</v>
      </c>
      <c r="C203" t="str">
        <f>IF(Titanic_Dataset[[#This Row],[Survived]]=1,"Survived","Died")</f>
        <v>Died</v>
      </c>
      <c r="D203">
        <v>3</v>
      </c>
      <c r="E203" t="str">
        <f>IF(Titanic_Dataset[[#This Row],[Pclass]]=1,"1st",IF(Titanic_Dataset[[#This Row],[Pclass]]=2,"2nd",IF(Titanic_Dataset[[#This Row],[Pclass]]=3,"3rd")))</f>
        <v>3rd</v>
      </c>
      <c r="F203" s="1" t="s">
        <v>436</v>
      </c>
      <c r="G203" s="1" t="str">
        <f>TRIM(MID(Titanic_Dataset[[#This Row],[Name]],
FIND(",",Titanic_Dataset[[#This Row],[Name]])+2,
FIND(".",Titanic_Dataset[[#This Row],[Name]],FIND(",",Titanic_Dataset[[#This Row],[Name]]))-FIND(",",Titanic_Dataset[[#This Row],[Name]])-1))</f>
        <v>Mr.</v>
      </c>
      <c r="H203" s="1" t="s">
        <v>13</v>
      </c>
      <c r="I203">
        <v>28</v>
      </c>
      <c r="J20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03">
        <v>8</v>
      </c>
      <c r="L203">
        <v>2</v>
      </c>
      <c r="M203">
        <f>Titanic_Dataset[[#This Row],[Parch]]+Titanic_Dataset[[#This Row],[SibSp]]</f>
        <v>10</v>
      </c>
      <c r="N203" s="1" t="s">
        <v>354</v>
      </c>
      <c r="O203">
        <v>69.55</v>
      </c>
      <c r="P203" t="e">
        <f>IF(Titanic_Dataset[[#This Row],[Survived]]=1,Titanic_Dataset[[#This Row],[Fare]],NA())</f>
        <v>#N/A</v>
      </c>
      <c r="Q203">
        <f>IF(Titanic_Dataset[[#This Row],[Survived]]=0,Titanic_Dataset[[#This Row],[Fare]],NA())</f>
        <v>69.55</v>
      </c>
      <c r="R203" t="str">
        <f>VLOOKUP(Titanic_Dataset[[#This Row],[Fare]],Table2[],2,TRUE)</f>
        <v>very hiegh</v>
      </c>
      <c r="S203" s="1" t="s">
        <v>15</v>
      </c>
      <c r="T203" s="1" t="s">
        <v>16</v>
      </c>
      <c r="U203" s="1"/>
      <c r="V203" s="1"/>
      <c r="W203" s="1"/>
    </row>
    <row r="204" spans="1:23" x14ac:dyDescent="0.25">
      <c r="A204">
        <v>203</v>
      </c>
      <c r="B204">
        <v>0</v>
      </c>
      <c r="C204" t="str">
        <f>IF(Titanic_Dataset[[#This Row],[Survived]]=1,"Survived","Died")</f>
        <v>Died</v>
      </c>
      <c r="D204">
        <v>3</v>
      </c>
      <c r="E204" t="str">
        <f>IF(Titanic_Dataset[[#This Row],[Pclass]]=1,"1st",IF(Titanic_Dataset[[#This Row],[Pclass]]=2,"2nd",IF(Titanic_Dataset[[#This Row],[Pclass]]=3,"3rd")))</f>
        <v>3rd</v>
      </c>
      <c r="F204" s="1" t="s">
        <v>437</v>
      </c>
      <c r="G204" s="1" t="str">
        <f>TRIM(MID(Titanic_Dataset[[#This Row],[Name]],
FIND(",",Titanic_Dataset[[#This Row],[Name]])+2,
FIND(".",Titanic_Dataset[[#This Row],[Name]],FIND(",",Titanic_Dataset[[#This Row],[Name]]))-FIND(",",Titanic_Dataset[[#This Row],[Name]])-1))</f>
        <v>Mr.</v>
      </c>
      <c r="H204" s="1" t="s">
        <v>13</v>
      </c>
      <c r="I204">
        <v>34</v>
      </c>
      <c r="J204" t="str">
        <f>IF(Titanic_Dataset[[#This Row],[Age]]&lt;12,"0-11",
IF(Titanic_Dataset[[#This Row],[Age]]&lt;20,"12-19",
IF(Titanic_Dataset[[#This Row],[Age]]&lt;30,"20-29",
IF(Titanic_Dataset[[#This Row],[Age]]&lt;40,"30-39",
IF(Titanic_Dataset[[#This Row],[Age]]&lt;50,"40-49",
IF(Titanic_Dataset[[#This Row],[Age]]&lt;60,"50-59",
IF(Titanic_Dataset[[#This Row],[Age]]&lt;70,"60-69",)))))))</f>
        <v>30-39</v>
      </c>
      <c r="K204">
        <v>0</v>
      </c>
      <c r="L204">
        <v>0</v>
      </c>
      <c r="M204">
        <f>Titanic_Dataset[[#This Row],[Parch]]+Titanic_Dataset[[#This Row],[SibSp]]</f>
        <v>0</v>
      </c>
      <c r="N204" s="1" t="s">
        <v>438</v>
      </c>
      <c r="O204">
        <v>6.4958</v>
      </c>
      <c r="P204" t="e">
        <f>IF(Titanic_Dataset[[#This Row],[Survived]]=1,Titanic_Dataset[[#This Row],[Fare]],NA())</f>
        <v>#N/A</v>
      </c>
      <c r="Q204">
        <f>IF(Titanic_Dataset[[#This Row],[Survived]]=0,Titanic_Dataset[[#This Row],[Fare]],NA())</f>
        <v>6.4958</v>
      </c>
      <c r="R204" t="str">
        <f>VLOOKUP(Titanic_Dataset[[#This Row],[Fare]],Table2[],2,TRUE)</f>
        <v>low</v>
      </c>
      <c r="S204" s="1" t="s">
        <v>15</v>
      </c>
      <c r="T204" s="1" t="s">
        <v>16</v>
      </c>
      <c r="U204" s="1"/>
      <c r="V204" s="1"/>
      <c r="W204" s="1"/>
    </row>
    <row r="205" spans="1:23" x14ac:dyDescent="0.25">
      <c r="A205">
        <v>204</v>
      </c>
      <c r="B205">
        <v>0</v>
      </c>
      <c r="C205" t="str">
        <f>IF(Titanic_Dataset[[#This Row],[Survived]]=1,"Survived","Died")</f>
        <v>Died</v>
      </c>
      <c r="D205">
        <v>3</v>
      </c>
      <c r="E205" t="str">
        <f>IF(Titanic_Dataset[[#This Row],[Pclass]]=1,"1st",IF(Titanic_Dataset[[#This Row],[Pclass]]=2,"2nd",IF(Titanic_Dataset[[#This Row],[Pclass]]=3,"3rd")))</f>
        <v>3rd</v>
      </c>
      <c r="F205" s="1" t="s">
        <v>439</v>
      </c>
      <c r="G205" s="1" t="str">
        <f>TRIM(MID(Titanic_Dataset[[#This Row],[Name]],
FIND(",",Titanic_Dataset[[#This Row],[Name]])+2,
FIND(".",Titanic_Dataset[[#This Row],[Name]],FIND(",",Titanic_Dataset[[#This Row],[Name]]))-FIND(",",Titanic_Dataset[[#This Row],[Name]])-1))</f>
        <v>Mr.</v>
      </c>
      <c r="H205" s="1" t="s">
        <v>13</v>
      </c>
      <c r="I205">
        <v>45.5</v>
      </c>
      <c r="J205" t="str">
        <f>IF(Titanic_Dataset[[#This Row],[Age]]&lt;12,"0-11",
IF(Titanic_Dataset[[#This Row],[Age]]&lt;20,"12-19",
IF(Titanic_Dataset[[#This Row],[Age]]&lt;30,"20-29",
IF(Titanic_Dataset[[#This Row],[Age]]&lt;40,"30-39",
IF(Titanic_Dataset[[#This Row],[Age]]&lt;50,"40-49",
IF(Titanic_Dataset[[#This Row],[Age]]&lt;60,"50-59",
IF(Titanic_Dataset[[#This Row],[Age]]&lt;70,"60-69",)))))))</f>
        <v>40-49</v>
      </c>
      <c r="K205">
        <v>0</v>
      </c>
      <c r="L205">
        <v>0</v>
      </c>
      <c r="M205">
        <f>Titanic_Dataset[[#This Row],[Parch]]+Titanic_Dataset[[#This Row],[SibSp]]</f>
        <v>0</v>
      </c>
      <c r="N205" s="1" t="s">
        <v>440</v>
      </c>
      <c r="O205">
        <v>7.2249999999999996</v>
      </c>
      <c r="P205" t="e">
        <f>IF(Titanic_Dataset[[#This Row],[Survived]]=1,Titanic_Dataset[[#This Row],[Fare]],NA())</f>
        <v>#N/A</v>
      </c>
      <c r="Q205">
        <f>IF(Titanic_Dataset[[#This Row],[Survived]]=0,Titanic_Dataset[[#This Row],[Fare]],NA())</f>
        <v>7.2249999999999996</v>
      </c>
      <c r="R205" t="str">
        <f>VLOOKUP(Titanic_Dataset[[#This Row],[Fare]],Table2[],2,TRUE)</f>
        <v>low</v>
      </c>
      <c r="S205" s="1" t="s">
        <v>15</v>
      </c>
      <c r="T205" s="1" t="s">
        <v>21</v>
      </c>
      <c r="U205" s="1"/>
      <c r="V205" s="1"/>
      <c r="W205" s="1"/>
    </row>
    <row r="206" spans="1:23" x14ac:dyDescent="0.25">
      <c r="A206">
        <v>205</v>
      </c>
      <c r="B206">
        <v>1</v>
      </c>
      <c r="C206" t="str">
        <f>IF(Titanic_Dataset[[#This Row],[Survived]]=1,"Survived","Died")</f>
        <v>Survived</v>
      </c>
      <c r="D206">
        <v>3</v>
      </c>
      <c r="E206" t="str">
        <f>IF(Titanic_Dataset[[#This Row],[Pclass]]=1,"1st",IF(Titanic_Dataset[[#This Row],[Pclass]]=2,"2nd",IF(Titanic_Dataset[[#This Row],[Pclass]]=3,"3rd")))</f>
        <v>3rd</v>
      </c>
      <c r="F206" s="1" t="s">
        <v>441</v>
      </c>
      <c r="G206" s="1" t="str">
        <f>TRIM(MID(Titanic_Dataset[[#This Row],[Name]],
FIND(",",Titanic_Dataset[[#This Row],[Name]])+2,
FIND(".",Titanic_Dataset[[#This Row],[Name]],FIND(",",Titanic_Dataset[[#This Row],[Name]]))-FIND(",",Titanic_Dataset[[#This Row],[Name]])-1))</f>
        <v>Mr.</v>
      </c>
      <c r="H206" s="1" t="s">
        <v>13</v>
      </c>
      <c r="I206">
        <v>18</v>
      </c>
      <c r="J206" t="str">
        <f>IF(Titanic_Dataset[[#This Row],[Age]]&lt;12,"0-11",
IF(Titanic_Dataset[[#This Row],[Age]]&lt;20,"12-19",
IF(Titanic_Dataset[[#This Row],[Age]]&lt;30,"20-29",
IF(Titanic_Dataset[[#This Row],[Age]]&lt;40,"30-39",
IF(Titanic_Dataset[[#This Row],[Age]]&lt;50,"40-49",
IF(Titanic_Dataset[[#This Row],[Age]]&lt;60,"50-59",
IF(Titanic_Dataset[[#This Row],[Age]]&lt;70,"60-69",)))))))</f>
        <v>12-19</v>
      </c>
      <c r="K206">
        <v>0</v>
      </c>
      <c r="L206">
        <v>0</v>
      </c>
      <c r="M206">
        <f>Titanic_Dataset[[#This Row],[Parch]]+Titanic_Dataset[[#This Row],[SibSp]]</f>
        <v>0</v>
      </c>
      <c r="N206" s="1" t="s">
        <v>442</v>
      </c>
      <c r="O206">
        <v>8.0500000000000007</v>
      </c>
      <c r="P206">
        <f>IF(Titanic_Dataset[[#This Row],[Survived]]=1,Titanic_Dataset[[#This Row],[Fare]],NA())</f>
        <v>8.0500000000000007</v>
      </c>
      <c r="Q206" t="e">
        <f>IF(Titanic_Dataset[[#This Row],[Survived]]=0,Titanic_Dataset[[#This Row],[Fare]],NA())</f>
        <v>#N/A</v>
      </c>
      <c r="R206" t="str">
        <f>VLOOKUP(Titanic_Dataset[[#This Row],[Fare]],Table2[],2,TRUE)</f>
        <v>medium</v>
      </c>
      <c r="S206" s="1" t="s">
        <v>15</v>
      </c>
      <c r="T206" s="1" t="s">
        <v>16</v>
      </c>
      <c r="U206" s="1"/>
      <c r="V206" s="1"/>
      <c r="W206" s="1"/>
    </row>
    <row r="207" spans="1:23" x14ac:dyDescent="0.25">
      <c r="A207">
        <v>206</v>
      </c>
      <c r="B207">
        <v>0</v>
      </c>
      <c r="C207" t="str">
        <f>IF(Titanic_Dataset[[#This Row],[Survived]]=1,"Survived","Died")</f>
        <v>Died</v>
      </c>
      <c r="D207">
        <v>3</v>
      </c>
      <c r="E207" t="str">
        <f>IF(Titanic_Dataset[[#This Row],[Pclass]]=1,"1st",IF(Titanic_Dataset[[#This Row],[Pclass]]=2,"2nd",IF(Titanic_Dataset[[#This Row],[Pclass]]=3,"3rd")))</f>
        <v>3rd</v>
      </c>
      <c r="F207" s="1" t="s">
        <v>443</v>
      </c>
      <c r="G207" s="1" t="str">
        <f>TRIM(MID(Titanic_Dataset[[#This Row],[Name]],
FIND(",",Titanic_Dataset[[#This Row],[Name]])+2,
FIND(".",Titanic_Dataset[[#This Row],[Name]],FIND(",",Titanic_Dataset[[#This Row],[Name]]))-FIND(",",Titanic_Dataset[[#This Row],[Name]])-1))</f>
        <v>Miss.</v>
      </c>
      <c r="H207" s="1" t="s">
        <v>18</v>
      </c>
      <c r="I207">
        <v>2</v>
      </c>
      <c r="J207" t="str">
        <f>IF(Titanic_Dataset[[#This Row],[Age]]&lt;12,"0-11",
IF(Titanic_Dataset[[#This Row],[Age]]&lt;20,"12-19",
IF(Titanic_Dataset[[#This Row],[Age]]&lt;30,"20-29",
IF(Titanic_Dataset[[#This Row],[Age]]&lt;40,"30-39",
IF(Titanic_Dataset[[#This Row],[Age]]&lt;50,"40-49",
IF(Titanic_Dataset[[#This Row],[Age]]&lt;60,"50-59",
IF(Titanic_Dataset[[#This Row],[Age]]&lt;70,"60-69",)))))))</f>
        <v>0-11</v>
      </c>
      <c r="K207">
        <v>0</v>
      </c>
      <c r="L207">
        <v>1</v>
      </c>
      <c r="M207">
        <f>Titanic_Dataset[[#This Row],[Parch]]+Titanic_Dataset[[#This Row],[SibSp]]</f>
        <v>1</v>
      </c>
      <c r="N207" s="1" t="s">
        <v>444</v>
      </c>
      <c r="O207">
        <v>10.4625</v>
      </c>
      <c r="P207" t="e">
        <f>IF(Titanic_Dataset[[#This Row],[Survived]]=1,Titanic_Dataset[[#This Row],[Fare]],NA())</f>
        <v>#N/A</v>
      </c>
      <c r="Q207">
        <f>IF(Titanic_Dataset[[#This Row],[Survived]]=0,Titanic_Dataset[[#This Row],[Fare]],NA())</f>
        <v>10.4625</v>
      </c>
      <c r="R207" t="str">
        <f>VLOOKUP(Titanic_Dataset[[#This Row],[Fare]],Table2[],2,TRUE)</f>
        <v>medium</v>
      </c>
      <c r="S207" s="1" t="s">
        <v>43</v>
      </c>
      <c r="T207" s="1" t="s">
        <v>16</v>
      </c>
      <c r="U207" s="1"/>
      <c r="V207" s="1"/>
      <c r="W207" s="1"/>
    </row>
    <row r="208" spans="1:23" x14ac:dyDescent="0.25">
      <c r="A208">
        <v>207</v>
      </c>
      <c r="B208">
        <v>0</v>
      </c>
      <c r="C208" t="str">
        <f>IF(Titanic_Dataset[[#This Row],[Survived]]=1,"Survived","Died")</f>
        <v>Died</v>
      </c>
      <c r="D208">
        <v>3</v>
      </c>
      <c r="E208" t="str">
        <f>IF(Titanic_Dataset[[#This Row],[Pclass]]=1,"1st",IF(Titanic_Dataset[[#This Row],[Pclass]]=2,"2nd",IF(Titanic_Dataset[[#This Row],[Pclass]]=3,"3rd")))</f>
        <v>3rd</v>
      </c>
      <c r="F208" s="1" t="s">
        <v>445</v>
      </c>
      <c r="G208" s="1" t="str">
        <f>TRIM(MID(Titanic_Dataset[[#This Row],[Name]],
FIND(",",Titanic_Dataset[[#This Row],[Name]])+2,
FIND(".",Titanic_Dataset[[#This Row],[Name]],FIND(",",Titanic_Dataset[[#This Row],[Name]]))-FIND(",",Titanic_Dataset[[#This Row],[Name]])-1))</f>
        <v>Mr.</v>
      </c>
      <c r="H208" s="1" t="s">
        <v>13</v>
      </c>
      <c r="I208">
        <v>32</v>
      </c>
      <c r="J208" t="str">
        <f>IF(Titanic_Dataset[[#This Row],[Age]]&lt;12,"0-11",
IF(Titanic_Dataset[[#This Row],[Age]]&lt;20,"12-19",
IF(Titanic_Dataset[[#This Row],[Age]]&lt;30,"20-29",
IF(Titanic_Dataset[[#This Row],[Age]]&lt;40,"30-39",
IF(Titanic_Dataset[[#This Row],[Age]]&lt;50,"40-49",
IF(Titanic_Dataset[[#This Row],[Age]]&lt;60,"50-59",
IF(Titanic_Dataset[[#This Row],[Age]]&lt;70,"60-69",)))))))</f>
        <v>30-39</v>
      </c>
      <c r="K208">
        <v>1</v>
      </c>
      <c r="L208">
        <v>0</v>
      </c>
      <c r="M208">
        <f>Titanic_Dataset[[#This Row],[Parch]]+Titanic_Dataset[[#This Row],[SibSp]]</f>
        <v>1</v>
      </c>
      <c r="N208" s="1" t="s">
        <v>203</v>
      </c>
      <c r="O208">
        <v>15.85</v>
      </c>
      <c r="P208" t="e">
        <f>IF(Titanic_Dataset[[#This Row],[Survived]]=1,Titanic_Dataset[[#This Row],[Fare]],NA())</f>
        <v>#N/A</v>
      </c>
      <c r="Q208">
        <f>IF(Titanic_Dataset[[#This Row],[Survived]]=0,Titanic_Dataset[[#This Row],[Fare]],NA())</f>
        <v>15.85</v>
      </c>
      <c r="R208" t="str">
        <f>VLOOKUP(Titanic_Dataset[[#This Row],[Fare]],Table2[],2,TRUE)</f>
        <v>high</v>
      </c>
      <c r="S208" s="1" t="s">
        <v>15</v>
      </c>
      <c r="T208" s="1" t="s">
        <v>16</v>
      </c>
      <c r="U208" s="1"/>
      <c r="V208" s="1"/>
      <c r="W208" s="1"/>
    </row>
    <row r="209" spans="1:23" x14ac:dyDescent="0.25">
      <c r="A209">
        <v>208</v>
      </c>
      <c r="B209">
        <v>1</v>
      </c>
      <c r="C209" t="str">
        <f>IF(Titanic_Dataset[[#This Row],[Survived]]=1,"Survived","Died")</f>
        <v>Survived</v>
      </c>
      <c r="D209">
        <v>3</v>
      </c>
      <c r="E209" t="str">
        <f>IF(Titanic_Dataset[[#This Row],[Pclass]]=1,"1st",IF(Titanic_Dataset[[#This Row],[Pclass]]=2,"2nd",IF(Titanic_Dataset[[#This Row],[Pclass]]=3,"3rd")))</f>
        <v>3rd</v>
      </c>
      <c r="F209" s="1" t="s">
        <v>446</v>
      </c>
      <c r="G209" s="1" t="str">
        <f>TRIM(MID(Titanic_Dataset[[#This Row],[Name]],
FIND(",",Titanic_Dataset[[#This Row],[Name]])+2,
FIND(".",Titanic_Dataset[[#This Row],[Name]],FIND(",",Titanic_Dataset[[#This Row],[Name]]))-FIND(",",Titanic_Dataset[[#This Row],[Name]])-1))</f>
        <v>Mr.</v>
      </c>
      <c r="H209" s="1" t="s">
        <v>13</v>
      </c>
      <c r="I209">
        <v>26</v>
      </c>
      <c r="J20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09">
        <v>0</v>
      </c>
      <c r="L209">
        <v>0</v>
      </c>
      <c r="M209">
        <f>Titanic_Dataset[[#This Row],[Parch]]+Titanic_Dataset[[#This Row],[SibSp]]</f>
        <v>0</v>
      </c>
      <c r="N209" s="1" t="s">
        <v>447</v>
      </c>
      <c r="O209">
        <v>18.787500000000001</v>
      </c>
      <c r="P209">
        <f>IF(Titanic_Dataset[[#This Row],[Survived]]=1,Titanic_Dataset[[#This Row],[Fare]],NA())</f>
        <v>18.787500000000001</v>
      </c>
      <c r="Q209" t="e">
        <f>IF(Titanic_Dataset[[#This Row],[Survived]]=0,Titanic_Dataset[[#This Row],[Fare]],NA())</f>
        <v>#N/A</v>
      </c>
      <c r="R209" t="str">
        <f>VLOOKUP(Titanic_Dataset[[#This Row],[Fare]],Table2[],2,TRUE)</f>
        <v>high</v>
      </c>
      <c r="S209" s="1" t="s">
        <v>15</v>
      </c>
      <c r="T209" s="1" t="s">
        <v>21</v>
      </c>
      <c r="U209" s="1"/>
      <c r="V209" s="1"/>
      <c r="W209" s="1"/>
    </row>
    <row r="210" spans="1:23" x14ac:dyDescent="0.25">
      <c r="A210">
        <v>209</v>
      </c>
      <c r="B210">
        <v>1</v>
      </c>
      <c r="C210" t="str">
        <f>IF(Titanic_Dataset[[#This Row],[Survived]]=1,"Survived","Died")</f>
        <v>Survived</v>
      </c>
      <c r="D210">
        <v>3</v>
      </c>
      <c r="E210" t="str">
        <f>IF(Titanic_Dataset[[#This Row],[Pclass]]=1,"1st",IF(Titanic_Dataset[[#This Row],[Pclass]]=2,"2nd",IF(Titanic_Dataset[[#This Row],[Pclass]]=3,"3rd")))</f>
        <v>3rd</v>
      </c>
      <c r="F210" s="1" t="s">
        <v>448</v>
      </c>
      <c r="G210" s="1" t="str">
        <f>TRIM(MID(Titanic_Dataset[[#This Row],[Name]],
FIND(",",Titanic_Dataset[[#This Row],[Name]])+2,
FIND(".",Titanic_Dataset[[#This Row],[Name]],FIND(",",Titanic_Dataset[[#This Row],[Name]]))-FIND(",",Titanic_Dataset[[#This Row],[Name]])-1))</f>
        <v>Miss.</v>
      </c>
      <c r="H210" s="1" t="s">
        <v>18</v>
      </c>
      <c r="I210">
        <v>16</v>
      </c>
      <c r="J210" t="str">
        <f>IF(Titanic_Dataset[[#This Row],[Age]]&lt;12,"0-11",
IF(Titanic_Dataset[[#This Row],[Age]]&lt;20,"12-19",
IF(Titanic_Dataset[[#This Row],[Age]]&lt;30,"20-29",
IF(Titanic_Dataset[[#This Row],[Age]]&lt;40,"30-39",
IF(Titanic_Dataset[[#This Row],[Age]]&lt;50,"40-49",
IF(Titanic_Dataset[[#This Row],[Age]]&lt;60,"50-59",
IF(Titanic_Dataset[[#This Row],[Age]]&lt;70,"60-69",)))))))</f>
        <v>12-19</v>
      </c>
      <c r="K210">
        <v>0</v>
      </c>
      <c r="L210">
        <v>0</v>
      </c>
      <c r="M210">
        <f>Titanic_Dataset[[#This Row],[Parch]]+Titanic_Dataset[[#This Row],[SibSp]]</f>
        <v>0</v>
      </c>
      <c r="N210" s="1" t="s">
        <v>449</v>
      </c>
      <c r="O210">
        <v>7.75</v>
      </c>
      <c r="P210">
        <f>IF(Titanic_Dataset[[#This Row],[Survived]]=1,Titanic_Dataset[[#This Row],[Fare]],NA())</f>
        <v>7.75</v>
      </c>
      <c r="Q210" t="e">
        <f>IF(Titanic_Dataset[[#This Row],[Survived]]=0,Titanic_Dataset[[#This Row],[Fare]],NA())</f>
        <v>#N/A</v>
      </c>
      <c r="R210" t="str">
        <f>VLOOKUP(Titanic_Dataset[[#This Row],[Fare]],Table2[],2,TRUE)</f>
        <v>low</v>
      </c>
      <c r="S210" s="1" t="s">
        <v>15</v>
      </c>
      <c r="T210" s="1" t="s">
        <v>31</v>
      </c>
      <c r="U210" s="1"/>
      <c r="V210" s="1"/>
      <c r="W210" s="1"/>
    </row>
    <row r="211" spans="1:23" x14ac:dyDescent="0.25">
      <c r="A211">
        <v>210</v>
      </c>
      <c r="B211">
        <v>1</v>
      </c>
      <c r="C211" t="str">
        <f>IF(Titanic_Dataset[[#This Row],[Survived]]=1,"Survived","Died")</f>
        <v>Survived</v>
      </c>
      <c r="D211">
        <v>1</v>
      </c>
      <c r="E211" t="str">
        <f>IF(Titanic_Dataset[[#This Row],[Pclass]]=1,"1st",IF(Titanic_Dataset[[#This Row],[Pclass]]=2,"2nd",IF(Titanic_Dataset[[#This Row],[Pclass]]=3,"3rd")))</f>
        <v>1st</v>
      </c>
      <c r="F211" s="1" t="s">
        <v>450</v>
      </c>
      <c r="G211" s="1" t="str">
        <f>TRIM(MID(Titanic_Dataset[[#This Row],[Name]],
FIND(",",Titanic_Dataset[[#This Row],[Name]])+2,
FIND(".",Titanic_Dataset[[#This Row],[Name]],FIND(",",Titanic_Dataset[[#This Row],[Name]]))-FIND(",",Titanic_Dataset[[#This Row],[Name]])-1))</f>
        <v>Mr.</v>
      </c>
      <c r="H211" s="1" t="s">
        <v>13</v>
      </c>
      <c r="I211">
        <v>40</v>
      </c>
      <c r="J211" t="str">
        <f>IF(Titanic_Dataset[[#This Row],[Age]]&lt;12,"0-11",
IF(Titanic_Dataset[[#This Row],[Age]]&lt;20,"12-19",
IF(Titanic_Dataset[[#This Row],[Age]]&lt;30,"20-29",
IF(Titanic_Dataset[[#This Row],[Age]]&lt;40,"30-39",
IF(Titanic_Dataset[[#This Row],[Age]]&lt;50,"40-49",
IF(Titanic_Dataset[[#This Row],[Age]]&lt;60,"50-59",
IF(Titanic_Dataset[[#This Row],[Age]]&lt;70,"60-69",)))))))</f>
        <v>40-49</v>
      </c>
      <c r="K211">
        <v>0</v>
      </c>
      <c r="L211">
        <v>0</v>
      </c>
      <c r="M211">
        <f>Titanic_Dataset[[#This Row],[Parch]]+Titanic_Dataset[[#This Row],[SibSp]]</f>
        <v>0</v>
      </c>
      <c r="N211" s="1" t="s">
        <v>451</v>
      </c>
      <c r="O211">
        <v>31</v>
      </c>
      <c r="P211">
        <f>IF(Titanic_Dataset[[#This Row],[Survived]]=1,Titanic_Dataset[[#This Row],[Fare]],NA())</f>
        <v>31</v>
      </c>
      <c r="Q211" t="e">
        <f>IF(Titanic_Dataset[[#This Row],[Survived]]=0,Titanic_Dataset[[#This Row],[Fare]],NA())</f>
        <v>#N/A</v>
      </c>
      <c r="R211" t="str">
        <f>VLOOKUP(Titanic_Dataset[[#This Row],[Fare]],Table2[],2,TRUE)</f>
        <v>very hiegh</v>
      </c>
      <c r="S211" s="1" t="s">
        <v>452</v>
      </c>
      <c r="T211" s="1" t="s">
        <v>21</v>
      </c>
      <c r="U211" s="1"/>
      <c r="V211" s="1"/>
      <c r="W211" s="1"/>
    </row>
    <row r="212" spans="1:23" x14ac:dyDescent="0.25">
      <c r="A212">
        <v>211</v>
      </c>
      <c r="B212">
        <v>0</v>
      </c>
      <c r="C212" t="str">
        <f>IF(Titanic_Dataset[[#This Row],[Survived]]=1,"Survived","Died")</f>
        <v>Died</v>
      </c>
      <c r="D212">
        <v>3</v>
      </c>
      <c r="E212" t="str">
        <f>IF(Titanic_Dataset[[#This Row],[Pclass]]=1,"1st",IF(Titanic_Dataset[[#This Row],[Pclass]]=2,"2nd",IF(Titanic_Dataset[[#This Row],[Pclass]]=3,"3rd")))</f>
        <v>3rd</v>
      </c>
      <c r="F212" s="1" t="s">
        <v>453</v>
      </c>
      <c r="G212" s="1" t="str">
        <f>TRIM(MID(Titanic_Dataset[[#This Row],[Name]],
FIND(",",Titanic_Dataset[[#This Row],[Name]])+2,
FIND(".",Titanic_Dataset[[#This Row],[Name]],FIND(",",Titanic_Dataset[[#This Row],[Name]]))-FIND(",",Titanic_Dataset[[#This Row],[Name]])-1))</f>
        <v>Mr.</v>
      </c>
      <c r="H212" s="1" t="s">
        <v>13</v>
      </c>
      <c r="I212">
        <v>24</v>
      </c>
      <c r="J21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12">
        <v>0</v>
      </c>
      <c r="L212">
        <v>0</v>
      </c>
      <c r="M212">
        <f>Titanic_Dataset[[#This Row],[Parch]]+Titanic_Dataset[[#This Row],[SibSp]]</f>
        <v>0</v>
      </c>
      <c r="N212" s="1" t="s">
        <v>454</v>
      </c>
      <c r="O212">
        <v>7.05</v>
      </c>
      <c r="P212" t="e">
        <f>IF(Titanic_Dataset[[#This Row],[Survived]]=1,Titanic_Dataset[[#This Row],[Fare]],NA())</f>
        <v>#N/A</v>
      </c>
      <c r="Q212">
        <f>IF(Titanic_Dataset[[#This Row],[Survived]]=0,Titanic_Dataset[[#This Row],[Fare]],NA())</f>
        <v>7.05</v>
      </c>
      <c r="R212" t="str">
        <f>VLOOKUP(Titanic_Dataset[[#This Row],[Fare]],Table2[],2,TRUE)</f>
        <v>low</v>
      </c>
      <c r="S212" s="1" t="s">
        <v>15</v>
      </c>
      <c r="T212" s="1" t="s">
        <v>16</v>
      </c>
      <c r="U212" s="1"/>
      <c r="V212" s="1"/>
      <c r="W212" s="1"/>
    </row>
    <row r="213" spans="1:23" x14ac:dyDescent="0.25">
      <c r="A213">
        <v>212</v>
      </c>
      <c r="B213">
        <v>1</v>
      </c>
      <c r="C213" t="str">
        <f>IF(Titanic_Dataset[[#This Row],[Survived]]=1,"Survived","Died")</f>
        <v>Survived</v>
      </c>
      <c r="D213">
        <v>2</v>
      </c>
      <c r="E213" t="str">
        <f>IF(Titanic_Dataset[[#This Row],[Pclass]]=1,"1st",IF(Titanic_Dataset[[#This Row],[Pclass]]=2,"2nd",IF(Titanic_Dataset[[#This Row],[Pclass]]=3,"3rd")))</f>
        <v>2nd</v>
      </c>
      <c r="F213" s="1" t="s">
        <v>455</v>
      </c>
      <c r="G213" s="1" t="str">
        <f>TRIM(MID(Titanic_Dataset[[#This Row],[Name]],
FIND(",",Titanic_Dataset[[#This Row],[Name]])+2,
FIND(".",Titanic_Dataset[[#This Row],[Name]],FIND(",",Titanic_Dataset[[#This Row],[Name]]))-FIND(",",Titanic_Dataset[[#This Row],[Name]])-1))</f>
        <v>Miss.</v>
      </c>
      <c r="H213" s="1" t="s">
        <v>18</v>
      </c>
      <c r="I213">
        <v>35</v>
      </c>
      <c r="J213" t="str">
        <f>IF(Titanic_Dataset[[#This Row],[Age]]&lt;12,"0-11",
IF(Titanic_Dataset[[#This Row],[Age]]&lt;20,"12-19",
IF(Titanic_Dataset[[#This Row],[Age]]&lt;30,"20-29",
IF(Titanic_Dataset[[#This Row],[Age]]&lt;40,"30-39",
IF(Titanic_Dataset[[#This Row],[Age]]&lt;50,"40-49",
IF(Titanic_Dataset[[#This Row],[Age]]&lt;60,"50-59",
IF(Titanic_Dataset[[#This Row],[Age]]&lt;70,"60-69",)))))))</f>
        <v>30-39</v>
      </c>
      <c r="K213">
        <v>0</v>
      </c>
      <c r="L213">
        <v>0</v>
      </c>
      <c r="M213">
        <f>Titanic_Dataset[[#This Row],[Parch]]+Titanic_Dataset[[#This Row],[SibSp]]</f>
        <v>0</v>
      </c>
      <c r="N213" s="1" t="s">
        <v>456</v>
      </c>
      <c r="O213">
        <v>21</v>
      </c>
      <c r="P213">
        <f>IF(Titanic_Dataset[[#This Row],[Survived]]=1,Titanic_Dataset[[#This Row],[Fare]],NA())</f>
        <v>21</v>
      </c>
      <c r="Q213" t="e">
        <f>IF(Titanic_Dataset[[#This Row],[Survived]]=0,Titanic_Dataset[[#This Row],[Fare]],NA())</f>
        <v>#N/A</v>
      </c>
      <c r="R213" t="str">
        <f>VLOOKUP(Titanic_Dataset[[#This Row],[Fare]],Table2[],2,TRUE)</f>
        <v>high</v>
      </c>
      <c r="S213" s="1" t="s">
        <v>15</v>
      </c>
      <c r="T213" s="1" t="s">
        <v>16</v>
      </c>
      <c r="U213" s="1"/>
      <c r="V213" s="1"/>
      <c r="W213" s="1"/>
    </row>
    <row r="214" spans="1:23" x14ac:dyDescent="0.25">
      <c r="A214">
        <v>213</v>
      </c>
      <c r="B214">
        <v>0</v>
      </c>
      <c r="C214" t="str">
        <f>IF(Titanic_Dataset[[#This Row],[Survived]]=1,"Survived","Died")</f>
        <v>Died</v>
      </c>
      <c r="D214">
        <v>3</v>
      </c>
      <c r="E214" t="str">
        <f>IF(Titanic_Dataset[[#This Row],[Pclass]]=1,"1st",IF(Titanic_Dataset[[#This Row],[Pclass]]=2,"2nd",IF(Titanic_Dataset[[#This Row],[Pclass]]=3,"3rd")))</f>
        <v>3rd</v>
      </c>
      <c r="F214" s="1" t="s">
        <v>457</v>
      </c>
      <c r="G214" s="1" t="str">
        <f>TRIM(MID(Titanic_Dataset[[#This Row],[Name]],
FIND(",",Titanic_Dataset[[#This Row],[Name]])+2,
FIND(".",Titanic_Dataset[[#This Row],[Name]],FIND(",",Titanic_Dataset[[#This Row],[Name]]))-FIND(",",Titanic_Dataset[[#This Row],[Name]])-1))</f>
        <v>Mr.</v>
      </c>
      <c r="H214" s="1" t="s">
        <v>13</v>
      </c>
      <c r="I214">
        <v>22</v>
      </c>
      <c r="J21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14">
        <v>0</v>
      </c>
      <c r="L214">
        <v>0</v>
      </c>
      <c r="M214">
        <f>Titanic_Dataset[[#This Row],[Parch]]+Titanic_Dataset[[#This Row],[SibSp]]</f>
        <v>0</v>
      </c>
      <c r="N214" s="1" t="s">
        <v>458</v>
      </c>
      <c r="O214">
        <v>7.25</v>
      </c>
      <c r="P214" t="e">
        <f>IF(Titanic_Dataset[[#This Row],[Survived]]=1,Titanic_Dataset[[#This Row],[Fare]],NA())</f>
        <v>#N/A</v>
      </c>
      <c r="Q214">
        <f>IF(Titanic_Dataset[[#This Row],[Survived]]=0,Titanic_Dataset[[#This Row],[Fare]],NA())</f>
        <v>7.25</v>
      </c>
      <c r="R214" t="str">
        <f>VLOOKUP(Titanic_Dataset[[#This Row],[Fare]],Table2[],2,TRUE)</f>
        <v>low</v>
      </c>
      <c r="S214" s="1" t="s">
        <v>15</v>
      </c>
      <c r="T214" s="1" t="s">
        <v>16</v>
      </c>
      <c r="U214" s="1"/>
      <c r="V214" s="1"/>
      <c r="W214" s="1"/>
    </row>
    <row r="215" spans="1:23" x14ac:dyDescent="0.25">
      <c r="A215">
        <v>214</v>
      </c>
      <c r="B215">
        <v>0</v>
      </c>
      <c r="C215" t="str">
        <f>IF(Titanic_Dataset[[#This Row],[Survived]]=1,"Survived","Died")</f>
        <v>Died</v>
      </c>
      <c r="D215">
        <v>2</v>
      </c>
      <c r="E215" t="str">
        <f>IF(Titanic_Dataset[[#This Row],[Pclass]]=1,"1st",IF(Titanic_Dataset[[#This Row],[Pclass]]=2,"2nd",IF(Titanic_Dataset[[#This Row],[Pclass]]=3,"3rd")))</f>
        <v>2nd</v>
      </c>
      <c r="F215" s="1" t="s">
        <v>459</v>
      </c>
      <c r="G215" s="1" t="str">
        <f>TRIM(MID(Titanic_Dataset[[#This Row],[Name]],
FIND(",",Titanic_Dataset[[#This Row],[Name]])+2,
FIND(".",Titanic_Dataset[[#This Row],[Name]],FIND(",",Titanic_Dataset[[#This Row],[Name]]))-FIND(",",Titanic_Dataset[[#This Row],[Name]])-1))</f>
        <v>Mr.</v>
      </c>
      <c r="H215" s="1" t="s">
        <v>13</v>
      </c>
      <c r="I215">
        <v>30</v>
      </c>
      <c r="J215" t="str">
        <f>IF(Titanic_Dataset[[#This Row],[Age]]&lt;12,"0-11",
IF(Titanic_Dataset[[#This Row],[Age]]&lt;20,"12-19",
IF(Titanic_Dataset[[#This Row],[Age]]&lt;30,"20-29",
IF(Titanic_Dataset[[#This Row],[Age]]&lt;40,"30-39",
IF(Titanic_Dataset[[#This Row],[Age]]&lt;50,"40-49",
IF(Titanic_Dataset[[#This Row],[Age]]&lt;60,"50-59",
IF(Titanic_Dataset[[#This Row],[Age]]&lt;70,"60-69",)))))))</f>
        <v>30-39</v>
      </c>
      <c r="K215">
        <v>0</v>
      </c>
      <c r="L215">
        <v>0</v>
      </c>
      <c r="M215">
        <f>Titanic_Dataset[[#This Row],[Parch]]+Titanic_Dataset[[#This Row],[SibSp]]</f>
        <v>0</v>
      </c>
      <c r="N215" s="1" t="s">
        <v>460</v>
      </c>
      <c r="O215">
        <v>13</v>
      </c>
      <c r="P215" t="e">
        <f>IF(Titanic_Dataset[[#This Row],[Survived]]=1,Titanic_Dataset[[#This Row],[Fare]],NA())</f>
        <v>#N/A</v>
      </c>
      <c r="Q215">
        <f>IF(Titanic_Dataset[[#This Row],[Survived]]=0,Titanic_Dataset[[#This Row],[Fare]],NA())</f>
        <v>13</v>
      </c>
      <c r="R215" t="str">
        <f>VLOOKUP(Titanic_Dataset[[#This Row],[Fare]],Table2[],2,TRUE)</f>
        <v>medium</v>
      </c>
      <c r="S215" s="1" t="s">
        <v>15</v>
      </c>
      <c r="T215" s="1" t="s">
        <v>16</v>
      </c>
      <c r="U215" s="1"/>
      <c r="V215" s="1"/>
      <c r="W215" s="1"/>
    </row>
    <row r="216" spans="1:23" x14ac:dyDescent="0.25">
      <c r="A216">
        <v>215</v>
      </c>
      <c r="B216">
        <v>0</v>
      </c>
      <c r="C216" t="str">
        <f>IF(Titanic_Dataset[[#This Row],[Survived]]=1,"Survived","Died")</f>
        <v>Died</v>
      </c>
      <c r="D216">
        <v>3</v>
      </c>
      <c r="E216" t="str">
        <f>IF(Titanic_Dataset[[#This Row],[Pclass]]=1,"1st",IF(Titanic_Dataset[[#This Row],[Pclass]]=2,"2nd",IF(Titanic_Dataset[[#This Row],[Pclass]]=3,"3rd")))</f>
        <v>3rd</v>
      </c>
      <c r="F216" s="1" t="s">
        <v>461</v>
      </c>
      <c r="G216" s="1" t="str">
        <f>TRIM(MID(Titanic_Dataset[[#This Row],[Name]],
FIND(",",Titanic_Dataset[[#This Row],[Name]])+2,
FIND(".",Titanic_Dataset[[#This Row],[Name]],FIND(",",Titanic_Dataset[[#This Row],[Name]]))-FIND(",",Titanic_Dataset[[#This Row],[Name]])-1))</f>
        <v>Mr.</v>
      </c>
      <c r="H216" s="1" t="s">
        <v>13</v>
      </c>
      <c r="I216">
        <v>28</v>
      </c>
      <c r="J21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16">
        <v>1</v>
      </c>
      <c r="L216">
        <v>0</v>
      </c>
      <c r="M216">
        <f>Titanic_Dataset[[#This Row],[Parch]]+Titanic_Dataset[[#This Row],[SibSp]]</f>
        <v>1</v>
      </c>
      <c r="N216" s="1" t="s">
        <v>462</v>
      </c>
      <c r="O216">
        <v>7.75</v>
      </c>
      <c r="P216" t="e">
        <f>IF(Titanic_Dataset[[#This Row],[Survived]]=1,Titanic_Dataset[[#This Row],[Fare]],NA())</f>
        <v>#N/A</v>
      </c>
      <c r="Q216">
        <f>IF(Titanic_Dataset[[#This Row],[Survived]]=0,Titanic_Dataset[[#This Row],[Fare]],NA())</f>
        <v>7.75</v>
      </c>
      <c r="R216" t="str">
        <f>VLOOKUP(Titanic_Dataset[[#This Row],[Fare]],Table2[],2,TRUE)</f>
        <v>low</v>
      </c>
      <c r="S216" s="1" t="s">
        <v>15</v>
      </c>
      <c r="T216" s="1" t="s">
        <v>31</v>
      </c>
      <c r="U216" s="1"/>
      <c r="V216" s="1"/>
      <c r="W216" s="1"/>
    </row>
    <row r="217" spans="1:23" x14ac:dyDescent="0.25">
      <c r="A217">
        <v>216</v>
      </c>
      <c r="B217">
        <v>1</v>
      </c>
      <c r="C217" t="str">
        <f>IF(Titanic_Dataset[[#This Row],[Survived]]=1,"Survived","Died")</f>
        <v>Survived</v>
      </c>
      <c r="D217">
        <v>1</v>
      </c>
      <c r="E217" t="str">
        <f>IF(Titanic_Dataset[[#This Row],[Pclass]]=1,"1st",IF(Titanic_Dataset[[#This Row],[Pclass]]=2,"2nd",IF(Titanic_Dataset[[#This Row],[Pclass]]=3,"3rd")))</f>
        <v>1st</v>
      </c>
      <c r="F217" s="1" t="s">
        <v>463</v>
      </c>
      <c r="G217" s="1" t="str">
        <f>TRIM(MID(Titanic_Dataset[[#This Row],[Name]],
FIND(",",Titanic_Dataset[[#This Row],[Name]])+2,
FIND(".",Titanic_Dataset[[#This Row],[Name]],FIND(",",Titanic_Dataset[[#This Row],[Name]]))-FIND(",",Titanic_Dataset[[#This Row],[Name]])-1))</f>
        <v>Miss.</v>
      </c>
      <c r="H217" s="1" t="s">
        <v>18</v>
      </c>
      <c r="I217">
        <v>31</v>
      </c>
      <c r="J217" t="str">
        <f>IF(Titanic_Dataset[[#This Row],[Age]]&lt;12,"0-11",
IF(Titanic_Dataset[[#This Row],[Age]]&lt;20,"12-19",
IF(Titanic_Dataset[[#This Row],[Age]]&lt;30,"20-29",
IF(Titanic_Dataset[[#This Row],[Age]]&lt;40,"30-39",
IF(Titanic_Dataset[[#This Row],[Age]]&lt;50,"40-49",
IF(Titanic_Dataset[[#This Row],[Age]]&lt;60,"50-59",
IF(Titanic_Dataset[[#This Row],[Age]]&lt;70,"60-69",)))))))</f>
        <v>30-39</v>
      </c>
      <c r="K217">
        <v>1</v>
      </c>
      <c r="L217">
        <v>0</v>
      </c>
      <c r="M217">
        <f>Titanic_Dataset[[#This Row],[Parch]]+Titanic_Dataset[[#This Row],[SibSp]]</f>
        <v>1</v>
      </c>
      <c r="N217" s="1" t="s">
        <v>464</v>
      </c>
      <c r="O217">
        <v>113.27500000000001</v>
      </c>
      <c r="P217">
        <f>IF(Titanic_Dataset[[#This Row],[Survived]]=1,Titanic_Dataset[[#This Row],[Fare]],NA())</f>
        <v>113.27500000000001</v>
      </c>
      <c r="Q217" t="e">
        <f>IF(Titanic_Dataset[[#This Row],[Survived]]=0,Titanic_Dataset[[#This Row],[Fare]],NA())</f>
        <v>#N/A</v>
      </c>
      <c r="R217" t="str">
        <f>VLOOKUP(Titanic_Dataset[[#This Row],[Fare]],Table2[],2,TRUE)</f>
        <v>very hiegh</v>
      </c>
      <c r="S217" s="1" t="s">
        <v>465</v>
      </c>
      <c r="T217" s="1" t="s">
        <v>21</v>
      </c>
      <c r="U217" s="1"/>
      <c r="V217" s="1"/>
      <c r="W217" s="1"/>
    </row>
    <row r="218" spans="1:23" x14ac:dyDescent="0.25">
      <c r="A218">
        <v>217</v>
      </c>
      <c r="B218">
        <v>1</v>
      </c>
      <c r="C218" t="str">
        <f>IF(Titanic_Dataset[[#This Row],[Survived]]=1,"Survived","Died")</f>
        <v>Survived</v>
      </c>
      <c r="D218">
        <v>3</v>
      </c>
      <c r="E218" t="str">
        <f>IF(Titanic_Dataset[[#This Row],[Pclass]]=1,"1st",IF(Titanic_Dataset[[#This Row],[Pclass]]=2,"2nd",IF(Titanic_Dataset[[#This Row],[Pclass]]=3,"3rd")))</f>
        <v>3rd</v>
      </c>
      <c r="F218" s="1" t="s">
        <v>466</v>
      </c>
      <c r="G218" s="1" t="str">
        <f>TRIM(MID(Titanic_Dataset[[#This Row],[Name]],
FIND(",",Titanic_Dataset[[#This Row],[Name]])+2,
FIND(".",Titanic_Dataset[[#This Row],[Name]],FIND(",",Titanic_Dataset[[#This Row],[Name]]))-FIND(",",Titanic_Dataset[[#This Row],[Name]])-1))</f>
        <v>Miss.</v>
      </c>
      <c r="H218" s="1" t="s">
        <v>18</v>
      </c>
      <c r="I218">
        <v>27</v>
      </c>
      <c r="J21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18">
        <v>0</v>
      </c>
      <c r="L218">
        <v>0</v>
      </c>
      <c r="M218">
        <f>Titanic_Dataset[[#This Row],[Parch]]+Titanic_Dataset[[#This Row],[SibSp]]</f>
        <v>0</v>
      </c>
      <c r="N218" s="1" t="s">
        <v>467</v>
      </c>
      <c r="O218">
        <v>7.9249999999999998</v>
      </c>
      <c r="P218">
        <f>IF(Titanic_Dataset[[#This Row],[Survived]]=1,Titanic_Dataset[[#This Row],[Fare]],NA())</f>
        <v>7.9249999999999998</v>
      </c>
      <c r="Q218" t="e">
        <f>IF(Titanic_Dataset[[#This Row],[Survived]]=0,Titanic_Dataset[[#This Row],[Fare]],NA())</f>
        <v>#N/A</v>
      </c>
      <c r="R218" t="str">
        <f>VLOOKUP(Titanic_Dataset[[#This Row],[Fare]],Table2[],2,TRUE)</f>
        <v>low</v>
      </c>
      <c r="S218" s="1" t="s">
        <v>15</v>
      </c>
      <c r="T218" s="1" t="s">
        <v>16</v>
      </c>
      <c r="U218" s="1"/>
      <c r="V218" s="1"/>
      <c r="W218" s="1"/>
    </row>
    <row r="219" spans="1:23" x14ac:dyDescent="0.25">
      <c r="A219">
        <v>218</v>
      </c>
      <c r="B219">
        <v>0</v>
      </c>
      <c r="C219" t="str">
        <f>IF(Titanic_Dataset[[#This Row],[Survived]]=1,"Survived","Died")</f>
        <v>Died</v>
      </c>
      <c r="D219">
        <v>2</v>
      </c>
      <c r="E219" t="str">
        <f>IF(Titanic_Dataset[[#This Row],[Pclass]]=1,"1st",IF(Titanic_Dataset[[#This Row],[Pclass]]=2,"2nd",IF(Titanic_Dataset[[#This Row],[Pclass]]=3,"3rd")))</f>
        <v>2nd</v>
      </c>
      <c r="F219" s="1" t="s">
        <v>468</v>
      </c>
      <c r="G219" s="1" t="str">
        <f>TRIM(MID(Titanic_Dataset[[#This Row],[Name]],
FIND(",",Titanic_Dataset[[#This Row],[Name]])+2,
FIND(".",Titanic_Dataset[[#This Row],[Name]],FIND(",",Titanic_Dataset[[#This Row],[Name]]))-FIND(",",Titanic_Dataset[[#This Row],[Name]])-1))</f>
        <v>Mr.</v>
      </c>
      <c r="H219" s="1" t="s">
        <v>13</v>
      </c>
      <c r="I219">
        <v>42</v>
      </c>
      <c r="J219" t="str">
        <f>IF(Titanic_Dataset[[#This Row],[Age]]&lt;12,"0-11",
IF(Titanic_Dataset[[#This Row],[Age]]&lt;20,"12-19",
IF(Titanic_Dataset[[#This Row],[Age]]&lt;30,"20-29",
IF(Titanic_Dataset[[#This Row],[Age]]&lt;40,"30-39",
IF(Titanic_Dataset[[#This Row],[Age]]&lt;50,"40-49",
IF(Titanic_Dataset[[#This Row],[Age]]&lt;60,"50-59",
IF(Titanic_Dataset[[#This Row],[Age]]&lt;70,"60-69",)))))))</f>
        <v>40-49</v>
      </c>
      <c r="K219">
        <v>1</v>
      </c>
      <c r="L219">
        <v>0</v>
      </c>
      <c r="M219">
        <f>Titanic_Dataset[[#This Row],[Parch]]+Titanic_Dataset[[#This Row],[SibSp]]</f>
        <v>1</v>
      </c>
      <c r="N219" s="1" t="s">
        <v>469</v>
      </c>
      <c r="O219">
        <v>27</v>
      </c>
      <c r="P219" t="e">
        <f>IF(Titanic_Dataset[[#This Row],[Survived]]=1,Titanic_Dataset[[#This Row],[Fare]],NA())</f>
        <v>#N/A</v>
      </c>
      <c r="Q219">
        <f>IF(Titanic_Dataset[[#This Row],[Survived]]=0,Titanic_Dataset[[#This Row],[Fare]],NA())</f>
        <v>27</v>
      </c>
      <c r="R219" t="str">
        <f>VLOOKUP(Titanic_Dataset[[#This Row],[Fare]],Table2[],2,TRUE)</f>
        <v>high</v>
      </c>
      <c r="S219" s="1" t="s">
        <v>15</v>
      </c>
      <c r="T219" s="1" t="s">
        <v>16</v>
      </c>
      <c r="U219" s="1"/>
      <c r="V219" s="1"/>
      <c r="W219" s="1"/>
    </row>
    <row r="220" spans="1:23" x14ac:dyDescent="0.25">
      <c r="A220">
        <v>219</v>
      </c>
      <c r="B220">
        <v>1</v>
      </c>
      <c r="C220" t="str">
        <f>IF(Titanic_Dataset[[#This Row],[Survived]]=1,"Survived","Died")</f>
        <v>Survived</v>
      </c>
      <c r="D220">
        <v>1</v>
      </c>
      <c r="E220" t="str">
        <f>IF(Titanic_Dataset[[#This Row],[Pclass]]=1,"1st",IF(Titanic_Dataset[[#This Row],[Pclass]]=2,"2nd",IF(Titanic_Dataset[[#This Row],[Pclass]]=3,"3rd")))</f>
        <v>1st</v>
      </c>
      <c r="F220" s="1" t="s">
        <v>470</v>
      </c>
      <c r="G220" s="1" t="str">
        <f>TRIM(MID(Titanic_Dataset[[#This Row],[Name]],
FIND(",",Titanic_Dataset[[#This Row],[Name]])+2,
FIND(".",Titanic_Dataset[[#This Row],[Name]],FIND(",",Titanic_Dataset[[#This Row],[Name]]))-FIND(",",Titanic_Dataset[[#This Row],[Name]])-1))</f>
        <v>Miss.</v>
      </c>
      <c r="H220" s="1" t="s">
        <v>18</v>
      </c>
      <c r="I220">
        <v>32</v>
      </c>
      <c r="J220" t="str">
        <f>IF(Titanic_Dataset[[#This Row],[Age]]&lt;12,"0-11",
IF(Titanic_Dataset[[#This Row],[Age]]&lt;20,"12-19",
IF(Titanic_Dataset[[#This Row],[Age]]&lt;30,"20-29",
IF(Titanic_Dataset[[#This Row],[Age]]&lt;40,"30-39",
IF(Titanic_Dataset[[#This Row],[Age]]&lt;50,"40-49",
IF(Titanic_Dataset[[#This Row],[Age]]&lt;60,"50-59",
IF(Titanic_Dataset[[#This Row],[Age]]&lt;70,"60-69",)))))))</f>
        <v>30-39</v>
      </c>
      <c r="K220">
        <v>0</v>
      </c>
      <c r="L220">
        <v>0</v>
      </c>
      <c r="M220">
        <f>Titanic_Dataset[[#This Row],[Parch]]+Titanic_Dataset[[#This Row],[SibSp]]</f>
        <v>0</v>
      </c>
      <c r="N220" s="1" t="s">
        <v>471</v>
      </c>
      <c r="O220">
        <v>76.291700000000006</v>
      </c>
      <c r="P220">
        <f>IF(Titanic_Dataset[[#This Row],[Survived]]=1,Titanic_Dataset[[#This Row],[Fare]],NA())</f>
        <v>76.291700000000006</v>
      </c>
      <c r="Q220" t="e">
        <f>IF(Titanic_Dataset[[#This Row],[Survived]]=0,Titanic_Dataset[[#This Row],[Fare]],NA())</f>
        <v>#N/A</v>
      </c>
      <c r="R220" t="str">
        <f>VLOOKUP(Titanic_Dataset[[#This Row],[Fare]],Table2[],2,TRUE)</f>
        <v>very hiegh</v>
      </c>
      <c r="S220" s="1" t="s">
        <v>472</v>
      </c>
      <c r="T220" s="1" t="s">
        <v>21</v>
      </c>
      <c r="U220" s="1"/>
      <c r="V220" s="1"/>
      <c r="W220" s="1"/>
    </row>
    <row r="221" spans="1:23" x14ac:dyDescent="0.25">
      <c r="A221">
        <v>220</v>
      </c>
      <c r="B221">
        <v>0</v>
      </c>
      <c r="C221" t="str">
        <f>IF(Titanic_Dataset[[#This Row],[Survived]]=1,"Survived","Died")</f>
        <v>Died</v>
      </c>
      <c r="D221">
        <v>2</v>
      </c>
      <c r="E221" t="str">
        <f>IF(Titanic_Dataset[[#This Row],[Pclass]]=1,"1st",IF(Titanic_Dataset[[#This Row],[Pclass]]=2,"2nd",IF(Titanic_Dataset[[#This Row],[Pclass]]=3,"3rd")))</f>
        <v>2nd</v>
      </c>
      <c r="F221" s="1" t="s">
        <v>473</v>
      </c>
      <c r="G221" s="1" t="str">
        <f>TRIM(MID(Titanic_Dataset[[#This Row],[Name]],
FIND(",",Titanic_Dataset[[#This Row],[Name]])+2,
FIND(".",Titanic_Dataset[[#This Row],[Name]],FIND(",",Titanic_Dataset[[#This Row],[Name]]))-FIND(",",Titanic_Dataset[[#This Row],[Name]])-1))</f>
        <v>Mr.</v>
      </c>
      <c r="H221" s="1" t="s">
        <v>13</v>
      </c>
      <c r="I221">
        <v>30</v>
      </c>
      <c r="J221" t="str">
        <f>IF(Titanic_Dataset[[#This Row],[Age]]&lt;12,"0-11",
IF(Titanic_Dataset[[#This Row],[Age]]&lt;20,"12-19",
IF(Titanic_Dataset[[#This Row],[Age]]&lt;30,"20-29",
IF(Titanic_Dataset[[#This Row],[Age]]&lt;40,"30-39",
IF(Titanic_Dataset[[#This Row],[Age]]&lt;50,"40-49",
IF(Titanic_Dataset[[#This Row],[Age]]&lt;60,"50-59",
IF(Titanic_Dataset[[#This Row],[Age]]&lt;70,"60-69",)))))))</f>
        <v>30-39</v>
      </c>
      <c r="K221">
        <v>0</v>
      </c>
      <c r="L221">
        <v>0</v>
      </c>
      <c r="M221">
        <f>Titanic_Dataset[[#This Row],[Parch]]+Titanic_Dataset[[#This Row],[SibSp]]</f>
        <v>0</v>
      </c>
      <c r="N221" s="1" t="s">
        <v>474</v>
      </c>
      <c r="O221">
        <v>10.5</v>
      </c>
      <c r="P221" t="e">
        <f>IF(Titanic_Dataset[[#This Row],[Survived]]=1,Titanic_Dataset[[#This Row],[Fare]],NA())</f>
        <v>#N/A</v>
      </c>
      <c r="Q221">
        <f>IF(Titanic_Dataset[[#This Row],[Survived]]=0,Titanic_Dataset[[#This Row],[Fare]],NA())</f>
        <v>10.5</v>
      </c>
      <c r="R221" t="str">
        <f>VLOOKUP(Titanic_Dataset[[#This Row],[Fare]],Table2[],2,TRUE)</f>
        <v>medium</v>
      </c>
      <c r="S221" s="1" t="s">
        <v>15</v>
      </c>
      <c r="T221" s="1" t="s">
        <v>16</v>
      </c>
      <c r="U221" s="1"/>
      <c r="V221" s="1"/>
      <c r="W221" s="1"/>
    </row>
    <row r="222" spans="1:23" x14ac:dyDescent="0.25">
      <c r="A222">
        <v>221</v>
      </c>
      <c r="B222">
        <v>1</v>
      </c>
      <c r="C222" t="str">
        <f>IF(Titanic_Dataset[[#This Row],[Survived]]=1,"Survived","Died")</f>
        <v>Survived</v>
      </c>
      <c r="D222">
        <v>3</v>
      </c>
      <c r="E222" t="str">
        <f>IF(Titanic_Dataset[[#This Row],[Pclass]]=1,"1st",IF(Titanic_Dataset[[#This Row],[Pclass]]=2,"2nd",IF(Titanic_Dataset[[#This Row],[Pclass]]=3,"3rd")))</f>
        <v>3rd</v>
      </c>
      <c r="F222" s="1" t="s">
        <v>475</v>
      </c>
      <c r="G222" s="1" t="str">
        <f>TRIM(MID(Titanic_Dataset[[#This Row],[Name]],
FIND(",",Titanic_Dataset[[#This Row],[Name]])+2,
FIND(".",Titanic_Dataset[[#This Row],[Name]],FIND(",",Titanic_Dataset[[#This Row],[Name]]))-FIND(",",Titanic_Dataset[[#This Row],[Name]])-1))</f>
        <v>Mr.</v>
      </c>
      <c r="H222" s="1" t="s">
        <v>13</v>
      </c>
      <c r="I222">
        <v>16</v>
      </c>
      <c r="J222" t="str">
        <f>IF(Titanic_Dataset[[#This Row],[Age]]&lt;12,"0-11",
IF(Titanic_Dataset[[#This Row],[Age]]&lt;20,"12-19",
IF(Titanic_Dataset[[#This Row],[Age]]&lt;30,"20-29",
IF(Titanic_Dataset[[#This Row],[Age]]&lt;40,"30-39",
IF(Titanic_Dataset[[#This Row],[Age]]&lt;50,"40-49",
IF(Titanic_Dataset[[#This Row],[Age]]&lt;60,"50-59",
IF(Titanic_Dataset[[#This Row],[Age]]&lt;70,"60-69",)))))))</f>
        <v>12-19</v>
      </c>
      <c r="K222">
        <v>0</v>
      </c>
      <c r="L222">
        <v>0</v>
      </c>
      <c r="M222">
        <f>Titanic_Dataset[[#This Row],[Parch]]+Titanic_Dataset[[#This Row],[SibSp]]</f>
        <v>0</v>
      </c>
      <c r="N222" s="1" t="s">
        <v>476</v>
      </c>
      <c r="O222">
        <v>8.0500000000000007</v>
      </c>
      <c r="P222">
        <f>IF(Titanic_Dataset[[#This Row],[Survived]]=1,Titanic_Dataset[[#This Row],[Fare]],NA())</f>
        <v>8.0500000000000007</v>
      </c>
      <c r="Q222" t="e">
        <f>IF(Titanic_Dataset[[#This Row],[Survived]]=0,Titanic_Dataset[[#This Row],[Fare]],NA())</f>
        <v>#N/A</v>
      </c>
      <c r="R222" t="str">
        <f>VLOOKUP(Titanic_Dataset[[#This Row],[Fare]],Table2[],2,TRUE)</f>
        <v>medium</v>
      </c>
      <c r="S222" s="1" t="s">
        <v>15</v>
      </c>
      <c r="T222" s="1" t="s">
        <v>16</v>
      </c>
      <c r="U222" s="1"/>
      <c r="V222" s="1"/>
      <c r="W222" s="1"/>
    </row>
    <row r="223" spans="1:23" x14ac:dyDescent="0.25">
      <c r="A223">
        <v>222</v>
      </c>
      <c r="B223">
        <v>0</v>
      </c>
      <c r="C223" t="str">
        <f>IF(Titanic_Dataset[[#This Row],[Survived]]=1,"Survived","Died")</f>
        <v>Died</v>
      </c>
      <c r="D223">
        <v>2</v>
      </c>
      <c r="E223" t="str">
        <f>IF(Titanic_Dataset[[#This Row],[Pclass]]=1,"1st",IF(Titanic_Dataset[[#This Row],[Pclass]]=2,"2nd",IF(Titanic_Dataset[[#This Row],[Pclass]]=3,"3rd")))</f>
        <v>2nd</v>
      </c>
      <c r="F223" s="1" t="s">
        <v>477</v>
      </c>
      <c r="G223" s="1" t="str">
        <f>TRIM(MID(Titanic_Dataset[[#This Row],[Name]],
FIND(",",Titanic_Dataset[[#This Row],[Name]])+2,
FIND(".",Titanic_Dataset[[#This Row],[Name]],FIND(",",Titanic_Dataset[[#This Row],[Name]]))-FIND(",",Titanic_Dataset[[#This Row],[Name]])-1))</f>
        <v>Mr.</v>
      </c>
      <c r="H223" s="1" t="s">
        <v>13</v>
      </c>
      <c r="I223">
        <v>27</v>
      </c>
      <c r="J22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23">
        <v>0</v>
      </c>
      <c r="L223">
        <v>0</v>
      </c>
      <c r="M223">
        <f>Titanic_Dataset[[#This Row],[Parch]]+Titanic_Dataset[[#This Row],[SibSp]]</f>
        <v>0</v>
      </c>
      <c r="N223" s="1" t="s">
        <v>478</v>
      </c>
      <c r="O223">
        <v>13</v>
      </c>
      <c r="P223" t="e">
        <f>IF(Titanic_Dataset[[#This Row],[Survived]]=1,Titanic_Dataset[[#This Row],[Fare]],NA())</f>
        <v>#N/A</v>
      </c>
      <c r="Q223">
        <f>IF(Titanic_Dataset[[#This Row],[Survived]]=0,Titanic_Dataset[[#This Row],[Fare]],NA())</f>
        <v>13</v>
      </c>
      <c r="R223" t="str">
        <f>VLOOKUP(Titanic_Dataset[[#This Row],[Fare]],Table2[],2,TRUE)</f>
        <v>medium</v>
      </c>
      <c r="S223" s="1" t="s">
        <v>15</v>
      </c>
      <c r="T223" s="1" t="s">
        <v>16</v>
      </c>
      <c r="U223" s="1"/>
      <c r="V223" s="1"/>
      <c r="W223" s="1"/>
    </row>
    <row r="224" spans="1:23" x14ac:dyDescent="0.25">
      <c r="A224">
        <v>223</v>
      </c>
      <c r="B224">
        <v>0</v>
      </c>
      <c r="C224" t="str">
        <f>IF(Titanic_Dataset[[#This Row],[Survived]]=1,"Survived","Died")</f>
        <v>Died</v>
      </c>
      <c r="D224">
        <v>3</v>
      </c>
      <c r="E224" t="str">
        <f>IF(Titanic_Dataset[[#This Row],[Pclass]]=1,"1st",IF(Titanic_Dataset[[#This Row],[Pclass]]=2,"2nd",IF(Titanic_Dataset[[#This Row],[Pclass]]=3,"3rd")))</f>
        <v>3rd</v>
      </c>
      <c r="F224" s="1" t="s">
        <v>479</v>
      </c>
      <c r="G224" s="1" t="str">
        <f>TRIM(MID(Titanic_Dataset[[#This Row],[Name]],
FIND(",",Titanic_Dataset[[#This Row],[Name]])+2,
FIND(".",Titanic_Dataset[[#This Row],[Name]],FIND(",",Titanic_Dataset[[#This Row],[Name]]))-FIND(",",Titanic_Dataset[[#This Row],[Name]])-1))</f>
        <v>Mr.</v>
      </c>
      <c r="H224" s="1" t="s">
        <v>13</v>
      </c>
      <c r="I224">
        <v>51</v>
      </c>
      <c r="J224" t="str">
        <f>IF(Titanic_Dataset[[#This Row],[Age]]&lt;12,"0-11",
IF(Titanic_Dataset[[#This Row],[Age]]&lt;20,"12-19",
IF(Titanic_Dataset[[#This Row],[Age]]&lt;30,"20-29",
IF(Titanic_Dataset[[#This Row],[Age]]&lt;40,"30-39",
IF(Titanic_Dataset[[#This Row],[Age]]&lt;50,"40-49",
IF(Titanic_Dataset[[#This Row],[Age]]&lt;60,"50-59",
IF(Titanic_Dataset[[#This Row],[Age]]&lt;70,"60-69",)))))))</f>
        <v>50-59</v>
      </c>
      <c r="K224">
        <v>0</v>
      </c>
      <c r="L224">
        <v>0</v>
      </c>
      <c r="M224">
        <f>Titanic_Dataset[[#This Row],[Parch]]+Titanic_Dataset[[#This Row],[SibSp]]</f>
        <v>0</v>
      </c>
      <c r="N224" s="1" t="s">
        <v>480</v>
      </c>
      <c r="O224">
        <v>8.0500000000000007</v>
      </c>
      <c r="P224" t="e">
        <f>IF(Titanic_Dataset[[#This Row],[Survived]]=1,Titanic_Dataset[[#This Row],[Fare]],NA())</f>
        <v>#N/A</v>
      </c>
      <c r="Q224">
        <f>IF(Titanic_Dataset[[#This Row],[Survived]]=0,Titanic_Dataset[[#This Row],[Fare]],NA())</f>
        <v>8.0500000000000007</v>
      </c>
      <c r="R224" t="str">
        <f>VLOOKUP(Titanic_Dataset[[#This Row],[Fare]],Table2[],2,TRUE)</f>
        <v>medium</v>
      </c>
      <c r="S224" s="1" t="s">
        <v>15</v>
      </c>
      <c r="T224" s="1" t="s">
        <v>16</v>
      </c>
      <c r="U224" s="1"/>
      <c r="V224" s="1"/>
      <c r="W224" s="1"/>
    </row>
    <row r="225" spans="1:23" x14ac:dyDescent="0.25">
      <c r="A225">
        <v>224</v>
      </c>
      <c r="B225">
        <v>0</v>
      </c>
      <c r="C225" t="str">
        <f>IF(Titanic_Dataset[[#This Row],[Survived]]=1,"Survived","Died")</f>
        <v>Died</v>
      </c>
      <c r="D225">
        <v>3</v>
      </c>
      <c r="E225" t="str">
        <f>IF(Titanic_Dataset[[#This Row],[Pclass]]=1,"1st",IF(Titanic_Dataset[[#This Row],[Pclass]]=2,"2nd",IF(Titanic_Dataset[[#This Row],[Pclass]]=3,"3rd")))</f>
        <v>3rd</v>
      </c>
      <c r="F225" s="1" t="s">
        <v>481</v>
      </c>
      <c r="G225" s="1" t="str">
        <f>TRIM(MID(Titanic_Dataset[[#This Row],[Name]],
FIND(",",Titanic_Dataset[[#This Row],[Name]])+2,
FIND(".",Titanic_Dataset[[#This Row],[Name]],FIND(",",Titanic_Dataset[[#This Row],[Name]]))-FIND(",",Titanic_Dataset[[#This Row],[Name]])-1))</f>
        <v>Mr.</v>
      </c>
      <c r="H225" s="1" t="s">
        <v>13</v>
      </c>
      <c r="I225">
        <v>28</v>
      </c>
      <c r="J22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25">
        <v>0</v>
      </c>
      <c r="L225">
        <v>0</v>
      </c>
      <c r="M225">
        <f>Titanic_Dataset[[#This Row],[Parch]]+Titanic_Dataset[[#This Row],[SibSp]]</f>
        <v>0</v>
      </c>
      <c r="N225" s="1" t="s">
        <v>482</v>
      </c>
      <c r="O225">
        <v>7.8958000000000004</v>
      </c>
      <c r="P225" t="e">
        <f>IF(Titanic_Dataset[[#This Row],[Survived]]=1,Titanic_Dataset[[#This Row],[Fare]],NA())</f>
        <v>#N/A</v>
      </c>
      <c r="Q225">
        <f>IF(Titanic_Dataset[[#This Row],[Survived]]=0,Titanic_Dataset[[#This Row],[Fare]],NA())</f>
        <v>7.8958000000000004</v>
      </c>
      <c r="R225" t="str">
        <f>VLOOKUP(Titanic_Dataset[[#This Row],[Fare]],Table2[],2,TRUE)</f>
        <v>low</v>
      </c>
      <c r="S225" s="1" t="s">
        <v>15</v>
      </c>
      <c r="T225" s="1" t="s">
        <v>16</v>
      </c>
      <c r="U225" s="1"/>
      <c r="V225" s="1"/>
      <c r="W225" s="1"/>
    </row>
    <row r="226" spans="1:23" x14ac:dyDescent="0.25">
      <c r="A226">
        <v>225</v>
      </c>
      <c r="B226">
        <v>1</v>
      </c>
      <c r="C226" t="str">
        <f>IF(Titanic_Dataset[[#This Row],[Survived]]=1,"Survived","Died")</f>
        <v>Survived</v>
      </c>
      <c r="D226">
        <v>1</v>
      </c>
      <c r="E226" t="str">
        <f>IF(Titanic_Dataset[[#This Row],[Pclass]]=1,"1st",IF(Titanic_Dataset[[#This Row],[Pclass]]=2,"2nd",IF(Titanic_Dataset[[#This Row],[Pclass]]=3,"3rd")))</f>
        <v>1st</v>
      </c>
      <c r="F226" s="1" t="s">
        <v>483</v>
      </c>
      <c r="G226" s="1" t="str">
        <f>TRIM(MID(Titanic_Dataset[[#This Row],[Name]],
FIND(",",Titanic_Dataset[[#This Row],[Name]])+2,
FIND(".",Titanic_Dataset[[#This Row],[Name]],FIND(",",Titanic_Dataset[[#This Row],[Name]]))-FIND(",",Titanic_Dataset[[#This Row],[Name]])-1))</f>
        <v>Mr.</v>
      </c>
      <c r="H226" s="1" t="s">
        <v>13</v>
      </c>
      <c r="I226">
        <v>38</v>
      </c>
      <c r="J226" t="str">
        <f>IF(Titanic_Dataset[[#This Row],[Age]]&lt;12,"0-11",
IF(Titanic_Dataset[[#This Row],[Age]]&lt;20,"12-19",
IF(Titanic_Dataset[[#This Row],[Age]]&lt;30,"20-29",
IF(Titanic_Dataset[[#This Row],[Age]]&lt;40,"30-39",
IF(Titanic_Dataset[[#This Row],[Age]]&lt;50,"40-49",
IF(Titanic_Dataset[[#This Row],[Age]]&lt;60,"50-59",
IF(Titanic_Dataset[[#This Row],[Age]]&lt;70,"60-69",)))))))</f>
        <v>30-39</v>
      </c>
      <c r="K226">
        <v>1</v>
      </c>
      <c r="L226">
        <v>0</v>
      </c>
      <c r="M226">
        <f>Titanic_Dataset[[#This Row],[Parch]]+Titanic_Dataset[[#This Row],[SibSp]]</f>
        <v>1</v>
      </c>
      <c r="N226" s="1" t="s">
        <v>484</v>
      </c>
      <c r="O226">
        <v>90</v>
      </c>
      <c r="P226">
        <f>IF(Titanic_Dataset[[#This Row],[Survived]]=1,Titanic_Dataset[[#This Row],[Fare]],NA())</f>
        <v>90</v>
      </c>
      <c r="Q226" t="e">
        <f>IF(Titanic_Dataset[[#This Row],[Survived]]=0,Titanic_Dataset[[#This Row],[Fare]],NA())</f>
        <v>#N/A</v>
      </c>
      <c r="R226" t="str">
        <f>VLOOKUP(Titanic_Dataset[[#This Row],[Fare]],Table2[],2,TRUE)</f>
        <v>very hiegh</v>
      </c>
      <c r="S226" s="1" t="s">
        <v>485</v>
      </c>
      <c r="T226" s="1" t="s">
        <v>16</v>
      </c>
      <c r="U226" s="1"/>
      <c r="V226" s="1"/>
      <c r="W226" s="1"/>
    </row>
    <row r="227" spans="1:23" x14ac:dyDescent="0.25">
      <c r="A227">
        <v>226</v>
      </c>
      <c r="B227">
        <v>0</v>
      </c>
      <c r="C227" t="str">
        <f>IF(Titanic_Dataset[[#This Row],[Survived]]=1,"Survived","Died")</f>
        <v>Died</v>
      </c>
      <c r="D227">
        <v>3</v>
      </c>
      <c r="E227" t="str">
        <f>IF(Titanic_Dataset[[#This Row],[Pclass]]=1,"1st",IF(Titanic_Dataset[[#This Row],[Pclass]]=2,"2nd",IF(Titanic_Dataset[[#This Row],[Pclass]]=3,"3rd")))</f>
        <v>3rd</v>
      </c>
      <c r="F227" s="1" t="s">
        <v>486</v>
      </c>
      <c r="G227" s="1" t="str">
        <f>TRIM(MID(Titanic_Dataset[[#This Row],[Name]],
FIND(",",Titanic_Dataset[[#This Row],[Name]])+2,
FIND(".",Titanic_Dataset[[#This Row],[Name]],FIND(",",Titanic_Dataset[[#This Row],[Name]]))-FIND(",",Titanic_Dataset[[#This Row],[Name]])-1))</f>
        <v>Mr.</v>
      </c>
      <c r="H227" s="1" t="s">
        <v>13</v>
      </c>
      <c r="I227">
        <v>22</v>
      </c>
      <c r="J22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27">
        <v>0</v>
      </c>
      <c r="L227">
        <v>0</v>
      </c>
      <c r="M227">
        <f>Titanic_Dataset[[#This Row],[Parch]]+Titanic_Dataset[[#This Row],[SibSp]]</f>
        <v>0</v>
      </c>
      <c r="N227" s="1" t="s">
        <v>487</v>
      </c>
      <c r="O227">
        <v>9.35</v>
      </c>
      <c r="P227" t="e">
        <f>IF(Titanic_Dataset[[#This Row],[Survived]]=1,Titanic_Dataset[[#This Row],[Fare]],NA())</f>
        <v>#N/A</v>
      </c>
      <c r="Q227">
        <f>IF(Titanic_Dataset[[#This Row],[Survived]]=0,Titanic_Dataset[[#This Row],[Fare]],NA())</f>
        <v>9.35</v>
      </c>
      <c r="R227" t="str">
        <f>VLOOKUP(Titanic_Dataset[[#This Row],[Fare]],Table2[],2,TRUE)</f>
        <v>medium</v>
      </c>
      <c r="S227" s="1" t="s">
        <v>15</v>
      </c>
      <c r="T227" s="1" t="s">
        <v>16</v>
      </c>
      <c r="U227" s="1"/>
      <c r="V227" s="1"/>
      <c r="W227" s="1"/>
    </row>
    <row r="228" spans="1:23" x14ac:dyDescent="0.25">
      <c r="A228">
        <v>227</v>
      </c>
      <c r="B228">
        <v>1</v>
      </c>
      <c r="C228" t="str">
        <f>IF(Titanic_Dataset[[#This Row],[Survived]]=1,"Survived","Died")</f>
        <v>Survived</v>
      </c>
      <c r="D228">
        <v>2</v>
      </c>
      <c r="E228" t="str">
        <f>IF(Titanic_Dataset[[#This Row],[Pclass]]=1,"1st",IF(Titanic_Dataset[[#This Row],[Pclass]]=2,"2nd",IF(Titanic_Dataset[[#This Row],[Pclass]]=3,"3rd")))</f>
        <v>2nd</v>
      </c>
      <c r="F228" s="1" t="s">
        <v>488</v>
      </c>
      <c r="G228" s="1" t="str">
        <f>TRIM(MID(Titanic_Dataset[[#This Row],[Name]],
FIND(",",Titanic_Dataset[[#This Row],[Name]])+2,
FIND(".",Titanic_Dataset[[#This Row],[Name]],FIND(",",Titanic_Dataset[[#This Row],[Name]]))-FIND(",",Titanic_Dataset[[#This Row],[Name]])-1))</f>
        <v>Mr.</v>
      </c>
      <c r="H228" s="1" t="s">
        <v>13</v>
      </c>
      <c r="I228">
        <v>19</v>
      </c>
      <c r="J228" t="str">
        <f>IF(Titanic_Dataset[[#This Row],[Age]]&lt;12,"0-11",
IF(Titanic_Dataset[[#This Row],[Age]]&lt;20,"12-19",
IF(Titanic_Dataset[[#This Row],[Age]]&lt;30,"20-29",
IF(Titanic_Dataset[[#This Row],[Age]]&lt;40,"30-39",
IF(Titanic_Dataset[[#This Row],[Age]]&lt;50,"40-49",
IF(Titanic_Dataset[[#This Row],[Age]]&lt;60,"50-59",
IF(Titanic_Dataset[[#This Row],[Age]]&lt;70,"60-69",)))))))</f>
        <v>12-19</v>
      </c>
      <c r="K228">
        <v>0</v>
      </c>
      <c r="L228">
        <v>0</v>
      </c>
      <c r="M228">
        <f>Titanic_Dataset[[#This Row],[Parch]]+Titanic_Dataset[[#This Row],[SibSp]]</f>
        <v>0</v>
      </c>
      <c r="N228" s="1" t="s">
        <v>489</v>
      </c>
      <c r="O228">
        <v>10.5</v>
      </c>
      <c r="P228">
        <f>IF(Titanic_Dataset[[#This Row],[Survived]]=1,Titanic_Dataset[[#This Row],[Fare]],NA())</f>
        <v>10.5</v>
      </c>
      <c r="Q228" t="e">
        <f>IF(Titanic_Dataset[[#This Row],[Survived]]=0,Titanic_Dataset[[#This Row],[Fare]],NA())</f>
        <v>#N/A</v>
      </c>
      <c r="R228" t="str">
        <f>VLOOKUP(Titanic_Dataset[[#This Row],[Fare]],Table2[],2,TRUE)</f>
        <v>medium</v>
      </c>
      <c r="S228" s="1" t="s">
        <v>15</v>
      </c>
      <c r="T228" s="1" t="s">
        <v>16</v>
      </c>
      <c r="U228" s="1"/>
      <c r="V228" s="1"/>
      <c r="W228" s="1"/>
    </row>
    <row r="229" spans="1:23" x14ac:dyDescent="0.25">
      <c r="A229">
        <v>228</v>
      </c>
      <c r="B229">
        <v>0</v>
      </c>
      <c r="C229" t="str">
        <f>IF(Titanic_Dataset[[#This Row],[Survived]]=1,"Survived","Died")</f>
        <v>Died</v>
      </c>
      <c r="D229">
        <v>3</v>
      </c>
      <c r="E229" t="str">
        <f>IF(Titanic_Dataset[[#This Row],[Pclass]]=1,"1st",IF(Titanic_Dataset[[#This Row],[Pclass]]=2,"2nd",IF(Titanic_Dataset[[#This Row],[Pclass]]=3,"3rd")))</f>
        <v>3rd</v>
      </c>
      <c r="F229" s="1" t="s">
        <v>490</v>
      </c>
      <c r="G229" s="1" t="str">
        <f>TRIM(MID(Titanic_Dataset[[#This Row],[Name]],
FIND(",",Titanic_Dataset[[#This Row],[Name]])+2,
FIND(".",Titanic_Dataset[[#This Row],[Name]],FIND(",",Titanic_Dataset[[#This Row],[Name]]))-FIND(",",Titanic_Dataset[[#This Row],[Name]])-1))</f>
        <v>Mr.</v>
      </c>
      <c r="H229" s="1" t="s">
        <v>13</v>
      </c>
      <c r="I229">
        <v>20.5</v>
      </c>
      <c r="J22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29">
        <v>0</v>
      </c>
      <c r="L229">
        <v>0</v>
      </c>
      <c r="M229">
        <f>Titanic_Dataset[[#This Row],[Parch]]+Titanic_Dataset[[#This Row],[SibSp]]</f>
        <v>0</v>
      </c>
      <c r="N229" s="1" t="s">
        <v>491</v>
      </c>
      <c r="O229">
        <v>7.25</v>
      </c>
      <c r="P229" t="e">
        <f>IF(Titanic_Dataset[[#This Row],[Survived]]=1,Titanic_Dataset[[#This Row],[Fare]],NA())</f>
        <v>#N/A</v>
      </c>
      <c r="Q229">
        <f>IF(Titanic_Dataset[[#This Row],[Survived]]=0,Titanic_Dataset[[#This Row],[Fare]],NA())</f>
        <v>7.25</v>
      </c>
      <c r="R229" t="str">
        <f>VLOOKUP(Titanic_Dataset[[#This Row],[Fare]],Table2[],2,TRUE)</f>
        <v>low</v>
      </c>
      <c r="S229" s="1" t="s">
        <v>15</v>
      </c>
      <c r="T229" s="1" t="s">
        <v>16</v>
      </c>
      <c r="U229" s="1"/>
      <c r="V229" s="1"/>
      <c r="W229" s="1"/>
    </row>
    <row r="230" spans="1:23" x14ac:dyDescent="0.25">
      <c r="A230">
        <v>229</v>
      </c>
      <c r="B230">
        <v>0</v>
      </c>
      <c r="C230" t="str">
        <f>IF(Titanic_Dataset[[#This Row],[Survived]]=1,"Survived","Died")</f>
        <v>Died</v>
      </c>
      <c r="D230">
        <v>2</v>
      </c>
      <c r="E230" t="str">
        <f>IF(Titanic_Dataset[[#This Row],[Pclass]]=1,"1st",IF(Titanic_Dataset[[#This Row],[Pclass]]=2,"2nd",IF(Titanic_Dataset[[#This Row],[Pclass]]=3,"3rd")))</f>
        <v>2nd</v>
      </c>
      <c r="F230" s="1" t="s">
        <v>492</v>
      </c>
      <c r="G230" s="1" t="str">
        <f>TRIM(MID(Titanic_Dataset[[#This Row],[Name]],
FIND(",",Titanic_Dataset[[#This Row],[Name]])+2,
FIND(".",Titanic_Dataset[[#This Row],[Name]],FIND(",",Titanic_Dataset[[#This Row],[Name]]))-FIND(",",Titanic_Dataset[[#This Row],[Name]])-1))</f>
        <v>Mr.</v>
      </c>
      <c r="H230" s="1" t="s">
        <v>13</v>
      </c>
      <c r="I230">
        <v>18</v>
      </c>
      <c r="J230" t="str">
        <f>IF(Titanic_Dataset[[#This Row],[Age]]&lt;12,"0-11",
IF(Titanic_Dataset[[#This Row],[Age]]&lt;20,"12-19",
IF(Titanic_Dataset[[#This Row],[Age]]&lt;30,"20-29",
IF(Titanic_Dataset[[#This Row],[Age]]&lt;40,"30-39",
IF(Titanic_Dataset[[#This Row],[Age]]&lt;50,"40-49",
IF(Titanic_Dataset[[#This Row],[Age]]&lt;60,"50-59",
IF(Titanic_Dataset[[#This Row],[Age]]&lt;70,"60-69",)))))))</f>
        <v>12-19</v>
      </c>
      <c r="K230">
        <v>0</v>
      </c>
      <c r="L230">
        <v>0</v>
      </c>
      <c r="M230">
        <f>Titanic_Dataset[[#This Row],[Parch]]+Titanic_Dataset[[#This Row],[SibSp]]</f>
        <v>0</v>
      </c>
      <c r="N230" s="1" t="s">
        <v>493</v>
      </c>
      <c r="O230">
        <v>13</v>
      </c>
      <c r="P230" t="e">
        <f>IF(Titanic_Dataset[[#This Row],[Survived]]=1,Titanic_Dataset[[#This Row],[Fare]],NA())</f>
        <v>#N/A</v>
      </c>
      <c r="Q230">
        <f>IF(Titanic_Dataset[[#This Row],[Survived]]=0,Titanic_Dataset[[#This Row],[Fare]],NA())</f>
        <v>13</v>
      </c>
      <c r="R230" t="str">
        <f>VLOOKUP(Titanic_Dataset[[#This Row],[Fare]],Table2[],2,TRUE)</f>
        <v>medium</v>
      </c>
      <c r="S230" s="1" t="s">
        <v>15</v>
      </c>
      <c r="T230" s="1" t="s">
        <v>16</v>
      </c>
      <c r="U230" s="1"/>
      <c r="V230" s="1"/>
      <c r="W230" s="1"/>
    </row>
    <row r="231" spans="1:23" x14ac:dyDescent="0.25">
      <c r="A231">
        <v>230</v>
      </c>
      <c r="B231">
        <v>0</v>
      </c>
      <c r="C231" t="str">
        <f>IF(Titanic_Dataset[[#This Row],[Survived]]=1,"Survived","Died")</f>
        <v>Died</v>
      </c>
      <c r="D231">
        <v>3</v>
      </c>
      <c r="E231" t="str">
        <f>IF(Titanic_Dataset[[#This Row],[Pclass]]=1,"1st",IF(Titanic_Dataset[[#This Row],[Pclass]]=2,"2nd",IF(Titanic_Dataset[[#This Row],[Pclass]]=3,"3rd")))</f>
        <v>3rd</v>
      </c>
      <c r="F231" s="1" t="s">
        <v>494</v>
      </c>
      <c r="G231" s="1" t="str">
        <f>TRIM(MID(Titanic_Dataset[[#This Row],[Name]],
FIND(",",Titanic_Dataset[[#This Row],[Name]])+2,
FIND(".",Titanic_Dataset[[#This Row],[Name]],FIND(",",Titanic_Dataset[[#This Row],[Name]]))-FIND(",",Titanic_Dataset[[#This Row],[Name]])-1))</f>
        <v>Miss.</v>
      </c>
      <c r="H231" s="1" t="s">
        <v>18</v>
      </c>
      <c r="I231">
        <v>28</v>
      </c>
      <c r="J23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31">
        <v>3</v>
      </c>
      <c r="L231">
        <v>1</v>
      </c>
      <c r="M231">
        <f>Titanic_Dataset[[#This Row],[Parch]]+Titanic_Dataset[[#This Row],[SibSp]]</f>
        <v>4</v>
      </c>
      <c r="N231" s="1" t="s">
        <v>386</v>
      </c>
      <c r="O231">
        <v>25.466699999999999</v>
      </c>
      <c r="P231" t="e">
        <f>IF(Titanic_Dataset[[#This Row],[Survived]]=1,Titanic_Dataset[[#This Row],[Fare]],NA())</f>
        <v>#N/A</v>
      </c>
      <c r="Q231">
        <f>IF(Titanic_Dataset[[#This Row],[Survived]]=0,Titanic_Dataset[[#This Row],[Fare]],NA())</f>
        <v>25.466699999999999</v>
      </c>
      <c r="R231" t="str">
        <f>VLOOKUP(Titanic_Dataset[[#This Row],[Fare]],Table2[],2,TRUE)</f>
        <v>high</v>
      </c>
      <c r="S231" s="1" t="s">
        <v>15</v>
      </c>
      <c r="T231" s="1" t="s">
        <v>16</v>
      </c>
      <c r="U231" s="1"/>
      <c r="V231" s="1"/>
      <c r="W231" s="1"/>
    </row>
    <row r="232" spans="1:23" x14ac:dyDescent="0.25">
      <c r="A232">
        <v>231</v>
      </c>
      <c r="B232">
        <v>1</v>
      </c>
      <c r="C232" t="str">
        <f>IF(Titanic_Dataset[[#This Row],[Survived]]=1,"Survived","Died")</f>
        <v>Survived</v>
      </c>
      <c r="D232">
        <v>1</v>
      </c>
      <c r="E232" t="str">
        <f>IF(Titanic_Dataset[[#This Row],[Pclass]]=1,"1st",IF(Titanic_Dataset[[#This Row],[Pclass]]=2,"2nd",IF(Titanic_Dataset[[#This Row],[Pclass]]=3,"3rd")))</f>
        <v>1st</v>
      </c>
      <c r="F232" s="1" t="s">
        <v>495</v>
      </c>
      <c r="G232" s="1" t="str">
        <f>TRIM(MID(Titanic_Dataset[[#This Row],[Name]],
FIND(",",Titanic_Dataset[[#This Row],[Name]])+2,
FIND(".",Titanic_Dataset[[#This Row],[Name]],FIND(",",Titanic_Dataset[[#This Row],[Name]]))-FIND(",",Titanic_Dataset[[#This Row],[Name]])-1))</f>
        <v>Mrs.</v>
      </c>
      <c r="H232" s="1" t="s">
        <v>18</v>
      </c>
      <c r="I232">
        <v>35</v>
      </c>
      <c r="J232" t="str">
        <f>IF(Titanic_Dataset[[#This Row],[Age]]&lt;12,"0-11",
IF(Titanic_Dataset[[#This Row],[Age]]&lt;20,"12-19",
IF(Titanic_Dataset[[#This Row],[Age]]&lt;30,"20-29",
IF(Titanic_Dataset[[#This Row],[Age]]&lt;40,"30-39",
IF(Titanic_Dataset[[#This Row],[Age]]&lt;50,"40-49",
IF(Titanic_Dataset[[#This Row],[Age]]&lt;60,"50-59",
IF(Titanic_Dataset[[#This Row],[Age]]&lt;70,"60-69",)))))))</f>
        <v>30-39</v>
      </c>
      <c r="K232">
        <v>1</v>
      </c>
      <c r="L232">
        <v>0</v>
      </c>
      <c r="M232">
        <f>Titanic_Dataset[[#This Row],[Parch]]+Titanic_Dataset[[#This Row],[SibSp]]</f>
        <v>1</v>
      </c>
      <c r="N232" s="1" t="s">
        <v>155</v>
      </c>
      <c r="O232">
        <v>83.474999999999994</v>
      </c>
      <c r="P232">
        <f>IF(Titanic_Dataset[[#This Row],[Survived]]=1,Titanic_Dataset[[#This Row],[Fare]],NA())</f>
        <v>83.474999999999994</v>
      </c>
      <c r="Q232" t="e">
        <f>IF(Titanic_Dataset[[#This Row],[Survived]]=0,Titanic_Dataset[[#This Row],[Fare]],NA())</f>
        <v>#N/A</v>
      </c>
      <c r="R232" t="str">
        <f>VLOOKUP(Titanic_Dataset[[#This Row],[Fare]],Table2[],2,TRUE)</f>
        <v>very hiegh</v>
      </c>
      <c r="S232" s="1" t="s">
        <v>156</v>
      </c>
      <c r="T232" s="1" t="s">
        <v>16</v>
      </c>
      <c r="U232" s="1"/>
      <c r="V232" s="1"/>
      <c r="W232" s="1"/>
    </row>
    <row r="233" spans="1:23" x14ac:dyDescent="0.25">
      <c r="A233">
        <v>232</v>
      </c>
      <c r="B233">
        <v>0</v>
      </c>
      <c r="C233" t="str">
        <f>IF(Titanic_Dataset[[#This Row],[Survived]]=1,"Survived","Died")</f>
        <v>Died</v>
      </c>
      <c r="D233">
        <v>3</v>
      </c>
      <c r="E233" t="str">
        <f>IF(Titanic_Dataset[[#This Row],[Pclass]]=1,"1st",IF(Titanic_Dataset[[#This Row],[Pclass]]=2,"2nd",IF(Titanic_Dataset[[#This Row],[Pclass]]=3,"3rd")))</f>
        <v>3rd</v>
      </c>
      <c r="F233" s="1" t="s">
        <v>496</v>
      </c>
      <c r="G233" s="1" t="str">
        <f>TRIM(MID(Titanic_Dataset[[#This Row],[Name]],
FIND(",",Titanic_Dataset[[#This Row],[Name]])+2,
FIND(".",Titanic_Dataset[[#This Row],[Name]],FIND(",",Titanic_Dataset[[#This Row],[Name]]))-FIND(",",Titanic_Dataset[[#This Row],[Name]])-1))</f>
        <v>Mr.</v>
      </c>
      <c r="H233" s="1" t="s">
        <v>13</v>
      </c>
      <c r="I233">
        <v>29</v>
      </c>
      <c r="J23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33">
        <v>0</v>
      </c>
      <c r="L233">
        <v>0</v>
      </c>
      <c r="M233">
        <f>Titanic_Dataset[[#This Row],[Parch]]+Titanic_Dataset[[#This Row],[SibSp]]</f>
        <v>0</v>
      </c>
      <c r="N233" s="1" t="s">
        <v>497</v>
      </c>
      <c r="O233">
        <v>7.7750000000000004</v>
      </c>
      <c r="P233" t="e">
        <f>IF(Titanic_Dataset[[#This Row],[Survived]]=1,Titanic_Dataset[[#This Row],[Fare]],NA())</f>
        <v>#N/A</v>
      </c>
      <c r="Q233">
        <f>IF(Titanic_Dataset[[#This Row],[Survived]]=0,Titanic_Dataset[[#This Row],[Fare]],NA())</f>
        <v>7.7750000000000004</v>
      </c>
      <c r="R233" t="str">
        <f>VLOOKUP(Titanic_Dataset[[#This Row],[Fare]],Table2[],2,TRUE)</f>
        <v>low</v>
      </c>
      <c r="S233" s="1" t="s">
        <v>15</v>
      </c>
      <c r="T233" s="1" t="s">
        <v>16</v>
      </c>
      <c r="U233" s="1"/>
      <c r="V233" s="1"/>
      <c r="W233" s="1"/>
    </row>
    <row r="234" spans="1:23" x14ac:dyDescent="0.25">
      <c r="A234">
        <v>233</v>
      </c>
      <c r="B234">
        <v>0</v>
      </c>
      <c r="C234" t="str">
        <f>IF(Titanic_Dataset[[#This Row],[Survived]]=1,"Survived","Died")</f>
        <v>Died</v>
      </c>
      <c r="D234">
        <v>2</v>
      </c>
      <c r="E234" t="str">
        <f>IF(Titanic_Dataset[[#This Row],[Pclass]]=1,"1st",IF(Titanic_Dataset[[#This Row],[Pclass]]=2,"2nd",IF(Titanic_Dataset[[#This Row],[Pclass]]=3,"3rd")))</f>
        <v>2nd</v>
      </c>
      <c r="F234" s="1" t="s">
        <v>498</v>
      </c>
      <c r="G234" s="1" t="str">
        <f>TRIM(MID(Titanic_Dataset[[#This Row],[Name]],
FIND(",",Titanic_Dataset[[#This Row],[Name]])+2,
FIND(".",Titanic_Dataset[[#This Row],[Name]],FIND(",",Titanic_Dataset[[#This Row],[Name]]))-FIND(",",Titanic_Dataset[[#This Row],[Name]])-1))</f>
        <v>Mr.</v>
      </c>
      <c r="H234" s="1" t="s">
        <v>13</v>
      </c>
      <c r="I234">
        <v>59</v>
      </c>
      <c r="J234" t="str">
        <f>IF(Titanic_Dataset[[#This Row],[Age]]&lt;12,"0-11",
IF(Titanic_Dataset[[#This Row],[Age]]&lt;20,"12-19",
IF(Titanic_Dataset[[#This Row],[Age]]&lt;30,"20-29",
IF(Titanic_Dataset[[#This Row],[Age]]&lt;40,"30-39",
IF(Titanic_Dataset[[#This Row],[Age]]&lt;50,"40-49",
IF(Titanic_Dataset[[#This Row],[Age]]&lt;60,"50-59",
IF(Titanic_Dataset[[#This Row],[Age]]&lt;70,"60-69",)))))))</f>
        <v>50-59</v>
      </c>
      <c r="K234">
        <v>0</v>
      </c>
      <c r="L234">
        <v>0</v>
      </c>
      <c r="M234">
        <f>Titanic_Dataset[[#This Row],[Parch]]+Titanic_Dataset[[#This Row],[SibSp]]</f>
        <v>0</v>
      </c>
      <c r="N234" s="1" t="s">
        <v>499</v>
      </c>
      <c r="O234">
        <v>13.5</v>
      </c>
      <c r="P234" t="e">
        <f>IF(Titanic_Dataset[[#This Row],[Survived]]=1,Titanic_Dataset[[#This Row],[Fare]],NA())</f>
        <v>#N/A</v>
      </c>
      <c r="Q234">
        <f>IF(Titanic_Dataset[[#This Row],[Survived]]=0,Titanic_Dataset[[#This Row],[Fare]],NA())</f>
        <v>13.5</v>
      </c>
      <c r="R234" t="str">
        <f>VLOOKUP(Titanic_Dataset[[#This Row],[Fare]],Table2[],2,TRUE)</f>
        <v>medium</v>
      </c>
      <c r="S234" s="1" t="s">
        <v>15</v>
      </c>
      <c r="T234" s="1" t="s">
        <v>16</v>
      </c>
      <c r="U234" s="1"/>
      <c r="V234" s="1"/>
      <c r="W234" s="1"/>
    </row>
    <row r="235" spans="1:23" x14ac:dyDescent="0.25">
      <c r="A235">
        <v>234</v>
      </c>
      <c r="B235">
        <v>1</v>
      </c>
      <c r="C235" t="str">
        <f>IF(Titanic_Dataset[[#This Row],[Survived]]=1,"Survived","Died")</f>
        <v>Survived</v>
      </c>
      <c r="D235">
        <v>3</v>
      </c>
      <c r="E235" t="str">
        <f>IF(Titanic_Dataset[[#This Row],[Pclass]]=1,"1st",IF(Titanic_Dataset[[#This Row],[Pclass]]=2,"2nd",IF(Titanic_Dataset[[#This Row],[Pclass]]=3,"3rd")))</f>
        <v>3rd</v>
      </c>
      <c r="F235" s="1" t="s">
        <v>500</v>
      </c>
      <c r="G235" s="1" t="str">
        <f>TRIM(MID(Titanic_Dataset[[#This Row],[Name]],
FIND(",",Titanic_Dataset[[#This Row],[Name]])+2,
FIND(".",Titanic_Dataset[[#This Row],[Name]],FIND(",",Titanic_Dataset[[#This Row],[Name]]))-FIND(",",Titanic_Dataset[[#This Row],[Name]])-1))</f>
        <v>Miss.</v>
      </c>
      <c r="H235" s="1" t="s">
        <v>18</v>
      </c>
      <c r="I235">
        <v>5</v>
      </c>
      <c r="J235" t="str">
        <f>IF(Titanic_Dataset[[#This Row],[Age]]&lt;12,"0-11",
IF(Titanic_Dataset[[#This Row],[Age]]&lt;20,"12-19",
IF(Titanic_Dataset[[#This Row],[Age]]&lt;30,"20-29",
IF(Titanic_Dataset[[#This Row],[Age]]&lt;40,"30-39",
IF(Titanic_Dataset[[#This Row],[Age]]&lt;50,"40-49",
IF(Titanic_Dataset[[#This Row],[Age]]&lt;60,"50-59",
IF(Titanic_Dataset[[#This Row],[Age]]&lt;70,"60-69",)))))))</f>
        <v>0-11</v>
      </c>
      <c r="K235">
        <v>4</v>
      </c>
      <c r="L235">
        <v>2</v>
      </c>
      <c r="M235">
        <f>Titanic_Dataset[[#This Row],[Parch]]+Titanic_Dataset[[#This Row],[SibSp]]</f>
        <v>6</v>
      </c>
      <c r="N235" s="1" t="s">
        <v>75</v>
      </c>
      <c r="O235">
        <v>31.387499999999999</v>
      </c>
      <c r="P235">
        <f>IF(Titanic_Dataset[[#This Row],[Survived]]=1,Titanic_Dataset[[#This Row],[Fare]],NA())</f>
        <v>31.387499999999999</v>
      </c>
      <c r="Q235" t="e">
        <f>IF(Titanic_Dataset[[#This Row],[Survived]]=0,Titanic_Dataset[[#This Row],[Fare]],NA())</f>
        <v>#N/A</v>
      </c>
      <c r="R235" t="str">
        <f>VLOOKUP(Titanic_Dataset[[#This Row],[Fare]],Table2[],2,TRUE)</f>
        <v>very hiegh</v>
      </c>
      <c r="S235" s="1" t="s">
        <v>15</v>
      </c>
      <c r="T235" s="1" t="s">
        <v>16</v>
      </c>
      <c r="U235" s="1"/>
      <c r="V235" s="1"/>
      <c r="W235" s="1"/>
    </row>
    <row r="236" spans="1:23" x14ac:dyDescent="0.25">
      <c r="A236">
        <v>235</v>
      </c>
      <c r="B236">
        <v>0</v>
      </c>
      <c r="C236" t="str">
        <f>IF(Titanic_Dataset[[#This Row],[Survived]]=1,"Survived","Died")</f>
        <v>Died</v>
      </c>
      <c r="D236">
        <v>2</v>
      </c>
      <c r="E236" t="str">
        <f>IF(Titanic_Dataset[[#This Row],[Pclass]]=1,"1st",IF(Titanic_Dataset[[#This Row],[Pclass]]=2,"2nd",IF(Titanic_Dataset[[#This Row],[Pclass]]=3,"3rd")))</f>
        <v>2nd</v>
      </c>
      <c r="F236" s="1" t="s">
        <v>501</v>
      </c>
      <c r="G236" s="1" t="str">
        <f>TRIM(MID(Titanic_Dataset[[#This Row],[Name]],
FIND(",",Titanic_Dataset[[#This Row],[Name]])+2,
FIND(".",Titanic_Dataset[[#This Row],[Name]],FIND(",",Titanic_Dataset[[#This Row],[Name]]))-FIND(",",Titanic_Dataset[[#This Row],[Name]])-1))</f>
        <v>Mr.</v>
      </c>
      <c r="H236" s="1" t="s">
        <v>13</v>
      </c>
      <c r="I236">
        <v>24</v>
      </c>
      <c r="J23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36">
        <v>0</v>
      </c>
      <c r="L236">
        <v>0</v>
      </c>
      <c r="M236">
        <f>Titanic_Dataset[[#This Row],[Parch]]+Titanic_Dataset[[#This Row],[SibSp]]</f>
        <v>0</v>
      </c>
      <c r="N236" s="1" t="s">
        <v>502</v>
      </c>
      <c r="O236">
        <v>10.5</v>
      </c>
      <c r="P236" t="e">
        <f>IF(Titanic_Dataset[[#This Row],[Survived]]=1,Titanic_Dataset[[#This Row],[Fare]],NA())</f>
        <v>#N/A</v>
      </c>
      <c r="Q236">
        <f>IF(Titanic_Dataset[[#This Row],[Survived]]=0,Titanic_Dataset[[#This Row],[Fare]],NA())</f>
        <v>10.5</v>
      </c>
      <c r="R236" t="str">
        <f>VLOOKUP(Titanic_Dataset[[#This Row],[Fare]],Table2[],2,TRUE)</f>
        <v>medium</v>
      </c>
      <c r="S236" s="1" t="s">
        <v>15</v>
      </c>
      <c r="T236" s="1" t="s">
        <v>16</v>
      </c>
      <c r="U236" s="1"/>
      <c r="V236" s="1"/>
      <c r="W236" s="1"/>
    </row>
    <row r="237" spans="1:23" x14ac:dyDescent="0.25">
      <c r="A237">
        <v>236</v>
      </c>
      <c r="B237">
        <v>0</v>
      </c>
      <c r="C237" t="str">
        <f>IF(Titanic_Dataset[[#This Row],[Survived]]=1,"Survived","Died")</f>
        <v>Died</v>
      </c>
      <c r="D237">
        <v>3</v>
      </c>
      <c r="E237" t="str">
        <f>IF(Titanic_Dataset[[#This Row],[Pclass]]=1,"1st",IF(Titanic_Dataset[[#This Row],[Pclass]]=2,"2nd",IF(Titanic_Dataset[[#This Row],[Pclass]]=3,"3rd")))</f>
        <v>3rd</v>
      </c>
      <c r="F237" s="1" t="s">
        <v>503</v>
      </c>
      <c r="G237" s="1" t="str">
        <f>TRIM(MID(Titanic_Dataset[[#This Row],[Name]],
FIND(",",Titanic_Dataset[[#This Row],[Name]])+2,
FIND(".",Titanic_Dataset[[#This Row],[Name]],FIND(",",Titanic_Dataset[[#This Row],[Name]]))-FIND(",",Titanic_Dataset[[#This Row],[Name]])-1))</f>
        <v>Miss.</v>
      </c>
      <c r="H237" s="1" t="s">
        <v>18</v>
      </c>
      <c r="I237">
        <v>28</v>
      </c>
      <c r="J23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37">
        <v>0</v>
      </c>
      <c r="L237">
        <v>0</v>
      </c>
      <c r="M237">
        <f>Titanic_Dataset[[#This Row],[Parch]]+Titanic_Dataset[[#This Row],[SibSp]]</f>
        <v>0</v>
      </c>
      <c r="N237" s="1" t="s">
        <v>504</v>
      </c>
      <c r="O237">
        <v>7.55</v>
      </c>
      <c r="P237" t="e">
        <f>IF(Titanic_Dataset[[#This Row],[Survived]]=1,Titanic_Dataset[[#This Row],[Fare]],NA())</f>
        <v>#N/A</v>
      </c>
      <c r="Q237">
        <f>IF(Titanic_Dataset[[#This Row],[Survived]]=0,Titanic_Dataset[[#This Row],[Fare]],NA())</f>
        <v>7.55</v>
      </c>
      <c r="R237" t="str">
        <f>VLOOKUP(Titanic_Dataset[[#This Row],[Fare]],Table2[],2,TRUE)</f>
        <v>low</v>
      </c>
      <c r="S237" s="1" t="s">
        <v>15</v>
      </c>
      <c r="T237" s="1" t="s">
        <v>16</v>
      </c>
      <c r="U237" s="1"/>
      <c r="V237" s="1"/>
      <c r="W237" s="1"/>
    </row>
    <row r="238" spans="1:23" x14ac:dyDescent="0.25">
      <c r="A238">
        <v>237</v>
      </c>
      <c r="B238">
        <v>0</v>
      </c>
      <c r="C238" t="str">
        <f>IF(Titanic_Dataset[[#This Row],[Survived]]=1,"Survived","Died")</f>
        <v>Died</v>
      </c>
      <c r="D238">
        <v>2</v>
      </c>
      <c r="E238" t="str">
        <f>IF(Titanic_Dataset[[#This Row],[Pclass]]=1,"1st",IF(Titanic_Dataset[[#This Row],[Pclass]]=2,"2nd",IF(Titanic_Dataset[[#This Row],[Pclass]]=3,"3rd")))</f>
        <v>2nd</v>
      </c>
      <c r="F238" s="1" t="s">
        <v>505</v>
      </c>
      <c r="G238" s="1" t="str">
        <f>TRIM(MID(Titanic_Dataset[[#This Row],[Name]],
FIND(",",Titanic_Dataset[[#This Row],[Name]])+2,
FIND(".",Titanic_Dataset[[#This Row],[Name]],FIND(",",Titanic_Dataset[[#This Row],[Name]]))-FIND(",",Titanic_Dataset[[#This Row],[Name]])-1))</f>
        <v>Mr.</v>
      </c>
      <c r="H238" s="1" t="s">
        <v>13</v>
      </c>
      <c r="I238">
        <v>44</v>
      </c>
      <c r="J238" t="str">
        <f>IF(Titanic_Dataset[[#This Row],[Age]]&lt;12,"0-11",
IF(Titanic_Dataset[[#This Row],[Age]]&lt;20,"12-19",
IF(Titanic_Dataset[[#This Row],[Age]]&lt;30,"20-29",
IF(Titanic_Dataset[[#This Row],[Age]]&lt;40,"30-39",
IF(Titanic_Dataset[[#This Row],[Age]]&lt;50,"40-49",
IF(Titanic_Dataset[[#This Row],[Age]]&lt;60,"50-59",
IF(Titanic_Dataset[[#This Row],[Age]]&lt;70,"60-69",)))))))</f>
        <v>40-49</v>
      </c>
      <c r="K238">
        <v>1</v>
      </c>
      <c r="L238">
        <v>0</v>
      </c>
      <c r="M238">
        <f>Titanic_Dataset[[#This Row],[Parch]]+Titanic_Dataset[[#This Row],[SibSp]]</f>
        <v>1</v>
      </c>
      <c r="N238" s="1" t="s">
        <v>506</v>
      </c>
      <c r="O238">
        <v>26</v>
      </c>
      <c r="P238" t="e">
        <f>IF(Titanic_Dataset[[#This Row],[Survived]]=1,Titanic_Dataset[[#This Row],[Fare]],NA())</f>
        <v>#N/A</v>
      </c>
      <c r="Q238">
        <f>IF(Titanic_Dataset[[#This Row],[Survived]]=0,Titanic_Dataset[[#This Row],[Fare]],NA())</f>
        <v>26</v>
      </c>
      <c r="R238" t="str">
        <f>VLOOKUP(Titanic_Dataset[[#This Row],[Fare]],Table2[],2,TRUE)</f>
        <v>high</v>
      </c>
      <c r="S238" s="1" t="s">
        <v>15</v>
      </c>
      <c r="T238" s="1" t="s">
        <v>16</v>
      </c>
      <c r="U238" s="1"/>
      <c r="V238" s="1"/>
      <c r="W238" s="1"/>
    </row>
    <row r="239" spans="1:23" x14ac:dyDescent="0.25">
      <c r="A239">
        <v>238</v>
      </c>
      <c r="B239">
        <v>1</v>
      </c>
      <c r="C239" t="str">
        <f>IF(Titanic_Dataset[[#This Row],[Survived]]=1,"Survived","Died")</f>
        <v>Survived</v>
      </c>
      <c r="D239">
        <v>2</v>
      </c>
      <c r="E239" t="str">
        <f>IF(Titanic_Dataset[[#This Row],[Pclass]]=1,"1st",IF(Titanic_Dataset[[#This Row],[Pclass]]=2,"2nd",IF(Titanic_Dataset[[#This Row],[Pclass]]=3,"3rd")))</f>
        <v>2nd</v>
      </c>
      <c r="F239" s="1" t="s">
        <v>507</v>
      </c>
      <c r="G239" s="1" t="str">
        <f>TRIM(MID(Titanic_Dataset[[#This Row],[Name]],
FIND(",",Titanic_Dataset[[#This Row],[Name]])+2,
FIND(".",Titanic_Dataset[[#This Row],[Name]],FIND(",",Titanic_Dataset[[#This Row],[Name]]))-FIND(",",Titanic_Dataset[[#This Row],[Name]])-1))</f>
        <v>Miss.</v>
      </c>
      <c r="H239" s="1" t="s">
        <v>18</v>
      </c>
      <c r="I239">
        <v>8</v>
      </c>
      <c r="J239" t="str">
        <f>IF(Titanic_Dataset[[#This Row],[Age]]&lt;12,"0-11",
IF(Titanic_Dataset[[#This Row],[Age]]&lt;20,"12-19",
IF(Titanic_Dataset[[#This Row],[Age]]&lt;30,"20-29",
IF(Titanic_Dataset[[#This Row],[Age]]&lt;40,"30-39",
IF(Titanic_Dataset[[#This Row],[Age]]&lt;50,"40-49",
IF(Titanic_Dataset[[#This Row],[Age]]&lt;60,"50-59",
IF(Titanic_Dataset[[#This Row],[Age]]&lt;70,"60-69",)))))))</f>
        <v>0-11</v>
      </c>
      <c r="K239">
        <v>0</v>
      </c>
      <c r="L239">
        <v>2</v>
      </c>
      <c r="M239">
        <f>Titanic_Dataset[[#This Row],[Parch]]+Titanic_Dataset[[#This Row],[SibSp]]</f>
        <v>2</v>
      </c>
      <c r="N239" s="1" t="s">
        <v>508</v>
      </c>
      <c r="O239">
        <v>26.25</v>
      </c>
      <c r="P239">
        <f>IF(Titanic_Dataset[[#This Row],[Survived]]=1,Titanic_Dataset[[#This Row],[Fare]],NA())</f>
        <v>26.25</v>
      </c>
      <c r="Q239" t="e">
        <f>IF(Titanic_Dataset[[#This Row],[Survived]]=0,Titanic_Dataset[[#This Row],[Fare]],NA())</f>
        <v>#N/A</v>
      </c>
      <c r="R239" t="str">
        <f>VLOOKUP(Titanic_Dataset[[#This Row],[Fare]],Table2[],2,TRUE)</f>
        <v>high</v>
      </c>
      <c r="S239" s="1" t="s">
        <v>15</v>
      </c>
      <c r="T239" s="1" t="s">
        <v>16</v>
      </c>
      <c r="U239" s="1"/>
      <c r="V239" s="1"/>
      <c r="W239" s="1"/>
    </row>
    <row r="240" spans="1:23" x14ac:dyDescent="0.25">
      <c r="A240">
        <v>239</v>
      </c>
      <c r="B240">
        <v>0</v>
      </c>
      <c r="C240" t="str">
        <f>IF(Titanic_Dataset[[#This Row],[Survived]]=1,"Survived","Died")</f>
        <v>Died</v>
      </c>
      <c r="D240">
        <v>2</v>
      </c>
      <c r="E240" t="str">
        <f>IF(Titanic_Dataset[[#This Row],[Pclass]]=1,"1st",IF(Titanic_Dataset[[#This Row],[Pclass]]=2,"2nd",IF(Titanic_Dataset[[#This Row],[Pclass]]=3,"3rd")))</f>
        <v>2nd</v>
      </c>
      <c r="F240" s="1" t="s">
        <v>509</v>
      </c>
      <c r="G240" s="1" t="str">
        <f>TRIM(MID(Titanic_Dataset[[#This Row],[Name]],
FIND(",",Titanic_Dataset[[#This Row],[Name]])+2,
FIND(".",Titanic_Dataset[[#This Row],[Name]],FIND(",",Titanic_Dataset[[#This Row],[Name]]))-FIND(",",Titanic_Dataset[[#This Row],[Name]])-1))</f>
        <v>Mr.</v>
      </c>
      <c r="H240" s="1" t="s">
        <v>13</v>
      </c>
      <c r="I240">
        <v>19</v>
      </c>
      <c r="J240" t="str">
        <f>IF(Titanic_Dataset[[#This Row],[Age]]&lt;12,"0-11",
IF(Titanic_Dataset[[#This Row],[Age]]&lt;20,"12-19",
IF(Titanic_Dataset[[#This Row],[Age]]&lt;30,"20-29",
IF(Titanic_Dataset[[#This Row],[Age]]&lt;40,"30-39",
IF(Titanic_Dataset[[#This Row],[Age]]&lt;50,"40-49",
IF(Titanic_Dataset[[#This Row],[Age]]&lt;60,"50-59",
IF(Titanic_Dataset[[#This Row],[Age]]&lt;70,"60-69",)))))))</f>
        <v>12-19</v>
      </c>
      <c r="K240">
        <v>0</v>
      </c>
      <c r="L240">
        <v>0</v>
      </c>
      <c r="M240">
        <f>Titanic_Dataset[[#This Row],[Parch]]+Titanic_Dataset[[#This Row],[SibSp]]</f>
        <v>0</v>
      </c>
      <c r="N240" s="1" t="s">
        <v>510</v>
      </c>
      <c r="O240">
        <v>10.5</v>
      </c>
      <c r="P240" t="e">
        <f>IF(Titanic_Dataset[[#This Row],[Survived]]=1,Titanic_Dataset[[#This Row],[Fare]],NA())</f>
        <v>#N/A</v>
      </c>
      <c r="Q240">
        <f>IF(Titanic_Dataset[[#This Row],[Survived]]=0,Titanic_Dataset[[#This Row],[Fare]],NA())</f>
        <v>10.5</v>
      </c>
      <c r="R240" t="str">
        <f>VLOOKUP(Titanic_Dataset[[#This Row],[Fare]],Table2[],2,TRUE)</f>
        <v>medium</v>
      </c>
      <c r="S240" s="1" t="s">
        <v>15</v>
      </c>
      <c r="T240" s="1" t="s">
        <v>16</v>
      </c>
      <c r="U240" s="1"/>
      <c r="V240" s="1"/>
      <c r="W240" s="1"/>
    </row>
    <row r="241" spans="1:23" x14ac:dyDescent="0.25">
      <c r="A241">
        <v>240</v>
      </c>
      <c r="B241">
        <v>0</v>
      </c>
      <c r="C241" t="str">
        <f>IF(Titanic_Dataset[[#This Row],[Survived]]=1,"Survived","Died")</f>
        <v>Died</v>
      </c>
      <c r="D241">
        <v>2</v>
      </c>
      <c r="E241" t="str">
        <f>IF(Titanic_Dataset[[#This Row],[Pclass]]=1,"1st",IF(Titanic_Dataset[[#This Row],[Pclass]]=2,"2nd",IF(Titanic_Dataset[[#This Row],[Pclass]]=3,"3rd")))</f>
        <v>2nd</v>
      </c>
      <c r="F241" s="1" t="s">
        <v>511</v>
      </c>
      <c r="G241" s="1" t="str">
        <f>TRIM(MID(Titanic_Dataset[[#This Row],[Name]],
FIND(",",Titanic_Dataset[[#This Row],[Name]])+2,
FIND(".",Titanic_Dataset[[#This Row],[Name]],FIND(",",Titanic_Dataset[[#This Row],[Name]]))-FIND(",",Titanic_Dataset[[#This Row],[Name]])-1))</f>
        <v>Mr.</v>
      </c>
      <c r="H241" s="1" t="s">
        <v>13</v>
      </c>
      <c r="I241">
        <v>33</v>
      </c>
      <c r="J241" t="str">
        <f>IF(Titanic_Dataset[[#This Row],[Age]]&lt;12,"0-11",
IF(Titanic_Dataset[[#This Row],[Age]]&lt;20,"12-19",
IF(Titanic_Dataset[[#This Row],[Age]]&lt;30,"20-29",
IF(Titanic_Dataset[[#This Row],[Age]]&lt;40,"30-39",
IF(Titanic_Dataset[[#This Row],[Age]]&lt;50,"40-49",
IF(Titanic_Dataset[[#This Row],[Age]]&lt;60,"50-59",
IF(Titanic_Dataset[[#This Row],[Age]]&lt;70,"60-69",)))))))</f>
        <v>30-39</v>
      </c>
      <c r="K241">
        <v>0</v>
      </c>
      <c r="L241">
        <v>0</v>
      </c>
      <c r="M241">
        <f>Titanic_Dataset[[#This Row],[Parch]]+Titanic_Dataset[[#This Row],[SibSp]]</f>
        <v>0</v>
      </c>
      <c r="N241" s="1" t="s">
        <v>512</v>
      </c>
      <c r="O241">
        <v>12.275</v>
      </c>
      <c r="P241" t="e">
        <f>IF(Titanic_Dataset[[#This Row],[Survived]]=1,Titanic_Dataset[[#This Row],[Fare]],NA())</f>
        <v>#N/A</v>
      </c>
      <c r="Q241">
        <f>IF(Titanic_Dataset[[#This Row],[Survived]]=0,Titanic_Dataset[[#This Row],[Fare]],NA())</f>
        <v>12.275</v>
      </c>
      <c r="R241" t="str">
        <f>VLOOKUP(Titanic_Dataset[[#This Row],[Fare]],Table2[],2,TRUE)</f>
        <v>medium</v>
      </c>
      <c r="S241" s="1" t="s">
        <v>15</v>
      </c>
      <c r="T241" s="1" t="s">
        <v>16</v>
      </c>
      <c r="U241" s="1"/>
      <c r="V241" s="1"/>
      <c r="W241" s="1"/>
    </row>
    <row r="242" spans="1:23" x14ac:dyDescent="0.25">
      <c r="A242">
        <v>241</v>
      </c>
      <c r="B242">
        <v>0</v>
      </c>
      <c r="C242" t="str">
        <f>IF(Titanic_Dataset[[#This Row],[Survived]]=1,"Survived","Died")</f>
        <v>Died</v>
      </c>
      <c r="D242">
        <v>3</v>
      </c>
      <c r="E242" t="str">
        <f>IF(Titanic_Dataset[[#This Row],[Pclass]]=1,"1st",IF(Titanic_Dataset[[#This Row],[Pclass]]=2,"2nd",IF(Titanic_Dataset[[#This Row],[Pclass]]=3,"3rd")))</f>
        <v>3rd</v>
      </c>
      <c r="F242" s="1" t="s">
        <v>513</v>
      </c>
      <c r="G242" s="1" t="str">
        <f>TRIM(MID(Titanic_Dataset[[#This Row],[Name]],
FIND(",",Titanic_Dataset[[#This Row],[Name]])+2,
FIND(".",Titanic_Dataset[[#This Row],[Name]],FIND(",",Titanic_Dataset[[#This Row],[Name]]))-FIND(",",Titanic_Dataset[[#This Row],[Name]])-1))</f>
        <v>Miss.</v>
      </c>
      <c r="H242" s="1" t="s">
        <v>18</v>
      </c>
      <c r="I242">
        <v>28</v>
      </c>
      <c r="J24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42">
        <v>1</v>
      </c>
      <c r="L242">
        <v>0</v>
      </c>
      <c r="M242">
        <f>Titanic_Dataset[[#This Row],[Parch]]+Titanic_Dataset[[#This Row],[SibSp]]</f>
        <v>1</v>
      </c>
      <c r="N242" s="1" t="s">
        <v>259</v>
      </c>
      <c r="O242">
        <v>14.4542</v>
      </c>
      <c r="P242" t="e">
        <f>IF(Titanic_Dataset[[#This Row],[Survived]]=1,Titanic_Dataset[[#This Row],[Fare]],NA())</f>
        <v>#N/A</v>
      </c>
      <c r="Q242">
        <f>IF(Titanic_Dataset[[#This Row],[Survived]]=0,Titanic_Dataset[[#This Row],[Fare]],NA())</f>
        <v>14.4542</v>
      </c>
      <c r="R242" t="str">
        <f>VLOOKUP(Titanic_Dataset[[#This Row],[Fare]],Table2[],2,TRUE)</f>
        <v>medium</v>
      </c>
      <c r="S242" s="1" t="s">
        <v>15</v>
      </c>
      <c r="T242" s="1" t="s">
        <v>21</v>
      </c>
      <c r="U242" s="1"/>
      <c r="V242" s="1"/>
      <c r="W242" s="1"/>
    </row>
    <row r="243" spans="1:23" x14ac:dyDescent="0.25">
      <c r="A243">
        <v>242</v>
      </c>
      <c r="B243">
        <v>1</v>
      </c>
      <c r="C243" t="str">
        <f>IF(Titanic_Dataset[[#This Row],[Survived]]=1,"Survived","Died")</f>
        <v>Survived</v>
      </c>
      <c r="D243">
        <v>3</v>
      </c>
      <c r="E243" t="str">
        <f>IF(Titanic_Dataset[[#This Row],[Pclass]]=1,"1st",IF(Titanic_Dataset[[#This Row],[Pclass]]=2,"2nd",IF(Titanic_Dataset[[#This Row],[Pclass]]=3,"3rd")))</f>
        <v>3rd</v>
      </c>
      <c r="F243" s="1" t="s">
        <v>514</v>
      </c>
      <c r="G243" s="1" t="str">
        <f>TRIM(MID(Titanic_Dataset[[#This Row],[Name]],
FIND(",",Titanic_Dataset[[#This Row],[Name]])+2,
FIND(".",Titanic_Dataset[[#This Row],[Name]],FIND(",",Titanic_Dataset[[#This Row],[Name]]))-FIND(",",Titanic_Dataset[[#This Row],[Name]])-1))</f>
        <v>Miss.</v>
      </c>
      <c r="H243" s="1" t="s">
        <v>18</v>
      </c>
      <c r="I243">
        <v>28</v>
      </c>
      <c r="J24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43">
        <v>1</v>
      </c>
      <c r="L243">
        <v>0</v>
      </c>
      <c r="M243">
        <f>Titanic_Dataset[[#This Row],[Parch]]+Titanic_Dataset[[#This Row],[SibSp]]</f>
        <v>1</v>
      </c>
      <c r="N243" s="1" t="s">
        <v>515</v>
      </c>
      <c r="O243">
        <v>15.5</v>
      </c>
      <c r="P243">
        <f>IF(Titanic_Dataset[[#This Row],[Survived]]=1,Titanic_Dataset[[#This Row],[Fare]],NA())</f>
        <v>15.5</v>
      </c>
      <c r="Q243" t="e">
        <f>IF(Titanic_Dataset[[#This Row],[Survived]]=0,Titanic_Dataset[[#This Row],[Fare]],NA())</f>
        <v>#N/A</v>
      </c>
      <c r="R243" t="str">
        <f>VLOOKUP(Titanic_Dataset[[#This Row],[Fare]],Table2[],2,TRUE)</f>
        <v>high</v>
      </c>
      <c r="S243" s="1" t="s">
        <v>15</v>
      </c>
      <c r="T243" s="1" t="s">
        <v>31</v>
      </c>
      <c r="U243" s="1"/>
      <c r="V243" s="1"/>
      <c r="W243" s="1"/>
    </row>
    <row r="244" spans="1:23" x14ac:dyDescent="0.25">
      <c r="A244">
        <v>243</v>
      </c>
      <c r="B244">
        <v>0</v>
      </c>
      <c r="C244" t="str">
        <f>IF(Titanic_Dataset[[#This Row],[Survived]]=1,"Survived","Died")</f>
        <v>Died</v>
      </c>
      <c r="D244">
        <v>2</v>
      </c>
      <c r="E244" t="str">
        <f>IF(Titanic_Dataset[[#This Row],[Pclass]]=1,"1st",IF(Titanic_Dataset[[#This Row],[Pclass]]=2,"2nd",IF(Titanic_Dataset[[#This Row],[Pclass]]=3,"3rd")))</f>
        <v>2nd</v>
      </c>
      <c r="F244" s="1" t="s">
        <v>516</v>
      </c>
      <c r="G244" s="1" t="str">
        <f>TRIM(MID(Titanic_Dataset[[#This Row],[Name]],
FIND(",",Titanic_Dataset[[#This Row],[Name]])+2,
FIND(".",Titanic_Dataset[[#This Row],[Name]],FIND(",",Titanic_Dataset[[#This Row],[Name]]))-FIND(",",Titanic_Dataset[[#This Row],[Name]])-1))</f>
        <v>Mr.</v>
      </c>
      <c r="H244" s="1" t="s">
        <v>13</v>
      </c>
      <c r="I244">
        <v>29</v>
      </c>
      <c r="J24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44">
        <v>0</v>
      </c>
      <c r="L244">
        <v>0</v>
      </c>
      <c r="M244">
        <f>Titanic_Dataset[[#This Row],[Parch]]+Titanic_Dataset[[#This Row],[SibSp]]</f>
        <v>0</v>
      </c>
      <c r="N244" s="1" t="s">
        <v>517</v>
      </c>
      <c r="O244">
        <v>10.5</v>
      </c>
      <c r="P244" t="e">
        <f>IF(Titanic_Dataset[[#This Row],[Survived]]=1,Titanic_Dataset[[#This Row],[Fare]],NA())</f>
        <v>#N/A</v>
      </c>
      <c r="Q244">
        <f>IF(Titanic_Dataset[[#This Row],[Survived]]=0,Titanic_Dataset[[#This Row],[Fare]],NA())</f>
        <v>10.5</v>
      </c>
      <c r="R244" t="str">
        <f>VLOOKUP(Titanic_Dataset[[#This Row],[Fare]],Table2[],2,TRUE)</f>
        <v>medium</v>
      </c>
      <c r="S244" s="1" t="s">
        <v>15</v>
      </c>
      <c r="T244" s="1" t="s">
        <v>16</v>
      </c>
      <c r="U244" s="1"/>
      <c r="V244" s="1"/>
      <c r="W244" s="1"/>
    </row>
    <row r="245" spans="1:23" x14ac:dyDescent="0.25">
      <c r="A245">
        <v>244</v>
      </c>
      <c r="B245">
        <v>0</v>
      </c>
      <c r="C245" t="str">
        <f>IF(Titanic_Dataset[[#This Row],[Survived]]=1,"Survived","Died")</f>
        <v>Died</v>
      </c>
      <c r="D245">
        <v>3</v>
      </c>
      <c r="E245" t="str">
        <f>IF(Titanic_Dataset[[#This Row],[Pclass]]=1,"1st",IF(Titanic_Dataset[[#This Row],[Pclass]]=2,"2nd",IF(Titanic_Dataset[[#This Row],[Pclass]]=3,"3rd")))</f>
        <v>3rd</v>
      </c>
      <c r="F245" s="1" t="s">
        <v>518</v>
      </c>
      <c r="G245" s="1" t="str">
        <f>TRIM(MID(Titanic_Dataset[[#This Row],[Name]],
FIND(",",Titanic_Dataset[[#This Row],[Name]])+2,
FIND(".",Titanic_Dataset[[#This Row],[Name]],FIND(",",Titanic_Dataset[[#This Row],[Name]]))-FIND(",",Titanic_Dataset[[#This Row],[Name]])-1))</f>
        <v>Mr.</v>
      </c>
      <c r="H245" s="1" t="s">
        <v>13</v>
      </c>
      <c r="I245">
        <v>22</v>
      </c>
      <c r="J24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45">
        <v>0</v>
      </c>
      <c r="L245">
        <v>0</v>
      </c>
      <c r="M245">
        <f>Titanic_Dataset[[#This Row],[Parch]]+Titanic_Dataset[[#This Row],[SibSp]]</f>
        <v>0</v>
      </c>
      <c r="N245" s="1" t="s">
        <v>519</v>
      </c>
      <c r="O245">
        <v>7.125</v>
      </c>
      <c r="P245" t="e">
        <f>IF(Titanic_Dataset[[#This Row],[Survived]]=1,Titanic_Dataset[[#This Row],[Fare]],NA())</f>
        <v>#N/A</v>
      </c>
      <c r="Q245">
        <f>IF(Titanic_Dataset[[#This Row],[Survived]]=0,Titanic_Dataset[[#This Row],[Fare]],NA())</f>
        <v>7.125</v>
      </c>
      <c r="R245" t="str">
        <f>VLOOKUP(Titanic_Dataset[[#This Row],[Fare]],Table2[],2,TRUE)</f>
        <v>low</v>
      </c>
      <c r="S245" s="1" t="s">
        <v>15</v>
      </c>
      <c r="T245" s="1" t="s">
        <v>16</v>
      </c>
      <c r="U245" s="1"/>
      <c r="V245" s="1"/>
      <c r="W245" s="1"/>
    </row>
    <row r="246" spans="1:23" x14ac:dyDescent="0.25">
      <c r="A246">
        <v>245</v>
      </c>
      <c r="B246">
        <v>0</v>
      </c>
      <c r="C246" t="str">
        <f>IF(Titanic_Dataset[[#This Row],[Survived]]=1,"Survived","Died")</f>
        <v>Died</v>
      </c>
      <c r="D246">
        <v>3</v>
      </c>
      <c r="E246" t="str">
        <f>IF(Titanic_Dataset[[#This Row],[Pclass]]=1,"1st",IF(Titanic_Dataset[[#This Row],[Pclass]]=2,"2nd",IF(Titanic_Dataset[[#This Row],[Pclass]]=3,"3rd")))</f>
        <v>3rd</v>
      </c>
      <c r="F246" s="1" t="s">
        <v>520</v>
      </c>
      <c r="G246" s="1" t="str">
        <f>TRIM(MID(Titanic_Dataset[[#This Row],[Name]],
FIND(",",Titanic_Dataset[[#This Row],[Name]])+2,
FIND(".",Titanic_Dataset[[#This Row],[Name]],FIND(",",Titanic_Dataset[[#This Row],[Name]]))-FIND(",",Titanic_Dataset[[#This Row],[Name]])-1))</f>
        <v>Mr.</v>
      </c>
      <c r="H246" s="1" t="s">
        <v>13</v>
      </c>
      <c r="I246">
        <v>30</v>
      </c>
      <c r="J246" t="str">
        <f>IF(Titanic_Dataset[[#This Row],[Age]]&lt;12,"0-11",
IF(Titanic_Dataset[[#This Row],[Age]]&lt;20,"12-19",
IF(Titanic_Dataset[[#This Row],[Age]]&lt;30,"20-29",
IF(Titanic_Dataset[[#This Row],[Age]]&lt;40,"30-39",
IF(Titanic_Dataset[[#This Row],[Age]]&lt;50,"40-49",
IF(Titanic_Dataset[[#This Row],[Age]]&lt;60,"50-59",
IF(Titanic_Dataset[[#This Row],[Age]]&lt;70,"60-69",)))))))</f>
        <v>30-39</v>
      </c>
      <c r="K246">
        <v>0</v>
      </c>
      <c r="L246">
        <v>0</v>
      </c>
      <c r="M246">
        <f>Titanic_Dataset[[#This Row],[Parch]]+Titanic_Dataset[[#This Row],[SibSp]]</f>
        <v>0</v>
      </c>
      <c r="N246" s="1" t="s">
        <v>521</v>
      </c>
      <c r="O246">
        <v>7.2249999999999996</v>
      </c>
      <c r="P246" t="e">
        <f>IF(Titanic_Dataset[[#This Row],[Survived]]=1,Titanic_Dataset[[#This Row],[Fare]],NA())</f>
        <v>#N/A</v>
      </c>
      <c r="Q246">
        <f>IF(Titanic_Dataset[[#This Row],[Survived]]=0,Titanic_Dataset[[#This Row],[Fare]],NA())</f>
        <v>7.2249999999999996</v>
      </c>
      <c r="R246" t="str">
        <f>VLOOKUP(Titanic_Dataset[[#This Row],[Fare]],Table2[],2,TRUE)</f>
        <v>low</v>
      </c>
      <c r="S246" s="1" t="s">
        <v>15</v>
      </c>
      <c r="T246" s="1" t="s">
        <v>21</v>
      </c>
      <c r="U246" s="1"/>
      <c r="V246" s="1"/>
      <c r="W246" s="1"/>
    </row>
    <row r="247" spans="1:23" x14ac:dyDescent="0.25">
      <c r="A247">
        <v>246</v>
      </c>
      <c r="B247">
        <v>0</v>
      </c>
      <c r="C247" t="str">
        <f>IF(Titanic_Dataset[[#This Row],[Survived]]=1,"Survived","Died")</f>
        <v>Died</v>
      </c>
      <c r="D247">
        <v>1</v>
      </c>
      <c r="E247" t="str">
        <f>IF(Titanic_Dataset[[#This Row],[Pclass]]=1,"1st",IF(Titanic_Dataset[[#This Row],[Pclass]]=2,"2nd",IF(Titanic_Dataset[[#This Row],[Pclass]]=3,"3rd")))</f>
        <v>1st</v>
      </c>
      <c r="F247" s="1" t="s">
        <v>522</v>
      </c>
      <c r="G247" s="1" t="str">
        <f>TRIM(MID(Titanic_Dataset[[#This Row],[Name]],
FIND(",",Titanic_Dataset[[#This Row],[Name]])+2,
FIND(".",Titanic_Dataset[[#This Row],[Name]],FIND(",",Titanic_Dataset[[#This Row],[Name]]))-FIND(",",Titanic_Dataset[[#This Row],[Name]])-1))</f>
        <v>Dr.</v>
      </c>
      <c r="H247" s="1" t="s">
        <v>13</v>
      </c>
      <c r="I247">
        <v>44</v>
      </c>
      <c r="J247" t="str">
        <f>IF(Titanic_Dataset[[#This Row],[Age]]&lt;12,"0-11",
IF(Titanic_Dataset[[#This Row],[Age]]&lt;20,"12-19",
IF(Titanic_Dataset[[#This Row],[Age]]&lt;30,"20-29",
IF(Titanic_Dataset[[#This Row],[Age]]&lt;40,"30-39",
IF(Titanic_Dataset[[#This Row],[Age]]&lt;50,"40-49",
IF(Titanic_Dataset[[#This Row],[Age]]&lt;60,"50-59",
IF(Titanic_Dataset[[#This Row],[Age]]&lt;70,"60-69",)))))))</f>
        <v>40-49</v>
      </c>
      <c r="K247">
        <v>2</v>
      </c>
      <c r="L247">
        <v>0</v>
      </c>
      <c r="M247">
        <f>Titanic_Dataset[[#This Row],[Parch]]+Titanic_Dataset[[#This Row],[SibSp]]</f>
        <v>2</v>
      </c>
      <c r="N247" s="1" t="s">
        <v>523</v>
      </c>
      <c r="O247">
        <v>90</v>
      </c>
      <c r="P247" t="e">
        <f>IF(Titanic_Dataset[[#This Row],[Survived]]=1,Titanic_Dataset[[#This Row],[Fare]],NA())</f>
        <v>#N/A</v>
      </c>
      <c r="Q247">
        <f>IF(Titanic_Dataset[[#This Row],[Survived]]=0,Titanic_Dataset[[#This Row],[Fare]],NA())</f>
        <v>90</v>
      </c>
      <c r="R247" t="str">
        <f>VLOOKUP(Titanic_Dataset[[#This Row],[Fare]],Table2[],2,TRUE)</f>
        <v>very hiegh</v>
      </c>
      <c r="S247" s="1" t="s">
        <v>524</v>
      </c>
      <c r="T247" s="1" t="s">
        <v>31</v>
      </c>
      <c r="U247" s="1"/>
      <c r="V247" s="1"/>
      <c r="W247" s="1"/>
    </row>
    <row r="248" spans="1:23" x14ac:dyDescent="0.25">
      <c r="A248">
        <v>247</v>
      </c>
      <c r="B248">
        <v>0</v>
      </c>
      <c r="C248" t="str">
        <f>IF(Titanic_Dataset[[#This Row],[Survived]]=1,"Survived","Died")</f>
        <v>Died</v>
      </c>
      <c r="D248">
        <v>3</v>
      </c>
      <c r="E248" t="str">
        <f>IF(Titanic_Dataset[[#This Row],[Pclass]]=1,"1st",IF(Titanic_Dataset[[#This Row],[Pclass]]=2,"2nd",IF(Titanic_Dataset[[#This Row],[Pclass]]=3,"3rd")))</f>
        <v>3rd</v>
      </c>
      <c r="F248" s="1" t="s">
        <v>525</v>
      </c>
      <c r="G248" s="1" t="str">
        <f>TRIM(MID(Titanic_Dataset[[#This Row],[Name]],
FIND(",",Titanic_Dataset[[#This Row],[Name]])+2,
FIND(".",Titanic_Dataset[[#This Row],[Name]],FIND(",",Titanic_Dataset[[#This Row],[Name]]))-FIND(",",Titanic_Dataset[[#This Row],[Name]])-1))</f>
        <v>Miss.</v>
      </c>
      <c r="H248" s="1" t="s">
        <v>18</v>
      </c>
      <c r="I248">
        <v>25</v>
      </c>
      <c r="J24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48">
        <v>0</v>
      </c>
      <c r="L248">
        <v>0</v>
      </c>
      <c r="M248">
        <f>Titanic_Dataset[[#This Row],[Parch]]+Titanic_Dataset[[#This Row],[SibSp]]</f>
        <v>0</v>
      </c>
      <c r="N248" s="1" t="s">
        <v>526</v>
      </c>
      <c r="O248">
        <v>7.7750000000000004</v>
      </c>
      <c r="P248" t="e">
        <f>IF(Titanic_Dataset[[#This Row],[Survived]]=1,Titanic_Dataset[[#This Row],[Fare]],NA())</f>
        <v>#N/A</v>
      </c>
      <c r="Q248">
        <f>IF(Titanic_Dataset[[#This Row],[Survived]]=0,Titanic_Dataset[[#This Row],[Fare]],NA())</f>
        <v>7.7750000000000004</v>
      </c>
      <c r="R248" t="str">
        <f>VLOOKUP(Titanic_Dataset[[#This Row],[Fare]],Table2[],2,TRUE)</f>
        <v>low</v>
      </c>
      <c r="S248" s="1" t="s">
        <v>15</v>
      </c>
      <c r="T248" s="1" t="s">
        <v>16</v>
      </c>
      <c r="U248" s="1"/>
      <c r="V248" s="1"/>
      <c r="W248" s="1"/>
    </row>
    <row r="249" spans="1:23" x14ac:dyDescent="0.25">
      <c r="A249">
        <v>248</v>
      </c>
      <c r="B249">
        <v>1</v>
      </c>
      <c r="C249" t="str">
        <f>IF(Titanic_Dataset[[#This Row],[Survived]]=1,"Survived","Died")</f>
        <v>Survived</v>
      </c>
      <c r="D249">
        <v>2</v>
      </c>
      <c r="E249" t="str">
        <f>IF(Titanic_Dataset[[#This Row],[Pclass]]=1,"1st",IF(Titanic_Dataset[[#This Row],[Pclass]]=2,"2nd",IF(Titanic_Dataset[[#This Row],[Pclass]]=3,"3rd")))</f>
        <v>2nd</v>
      </c>
      <c r="F249" s="1" t="s">
        <v>527</v>
      </c>
      <c r="G249" s="1" t="str">
        <f>TRIM(MID(Titanic_Dataset[[#This Row],[Name]],
FIND(",",Titanic_Dataset[[#This Row],[Name]])+2,
FIND(".",Titanic_Dataset[[#This Row],[Name]],FIND(",",Titanic_Dataset[[#This Row],[Name]]))-FIND(",",Titanic_Dataset[[#This Row],[Name]])-1))</f>
        <v>Mrs.</v>
      </c>
      <c r="H249" s="1" t="s">
        <v>18</v>
      </c>
      <c r="I249">
        <v>24</v>
      </c>
      <c r="J24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49">
        <v>0</v>
      </c>
      <c r="L249">
        <v>2</v>
      </c>
      <c r="M249">
        <f>Titanic_Dataset[[#This Row],[Parch]]+Titanic_Dataset[[#This Row],[SibSp]]</f>
        <v>2</v>
      </c>
      <c r="N249" s="1" t="s">
        <v>528</v>
      </c>
      <c r="O249">
        <v>14.5</v>
      </c>
      <c r="P249">
        <f>IF(Titanic_Dataset[[#This Row],[Survived]]=1,Titanic_Dataset[[#This Row],[Fare]],NA())</f>
        <v>14.5</v>
      </c>
      <c r="Q249" t="e">
        <f>IF(Titanic_Dataset[[#This Row],[Survived]]=0,Titanic_Dataset[[#This Row],[Fare]],NA())</f>
        <v>#N/A</v>
      </c>
      <c r="R249" t="str">
        <f>VLOOKUP(Titanic_Dataset[[#This Row],[Fare]],Table2[],2,TRUE)</f>
        <v>medium</v>
      </c>
      <c r="S249" s="1" t="s">
        <v>15</v>
      </c>
      <c r="T249" s="1" t="s">
        <v>16</v>
      </c>
      <c r="U249" s="1"/>
      <c r="V249" s="1"/>
      <c r="W249" s="1"/>
    </row>
    <row r="250" spans="1:23" x14ac:dyDescent="0.25">
      <c r="A250">
        <v>249</v>
      </c>
      <c r="B250">
        <v>1</v>
      </c>
      <c r="C250" t="str">
        <f>IF(Titanic_Dataset[[#This Row],[Survived]]=1,"Survived","Died")</f>
        <v>Survived</v>
      </c>
      <c r="D250">
        <v>1</v>
      </c>
      <c r="E250" t="str">
        <f>IF(Titanic_Dataset[[#This Row],[Pclass]]=1,"1st",IF(Titanic_Dataset[[#This Row],[Pclass]]=2,"2nd",IF(Titanic_Dataset[[#This Row],[Pclass]]=3,"3rd")))</f>
        <v>1st</v>
      </c>
      <c r="F250" s="1" t="s">
        <v>529</v>
      </c>
      <c r="G250" s="1" t="str">
        <f>TRIM(MID(Titanic_Dataset[[#This Row],[Name]],
FIND(",",Titanic_Dataset[[#This Row],[Name]])+2,
FIND(".",Titanic_Dataset[[#This Row],[Name]],FIND(",",Titanic_Dataset[[#This Row],[Name]]))-FIND(",",Titanic_Dataset[[#This Row],[Name]])-1))</f>
        <v>Mr.</v>
      </c>
      <c r="H250" s="1" t="s">
        <v>13</v>
      </c>
      <c r="I250">
        <v>37</v>
      </c>
      <c r="J250" t="str">
        <f>IF(Titanic_Dataset[[#This Row],[Age]]&lt;12,"0-11",
IF(Titanic_Dataset[[#This Row],[Age]]&lt;20,"12-19",
IF(Titanic_Dataset[[#This Row],[Age]]&lt;30,"20-29",
IF(Titanic_Dataset[[#This Row],[Age]]&lt;40,"30-39",
IF(Titanic_Dataset[[#This Row],[Age]]&lt;50,"40-49",
IF(Titanic_Dataset[[#This Row],[Age]]&lt;60,"50-59",
IF(Titanic_Dataset[[#This Row],[Age]]&lt;70,"60-69",)))))))</f>
        <v>30-39</v>
      </c>
      <c r="K250">
        <v>1</v>
      </c>
      <c r="L250">
        <v>1</v>
      </c>
      <c r="M250">
        <f>Titanic_Dataset[[#This Row],[Parch]]+Titanic_Dataset[[#This Row],[SibSp]]</f>
        <v>2</v>
      </c>
      <c r="N250" s="1" t="s">
        <v>530</v>
      </c>
      <c r="O250">
        <v>52.554200000000002</v>
      </c>
      <c r="P250">
        <f>IF(Titanic_Dataset[[#This Row],[Survived]]=1,Titanic_Dataset[[#This Row],[Fare]],NA())</f>
        <v>52.554200000000002</v>
      </c>
      <c r="Q250" t="e">
        <f>IF(Titanic_Dataset[[#This Row],[Survived]]=0,Titanic_Dataset[[#This Row],[Fare]],NA())</f>
        <v>#N/A</v>
      </c>
      <c r="R250" t="str">
        <f>VLOOKUP(Titanic_Dataset[[#This Row],[Fare]],Table2[],2,TRUE)</f>
        <v>very hiegh</v>
      </c>
      <c r="S250" s="1" t="s">
        <v>531</v>
      </c>
      <c r="T250" s="1" t="s">
        <v>16</v>
      </c>
      <c r="U250" s="1"/>
      <c r="V250" s="1"/>
      <c r="W250" s="1"/>
    </row>
    <row r="251" spans="1:23" x14ac:dyDescent="0.25">
      <c r="A251">
        <v>250</v>
      </c>
      <c r="B251">
        <v>0</v>
      </c>
      <c r="C251" t="str">
        <f>IF(Titanic_Dataset[[#This Row],[Survived]]=1,"Survived","Died")</f>
        <v>Died</v>
      </c>
      <c r="D251">
        <v>2</v>
      </c>
      <c r="E251" t="str">
        <f>IF(Titanic_Dataset[[#This Row],[Pclass]]=1,"1st",IF(Titanic_Dataset[[#This Row],[Pclass]]=2,"2nd",IF(Titanic_Dataset[[#This Row],[Pclass]]=3,"3rd")))</f>
        <v>2nd</v>
      </c>
      <c r="F251" s="1" t="s">
        <v>532</v>
      </c>
      <c r="G251" s="1" t="str">
        <f>TRIM(MID(Titanic_Dataset[[#This Row],[Name]],
FIND(",",Titanic_Dataset[[#This Row],[Name]])+2,
FIND(".",Titanic_Dataset[[#This Row],[Name]],FIND(",",Titanic_Dataset[[#This Row],[Name]]))-FIND(",",Titanic_Dataset[[#This Row],[Name]])-1))</f>
        <v>Rev.</v>
      </c>
      <c r="H251" s="1" t="s">
        <v>13</v>
      </c>
      <c r="I251">
        <v>54</v>
      </c>
      <c r="J251" t="str">
        <f>IF(Titanic_Dataset[[#This Row],[Age]]&lt;12,"0-11",
IF(Titanic_Dataset[[#This Row],[Age]]&lt;20,"12-19",
IF(Titanic_Dataset[[#This Row],[Age]]&lt;30,"20-29",
IF(Titanic_Dataset[[#This Row],[Age]]&lt;40,"30-39",
IF(Titanic_Dataset[[#This Row],[Age]]&lt;50,"40-49",
IF(Titanic_Dataset[[#This Row],[Age]]&lt;60,"50-59",
IF(Titanic_Dataset[[#This Row],[Age]]&lt;70,"60-69",)))))))</f>
        <v>50-59</v>
      </c>
      <c r="K251">
        <v>1</v>
      </c>
      <c r="L251">
        <v>0</v>
      </c>
      <c r="M251">
        <f>Titanic_Dataset[[#This Row],[Parch]]+Titanic_Dataset[[#This Row],[SibSp]]</f>
        <v>1</v>
      </c>
      <c r="N251" s="1" t="s">
        <v>533</v>
      </c>
      <c r="O251">
        <v>26</v>
      </c>
      <c r="P251" t="e">
        <f>IF(Titanic_Dataset[[#This Row],[Survived]]=1,Titanic_Dataset[[#This Row],[Fare]],NA())</f>
        <v>#N/A</v>
      </c>
      <c r="Q251">
        <f>IF(Titanic_Dataset[[#This Row],[Survived]]=0,Titanic_Dataset[[#This Row],[Fare]],NA())</f>
        <v>26</v>
      </c>
      <c r="R251" t="str">
        <f>VLOOKUP(Titanic_Dataset[[#This Row],[Fare]],Table2[],2,TRUE)</f>
        <v>high</v>
      </c>
      <c r="S251" s="1" t="s">
        <v>15</v>
      </c>
      <c r="T251" s="1" t="s">
        <v>16</v>
      </c>
      <c r="U251" s="1"/>
      <c r="V251" s="1"/>
      <c r="W251" s="1"/>
    </row>
    <row r="252" spans="1:23" x14ac:dyDescent="0.25">
      <c r="A252">
        <v>251</v>
      </c>
      <c r="B252">
        <v>0</v>
      </c>
      <c r="C252" t="str">
        <f>IF(Titanic_Dataset[[#This Row],[Survived]]=1,"Survived","Died")</f>
        <v>Died</v>
      </c>
      <c r="D252">
        <v>3</v>
      </c>
      <c r="E252" t="str">
        <f>IF(Titanic_Dataset[[#This Row],[Pclass]]=1,"1st",IF(Titanic_Dataset[[#This Row],[Pclass]]=2,"2nd",IF(Titanic_Dataset[[#This Row],[Pclass]]=3,"3rd")))</f>
        <v>3rd</v>
      </c>
      <c r="F252" s="1" t="s">
        <v>534</v>
      </c>
      <c r="G252" s="1" t="str">
        <f>TRIM(MID(Titanic_Dataset[[#This Row],[Name]],
FIND(",",Titanic_Dataset[[#This Row],[Name]])+2,
FIND(".",Titanic_Dataset[[#This Row],[Name]],FIND(",",Titanic_Dataset[[#This Row],[Name]]))-FIND(",",Titanic_Dataset[[#This Row],[Name]])-1))</f>
        <v>Mr.</v>
      </c>
      <c r="H252" s="1" t="s">
        <v>13</v>
      </c>
      <c r="I252">
        <v>28</v>
      </c>
      <c r="J25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52">
        <v>0</v>
      </c>
      <c r="L252">
        <v>0</v>
      </c>
      <c r="M252">
        <f>Titanic_Dataset[[#This Row],[Parch]]+Titanic_Dataset[[#This Row],[SibSp]]</f>
        <v>0</v>
      </c>
      <c r="N252" s="1" t="s">
        <v>535</v>
      </c>
      <c r="O252">
        <v>7.25</v>
      </c>
      <c r="P252" t="e">
        <f>IF(Titanic_Dataset[[#This Row],[Survived]]=1,Titanic_Dataset[[#This Row],[Fare]],NA())</f>
        <v>#N/A</v>
      </c>
      <c r="Q252">
        <f>IF(Titanic_Dataset[[#This Row],[Survived]]=0,Titanic_Dataset[[#This Row],[Fare]],NA())</f>
        <v>7.25</v>
      </c>
      <c r="R252" t="str">
        <f>VLOOKUP(Titanic_Dataset[[#This Row],[Fare]],Table2[],2,TRUE)</f>
        <v>low</v>
      </c>
      <c r="S252" s="1" t="s">
        <v>15</v>
      </c>
      <c r="T252" s="1" t="s">
        <v>16</v>
      </c>
      <c r="U252" s="1"/>
      <c r="V252" s="1"/>
      <c r="W252" s="1"/>
    </row>
    <row r="253" spans="1:23" x14ac:dyDescent="0.25">
      <c r="A253">
        <v>252</v>
      </c>
      <c r="B253">
        <v>0</v>
      </c>
      <c r="C253" t="str">
        <f>IF(Titanic_Dataset[[#This Row],[Survived]]=1,"Survived","Died")</f>
        <v>Died</v>
      </c>
      <c r="D253">
        <v>3</v>
      </c>
      <c r="E253" t="str">
        <f>IF(Titanic_Dataset[[#This Row],[Pclass]]=1,"1st",IF(Titanic_Dataset[[#This Row],[Pclass]]=2,"2nd",IF(Titanic_Dataset[[#This Row],[Pclass]]=3,"3rd")))</f>
        <v>3rd</v>
      </c>
      <c r="F253" s="1" t="s">
        <v>536</v>
      </c>
      <c r="G253" s="1" t="str">
        <f>TRIM(MID(Titanic_Dataset[[#This Row],[Name]],
FIND(",",Titanic_Dataset[[#This Row],[Name]])+2,
FIND(".",Titanic_Dataset[[#This Row],[Name]],FIND(",",Titanic_Dataset[[#This Row],[Name]]))-FIND(",",Titanic_Dataset[[#This Row],[Name]])-1))</f>
        <v>Mrs.</v>
      </c>
      <c r="H253" s="1" t="s">
        <v>18</v>
      </c>
      <c r="I253">
        <v>29</v>
      </c>
      <c r="J25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53">
        <v>1</v>
      </c>
      <c r="L253">
        <v>1</v>
      </c>
      <c r="M253">
        <f>Titanic_Dataset[[#This Row],[Parch]]+Titanic_Dataset[[#This Row],[SibSp]]</f>
        <v>2</v>
      </c>
      <c r="N253" s="1" t="s">
        <v>444</v>
      </c>
      <c r="O253">
        <v>10.4625</v>
      </c>
      <c r="P253" t="e">
        <f>IF(Titanic_Dataset[[#This Row],[Survived]]=1,Titanic_Dataset[[#This Row],[Fare]],NA())</f>
        <v>#N/A</v>
      </c>
      <c r="Q253">
        <f>IF(Titanic_Dataset[[#This Row],[Survived]]=0,Titanic_Dataset[[#This Row],[Fare]],NA())</f>
        <v>10.4625</v>
      </c>
      <c r="R253" t="str">
        <f>VLOOKUP(Titanic_Dataset[[#This Row],[Fare]],Table2[],2,TRUE)</f>
        <v>medium</v>
      </c>
      <c r="S253" s="1" t="s">
        <v>43</v>
      </c>
      <c r="T253" s="1" t="s">
        <v>16</v>
      </c>
      <c r="U253" s="1"/>
      <c r="V253" s="1"/>
      <c r="W253" s="1"/>
    </row>
    <row r="254" spans="1:23" x14ac:dyDescent="0.25">
      <c r="A254">
        <v>253</v>
      </c>
      <c r="B254">
        <v>0</v>
      </c>
      <c r="C254" t="str">
        <f>IF(Titanic_Dataset[[#This Row],[Survived]]=1,"Survived","Died")</f>
        <v>Died</v>
      </c>
      <c r="D254">
        <v>1</v>
      </c>
      <c r="E254" t="str">
        <f>IF(Titanic_Dataset[[#This Row],[Pclass]]=1,"1st",IF(Titanic_Dataset[[#This Row],[Pclass]]=2,"2nd",IF(Titanic_Dataset[[#This Row],[Pclass]]=3,"3rd")))</f>
        <v>1st</v>
      </c>
      <c r="F254" s="1" t="s">
        <v>537</v>
      </c>
      <c r="G254" s="1" t="str">
        <f>TRIM(MID(Titanic_Dataset[[#This Row],[Name]],
FIND(",",Titanic_Dataset[[#This Row],[Name]])+2,
FIND(".",Titanic_Dataset[[#This Row],[Name]],FIND(",",Titanic_Dataset[[#This Row],[Name]]))-FIND(",",Titanic_Dataset[[#This Row],[Name]])-1))</f>
        <v>Mr.</v>
      </c>
      <c r="H254" s="1" t="s">
        <v>13</v>
      </c>
      <c r="I254">
        <v>62</v>
      </c>
      <c r="J254" t="str">
        <f>IF(Titanic_Dataset[[#This Row],[Age]]&lt;12,"0-11",
IF(Titanic_Dataset[[#This Row],[Age]]&lt;20,"12-19",
IF(Titanic_Dataset[[#This Row],[Age]]&lt;30,"20-29",
IF(Titanic_Dataset[[#This Row],[Age]]&lt;40,"30-39",
IF(Titanic_Dataset[[#This Row],[Age]]&lt;50,"40-49",
IF(Titanic_Dataset[[#This Row],[Age]]&lt;60,"50-59",
IF(Titanic_Dataset[[#This Row],[Age]]&lt;70,"60-69",)))))))</f>
        <v>60-69</v>
      </c>
      <c r="K254">
        <v>0</v>
      </c>
      <c r="L254">
        <v>0</v>
      </c>
      <c r="M254">
        <f>Titanic_Dataset[[#This Row],[Parch]]+Titanic_Dataset[[#This Row],[SibSp]]</f>
        <v>0</v>
      </c>
      <c r="N254" s="1" t="s">
        <v>538</v>
      </c>
      <c r="O254">
        <v>26.55</v>
      </c>
      <c r="P254" t="e">
        <f>IF(Titanic_Dataset[[#This Row],[Survived]]=1,Titanic_Dataset[[#This Row],[Fare]],NA())</f>
        <v>#N/A</v>
      </c>
      <c r="Q254">
        <f>IF(Titanic_Dataset[[#This Row],[Survived]]=0,Titanic_Dataset[[#This Row],[Fare]],NA())</f>
        <v>26.55</v>
      </c>
      <c r="R254" t="str">
        <f>VLOOKUP(Titanic_Dataset[[#This Row],[Fare]],Table2[],2,TRUE)</f>
        <v>high</v>
      </c>
      <c r="S254" s="1" t="s">
        <v>539</v>
      </c>
      <c r="T254" s="1" t="s">
        <v>16</v>
      </c>
      <c r="U254" s="1"/>
      <c r="V254" s="1"/>
      <c r="W254" s="1"/>
    </row>
    <row r="255" spans="1:23" x14ac:dyDescent="0.25">
      <c r="A255">
        <v>254</v>
      </c>
      <c r="B255">
        <v>0</v>
      </c>
      <c r="C255" t="str">
        <f>IF(Titanic_Dataset[[#This Row],[Survived]]=1,"Survived","Died")</f>
        <v>Died</v>
      </c>
      <c r="D255">
        <v>3</v>
      </c>
      <c r="E255" t="str">
        <f>IF(Titanic_Dataset[[#This Row],[Pclass]]=1,"1st",IF(Titanic_Dataset[[#This Row],[Pclass]]=2,"2nd",IF(Titanic_Dataset[[#This Row],[Pclass]]=3,"3rd")))</f>
        <v>3rd</v>
      </c>
      <c r="F255" s="1" t="s">
        <v>540</v>
      </c>
      <c r="G255" s="1" t="str">
        <f>TRIM(MID(Titanic_Dataset[[#This Row],[Name]],
FIND(",",Titanic_Dataset[[#This Row],[Name]])+2,
FIND(".",Titanic_Dataset[[#This Row],[Name]],FIND(",",Titanic_Dataset[[#This Row],[Name]]))-FIND(",",Titanic_Dataset[[#This Row],[Name]])-1))</f>
        <v>Mr.</v>
      </c>
      <c r="H255" s="1" t="s">
        <v>13</v>
      </c>
      <c r="I255">
        <v>30</v>
      </c>
      <c r="J255" t="str">
        <f>IF(Titanic_Dataset[[#This Row],[Age]]&lt;12,"0-11",
IF(Titanic_Dataset[[#This Row],[Age]]&lt;20,"12-19",
IF(Titanic_Dataset[[#This Row],[Age]]&lt;30,"20-29",
IF(Titanic_Dataset[[#This Row],[Age]]&lt;40,"30-39",
IF(Titanic_Dataset[[#This Row],[Age]]&lt;50,"40-49",
IF(Titanic_Dataset[[#This Row],[Age]]&lt;60,"50-59",
IF(Titanic_Dataset[[#This Row],[Age]]&lt;70,"60-69",)))))))</f>
        <v>30-39</v>
      </c>
      <c r="K255">
        <v>1</v>
      </c>
      <c r="L255">
        <v>0</v>
      </c>
      <c r="M255">
        <f>Titanic_Dataset[[#This Row],[Parch]]+Titanic_Dataset[[#This Row],[SibSp]]</f>
        <v>1</v>
      </c>
      <c r="N255" s="1" t="s">
        <v>541</v>
      </c>
      <c r="O255">
        <v>16.100000000000001</v>
      </c>
      <c r="P255" t="e">
        <f>IF(Titanic_Dataset[[#This Row],[Survived]]=1,Titanic_Dataset[[#This Row],[Fare]],NA())</f>
        <v>#N/A</v>
      </c>
      <c r="Q255">
        <f>IF(Titanic_Dataset[[#This Row],[Survived]]=0,Titanic_Dataset[[#This Row],[Fare]],NA())</f>
        <v>16.100000000000001</v>
      </c>
      <c r="R255" t="str">
        <f>VLOOKUP(Titanic_Dataset[[#This Row],[Fare]],Table2[],2,TRUE)</f>
        <v>high</v>
      </c>
      <c r="S255" s="1" t="s">
        <v>15</v>
      </c>
      <c r="T255" s="1" t="s">
        <v>16</v>
      </c>
      <c r="U255" s="1"/>
      <c r="V255" s="1"/>
      <c r="W255" s="1"/>
    </row>
    <row r="256" spans="1:23" x14ac:dyDescent="0.25">
      <c r="A256">
        <v>255</v>
      </c>
      <c r="B256">
        <v>0</v>
      </c>
      <c r="C256" t="str">
        <f>IF(Titanic_Dataset[[#This Row],[Survived]]=1,"Survived","Died")</f>
        <v>Died</v>
      </c>
      <c r="D256">
        <v>3</v>
      </c>
      <c r="E256" t="str">
        <f>IF(Titanic_Dataset[[#This Row],[Pclass]]=1,"1st",IF(Titanic_Dataset[[#This Row],[Pclass]]=2,"2nd",IF(Titanic_Dataset[[#This Row],[Pclass]]=3,"3rd")))</f>
        <v>3rd</v>
      </c>
      <c r="F256" s="1" t="s">
        <v>542</v>
      </c>
      <c r="G256" s="1" t="str">
        <f>TRIM(MID(Titanic_Dataset[[#This Row],[Name]],
FIND(",",Titanic_Dataset[[#This Row],[Name]])+2,
FIND(".",Titanic_Dataset[[#This Row],[Name]],FIND(",",Titanic_Dataset[[#This Row],[Name]]))-FIND(",",Titanic_Dataset[[#This Row],[Name]])-1))</f>
        <v>Mrs.</v>
      </c>
      <c r="H256" s="1" t="s">
        <v>18</v>
      </c>
      <c r="I256">
        <v>41</v>
      </c>
      <c r="J256" t="str">
        <f>IF(Titanic_Dataset[[#This Row],[Age]]&lt;12,"0-11",
IF(Titanic_Dataset[[#This Row],[Age]]&lt;20,"12-19",
IF(Titanic_Dataset[[#This Row],[Age]]&lt;30,"20-29",
IF(Titanic_Dataset[[#This Row],[Age]]&lt;40,"30-39",
IF(Titanic_Dataset[[#This Row],[Age]]&lt;50,"40-49",
IF(Titanic_Dataset[[#This Row],[Age]]&lt;60,"50-59",
IF(Titanic_Dataset[[#This Row],[Age]]&lt;70,"60-69",)))))))</f>
        <v>40-49</v>
      </c>
      <c r="K256">
        <v>0</v>
      </c>
      <c r="L256">
        <v>2</v>
      </c>
      <c r="M256">
        <f>Titanic_Dataset[[#This Row],[Parch]]+Titanic_Dataset[[#This Row],[SibSp]]</f>
        <v>2</v>
      </c>
      <c r="N256" s="1" t="s">
        <v>543</v>
      </c>
      <c r="O256">
        <v>20.212499999999999</v>
      </c>
      <c r="P256" t="e">
        <f>IF(Titanic_Dataset[[#This Row],[Survived]]=1,Titanic_Dataset[[#This Row],[Fare]],NA())</f>
        <v>#N/A</v>
      </c>
      <c r="Q256">
        <f>IF(Titanic_Dataset[[#This Row],[Survived]]=0,Titanic_Dataset[[#This Row],[Fare]],NA())</f>
        <v>20.212499999999999</v>
      </c>
      <c r="R256" t="str">
        <f>VLOOKUP(Titanic_Dataset[[#This Row],[Fare]],Table2[],2,TRUE)</f>
        <v>high</v>
      </c>
      <c r="S256" s="1" t="s">
        <v>15</v>
      </c>
      <c r="T256" s="1" t="s">
        <v>16</v>
      </c>
      <c r="U256" s="1"/>
      <c r="V256" s="1"/>
      <c r="W256" s="1"/>
    </row>
    <row r="257" spans="1:23" x14ac:dyDescent="0.25">
      <c r="A257">
        <v>256</v>
      </c>
      <c r="B257">
        <v>1</v>
      </c>
      <c r="C257" t="str">
        <f>IF(Titanic_Dataset[[#This Row],[Survived]]=1,"Survived","Died")</f>
        <v>Survived</v>
      </c>
      <c r="D257">
        <v>3</v>
      </c>
      <c r="E257" t="str">
        <f>IF(Titanic_Dataset[[#This Row],[Pclass]]=1,"1st",IF(Titanic_Dataset[[#This Row],[Pclass]]=2,"2nd",IF(Titanic_Dataset[[#This Row],[Pclass]]=3,"3rd")))</f>
        <v>3rd</v>
      </c>
      <c r="F257" s="1" t="s">
        <v>544</v>
      </c>
      <c r="G257" s="1" t="str">
        <f>TRIM(MID(Titanic_Dataset[[#This Row],[Name]],
FIND(",",Titanic_Dataset[[#This Row],[Name]])+2,
FIND(".",Titanic_Dataset[[#This Row],[Name]],FIND(",",Titanic_Dataset[[#This Row],[Name]]))-FIND(",",Titanic_Dataset[[#This Row],[Name]])-1))</f>
        <v>Mrs.</v>
      </c>
      <c r="H257" s="1" t="s">
        <v>18</v>
      </c>
      <c r="I257">
        <v>29</v>
      </c>
      <c r="J25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57">
        <v>0</v>
      </c>
      <c r="L257">
        <v>2</v>
      </c>
      <c r="M257">
        <f>Titanic_Dataset[[#This Row],[Parch]]+Titanic_Dataset[[#This Row],[SibSp]]</f>
        <v>2</v>
      </c>
      <c r="N257" s="1" t="s">
        <v>545</v>
      </c>
      <c r="O257">
        <v>15.245799999999999</v>
      </c>
      <c r="P257">
        <f>IF(Titanic_Dataset[[#This Row],[Survived]]=1,Titanic_Dataset[[#This Row],[Fare]],NA())</f>
        <v>15.245799999999999</v>
      </c>
      <c r="Q257" t="e">
        <f>IF(Titanic_Dataset[[#This Row],[Survived]]=0,Titanic_Dataset[[#This Row],[Fare]],NA())</f>
        <v>#N/A</v>
      </c>
      <c r="R257" t="str">
        <f>VLOOKUP(Titanic_Dataset[[#This Row],[Fare]],Table2[],2,TRUE)</f>
        <v>high</v>
      </c>
      <c r="S257" s="1" t="s">
        <v>15</v>
      </c>
      <c r="T257" s="1" t="s">
        <v>21</v>
      </c>
      <c r="U257" s="1"/>
      <c r="V257" s="1"/>
      <c r="W257" s="1"/>
    </row>
    <row r="258" spans="1:23" x14ac:dyDescent="0.25">
      <c r="A258">
        <v>257</v>
      </c>
      <c r="B258">
        <v>1</v>
      </c>
      <c r="C258" t="str">
        <f>IF(Titanic_Dataset[[#This Row],[Survived]]=1,"Survived","Died")</f>
        <v>Survived</v>
      </c>
      <c r="D258">
        <v>1</v>
      </c>
      <c r="E258" t="str">
        <f>IF(Titanic_Dataset[[#This Row],[Pclass]]=1,"1st",IF(Titanic_Dataset[[#This Row],[Pclass]]=2,"2nd",IF(Titanic_Dataset[[#This Row],[Pclass]]=3,"3rd")))</f>
        <v>1st</v>
      </c>
      <c r="F258" s="1" t="s">
        <v>546</v>
      </c>
      <c r="G258" s="1" t="str">
        <f>TRIM(MID(Titanic_Dataset[[#This Row],[Name]],
FIND(",",Titanic_Dataset[[#This Row],[Name]])+2,
FIND(".",Titanic_Dataset[[#This Row],[Name]],FIND(",",Titanic_Dataset[[#This Row],[Name]]))-FIND(",",Titanic_Dataset[[#This Row],[Name]])-1))</f>
        <v>Mrs.</v>
      </c>
      <c r="H258" s="1" t="s">
        <v>18</v>
      </c>
      <c r="I258">
        <v>28</v>
      </c>
      <c r="J25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58">
        <v>0</v>
      </c>
      <c r="L258">
        <v>0</v>
      </c>
      <c r="M258">
        <f>Titanic_Dataset[[#This Row],[Parch]]+Titanic_Dataset[[#This Row],[SibSp]]</f>
        <v>0</v>
      </c>
      <c r="N258" s="1" t="s">
        <v>547</v>
      </c>
      <c r="O258">
        <v>79.2</v>
      </c>
      <c r="P258">
        <f>IF(Titanic_Dataset[[#This Row],[Survived]]=1,Titanic_Dataset[[#This Row],[Fare]],NA())</f>
        <v>79.2</v>
      </c>
      <c r="Q258" t="e">
        <f>IF(Titanic_Dataset[[#This Row],[Survived]]=0,Titanic_Dataset[[#This Row],[Fare]],NA())</f>
        <v>#N/A</v>
      </c>
      <c r="R258" t="str">
        <f>VLOOKUP(Titanic_Dataset[[#This Row],[Fare]],Table2[],2,TRUE)</f>
        <v>very hiegh</v>
      </c>
      <c r="S258" s="1" t="s">
        <v>15</v>
      </c>
      <c r="T258" s="1" t="s">
        <v>21</v>
      </c>
      <c r="U258" s="1"/>
      <c r="V258" s="1"/>
      <c r="W258" s="1"/>
    </row>
    <row r="259" spans="1:23" x14ac:dyDescent="0.25">
      <c r="A259">
        <v>258</v>
      </c>
      <c r="B259">
        <v>1</v>
      </c>
      <c r="C259" t="str">
        <f>IF(Titanic_Dataset[[#This Row],[Survived]]=1,"Survived","Died")</f>
        <v>Survived</v>
      </c>
      <c r="D259">
        <v>1</v>
      </c>
      <c r="E259" t="str">
        <f>IF(Titanic_Dataset[[#This Row],[Pclass]]=1,"1st",IF(Titanic_Dataset[[#This Row],[Pclass]]=2,"2nd",IF(Titanic_Dataset[[#This Row],[Pclass]]=3,"3rd")))</f>
        <v>1st</v>
      </c>
      <c r="F259" s="1" t="s">
        <v>548</v>
      </c>
      <c r="G259" s="1" t="str">
        <f>TRIM(MID(Titanic_Dataset[[#This Row],[Name]],
FIND(",",Titanic_Dataset[[#This Row],[Name]])+2,
FIND(".",Titanic_Dataset[[#This Row],[Name]],FIND(",",Titanic_Dataset[[#This Row],[Name]]))-FIND(",",Titanic_Dataset[[#This Row],[Name]])-1))</f>
        <v>Miss.</v>
      </c>
      <c r="H259" s="1" t="s">
        <v>18</v>
      </c>
      <c r="I259">
        <v>30</v>
      </c>
      <c r="J259" t="str">
        <f>IF(Titanic_Dataset[[#This Row],[Age]]&lt;12,"0-11",
IF(Titanic_Dataset[[#This Row],[Age]]&lt;20,"12-19",
IF(Titanic_Dataset[[#This Row],[Age]]&lt;30,"20-29",
IF(Titanic_Dataset[[#This Row],[Age]]&lt;40,"30-39",
IF(Titanic_Dataset[[#This Row],[Age]]&lt;50,"40-49",
IF(Titanic_Dataset[[#This Row],[Age]]&lt;60,"50-59",
IF(Titanic_Dataset[[#This Row],[Age]]&lt;70,"60-69",)))))))</f>
        <v>30-39</v>
      </c>
      <c r="K259">
        <v>0</v>
      </c>
      <c r="L259">
        <v>0</v>
      </c>
      <c r="M259">
        <f>Titanic_Dataset[[#This Row],[Parch]]+Titanic_Dataset[[#This Row],[SibSp]]</f>
        <v>0</v>
      </c>
      <c r="N259" s="1" t="s">
        <v>549</v>
      </c>
      <c r="O259">
        <v>86.5</v>
      </c>
      <c r="P259">
        <f>IF(Titanic_Dataset[[#This Row],[Survived]]=1,Titanic_Dataset[[#This Row],[Fare]],NA())</f>
        <v>86.5</v>
      </c>
      <c r="Q259" t="e">
        <f>IF(Titanic_Dataset[[#This Row],[Survived]]=0,Titanic_Dataset[[#This Row],[Fare]],NA())</f>
        <v>#N/A</v>
      </c>
      <c r="R259" t="str">
        <f>VLOOKUP(Titanic_Dataset[[#This Row],[Fare]],Table2[],2,TRUE)</f>
        <v>very hiegh</v>
      </c>
      <c r="S259" s="1" t="s">
        <v>550</v>
      </c>
      <c r="T259" s="1" t="s">
        <v>16</v>
      </c>
      <c r="U259" s="1"/>
      <c r="V259" s="1"/>
      <c r="W259" s="1"/>
    </row>
    <row r="260" spans="1:23" x14ac:dyDescent="0.25">
      <c r="A260">
        <v>259</v>
      </c>
      <c r="B260">
        <v>1</v>
      </c>
      <c r="C260" t="str">
        <f>IF(Titanic_Dataset[[#This Row],[Survived]]=1,"Survived","Died")</f>
        <v>Survived</v>
      </c>
      <c r="D260">
        <v>1</v>
      </c>
      <c r="E260" t="str">
        <f>IF(Titanic_Dataset[[#This Row],[Pclass]]=1,"1st",IF(Titanic_Dataset[[#This Row],[Pclass]]=2,"2nd",IF(Titanic_Dataset[[#This Row],[Pclass]]=3,"3rd")))</f>
        <v>1st</v>
      </c>
      <c r="F260" s="1" t="s">
        <v>551</v>
      </c>
      <c r="G260" s="1" t="str">
        <f>TRIM(MID(Titanic_Dataset[[#This Row],[Name]],
FIND(",",Titanic_Dataset[[#This Row],[Name]])+2,
FIND(".",Titanic_Dataset[[#This Row],[Name]],FIND(",",Titanic_Dataset[[#This Row],[Name]]))-FIND(",",Titanic_Dataset[[#This Row],[Name]])-1))</f>
        <v>Miss.</v>
      </c>
      <c r="H260" s="1" t="s">
        <v>18</v>
      </c>
      <c r="I260">
        <v>35</v>
      </c>
      <c r="J260" t="str">
        <f>IF(Titanic_Dataset[[#This Row],[Age]]&lt;12,"0-11",
IF(Titanic_Dataset[[#This Row],[Age]]&lt;20,"12-19",
IF(Titanic_Dataset[[#This Row],[Age]]&lt;30,"20-29",
IF(Titanic_Dataset[[#This Row],[Age]]&lt;40,"30-39",
IF(Titanic_Dataset[[#This Row],[Age]]&lt;50,"40-49",
IF(Titanic_Dataset[[#This Row],[Age]]&lt;60,"50-59",
IF(Titanic_Dataset[[#This Row],[Age]]&lt;70,"60-69",)))))))</f>
        <v>30-39</v>
      </c>
      <c r="K260">
        <v>0</v>
      </c>
      <c r="L260">
        <v>0</v>
      </c>
      <c r="M260">
        <f>Titanic_Dataset[[#This Row],[Parch]]+Titanic_Dataset[[#This Row],[SibSp]]</f>
        <v>0</v>
      </c>
      <c r="N260" s="1" t="s">
        <v>552</v>
      </c>
      <c r="O260">
        <v>512.32920000000001</v>
      </c>
      <c r="P260">
        <f>IF(Titanic_Dataset[[#This Row],[Survived]]=1,Titanic_Dataset[[#This Row],[Fare]],NA())</f>
        <v>512.32920000000001</v>
      </c>
      <c r="Q260" t="e">
        <f>IF(Titanic_Dataset[[#This Row],[Survived]]=0,Titanic_Dataset[[#This Row],[Fare]],NA())</f>
        <v>#N/A</v>
      </c>
      <c r="R260" t="str">
        <f>VLOOKUP(Titanic_Dataset[[#This Row],[Fare]],Table2[],2,TRUE)</f>
        <v>very hiegh</v>
      </c>
      <c r="S260" s="1" t="s">
        <v>15</v>
      </c>
      <c r="T260" s="1" t="s">
        <v>21</v>
      </c>
      <c r="U260" s="1"/>
      <c r="V260" s="1"/>
      <c r="W260" s="1"/>
    </row>
    <row r="261" spans="1:23" x14ac:dyDescent="0.25">
      <c r="A261">
        <v>260</v>
      </c>
      <c r="B261">
        <v>1</v>
      </c>
      <c r="C261" t="str">
        <f>IF(Titanic_Dataset[[#This Row],[Survived]]=1,"Survived","Died")</f>
        <v>Survived</v>
      </c>
      <c r="D261">
        <v>2</v>
      </c>
      <c r="E261" t="str">
        <f>IF(Titanic_Dataset[[#This Row],[Pclass]]=1,"1st",IF(Titanic_Dataset[[#This Row],[Pclass]]=2,"2nd",IF(Titanic_Dataset[[#This Row],[Pclass]]=3,"3rd")))</f>
        <v>2nd</v>
      </c>
      <c r="F261" s="1" t="s">
        <v>553</v>
      </c>
      <c r="G261" s="1" t="str">
        <f>TRIM(MID(Titanic_Dataset[[#This Row],[Name]],
FIND(",",Titanic_Dataset[[#This Row],[Name]])+2,
FIND(".",Titanic_Dataset[[#This Row],[Name]],FIND(",",Titanic_Dataset[[#This Row],[Name]]))-FIND(",",Titanic_Dataset[[#This Row],[Name]])-1))</f>
        <v>Mrs.</v>
      </c>
      <c r="H261" s="1" t="s">
        <v>18</v>
      </c>
      <c r="I261">
        <v>50</v>
      </c>
      <c r="J261" t="str">
        <f>IF(Titanic_Dataset[[#This Row],[Age]]&lt;12,"0-11",
IF(Titanic_Dataset[[#This Row],[Age]]&lt;20,"12-19",
IF(Titanic_Dataset[[#This Row],[Age]]&lt;30,"20-29",
IF(Titanic_Dataset[[#This Row],[Age]]&lt;40,"30-39",
IF(Titanic_Dataset[[#This Row],[Age]]&lt;50,"40-49",
IF(Titanic_Dataset[[#This Row],[Age]]&lt;60,"50-59",
IF(Titanic_Dataset[[#This Row],[Age]]&lt;70,"60-69",)))))))</f>
        <v>50-59</v>
      </c>
      <c r="K261">
        <v>0</v>
      </c>
      <c r="L261">
        <v>1</v>
      </c>
      <c r="M261">
        <f>Titanic_Dataset[[#This Row],[Parch]]+Titanic_Dataset[[#This Row],[SibSp]]</f>
        <v>1</v>
      </c>
      <c r="N261" s="1" t="s">
        <v>554</v>
      </c>
      <c r="O261">
        <v>26</v>
      </c>
      <c r="P261">
        <f>IF(Titanic_Dataset[[#This Row],[Survived]]=1,Titanic_Dataset[[#This Row],[Fare]],NA())</f>
        <v>26</v>
      </c>
      <c r="Q261" t="e">
        <f>IF(Titanic_Dataset[[#This Row],[Survived]]=0,Titanic_Dataset[[#This Row],[Fare]],NA())</f>
        <v>#N/A</v>
      </c>
      <c r="R261" t="str">
        <f>VLOOKUP(Titanic_Dataset[[#This Row],[Fare]],Table2[],2,TRUE)</f>
        <v>high</v>
      </c>
      <c r="S261" s="1" t="s">
        <v>15</v>
      </c>
      <c r="T261" s="1" t="s">
        <v>16</v>
      </c>
      <c r="U261" s="1"/>
      <c r="V261" s="1"/>
      <c r="W261" s="1"/>
    </row>
    <row r="262" spans="1:23" x14ac:dyDescent="0.25">
      <c r="A262">
        <v>261</v>
      </c>
      <c r="B262">
        <v>0</v>
      </c>
      <c r="C262" t="str">
        <f>IF(Titanic_Dataset[[#This Row],[Survived]]=1,"Survived","Died")</f>
        <v>Died</v>
      </c>
      <c r="D262">
        <v>3</v>
      </c>
      <c r="E262" t="str">
        <f>IF(Titanic_Dataset[[#This Row],[Pclass]]=1,"1st",IF(Titanic_Dataset[[#This Row],[Pclass]]=2,"2nd",IF(Titanic_Dataset[[#This Row],[Pclass]]=3,"3rd")))</f>
        <v>3rd</v>
      </c>
      <c r="F262" s="1" t="s">
        <v>555</v>
      </c>
      <c r="G262" s="1" t="str">
        <f>TRIM(MID(Titanic_Dataset[[#This Row],[Name]],
FIND(",",Titanic_Dataset[[#This Row],[Name]])+2,
FIND(".",Titanic_Dataset[[#This Row],[Name]],FIND(",",Titanic_Dataset[[#This Row],[Name]]))-FIND(",",Titanic_Dataset[[#This Row],[Name]])-1))</f>
        <v>Mr.</v>
      </c>
      <c r="H262" s="1" t="s">
        <v>13</v>
      </c>
      <c r="I262">
        <v>28</v>
      </c>
      <c r="J26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62">
        <v>0</v>
      </c>
      <c r="L262">
        <v>0</v>
      </c>
      <c r="M262">
        <f>Titanic_Dataset[[#This Row],[Parch]]+Titanic_Dataset[[#This Row],[SibSp]]</f>
        <v>0</v>
      </c>
      <c r="N262" s="1" t="s">
        <v>556</v>
      </c>
      <c r="O262">
        <v>7.75</v>
      </c>
      <c r="P262" t="e">
        <f>IF(Titanic_Dataset[[#This Row],[Survived]]=1,Titanic_Dataset[[#This Row],[Fare]],NA())</f>
        <v>#N/A</v>
      </c>
      <c r="Q262">
        <f>IF(Titanic_Dataset[[#This Row],[Survived]]=0,Titanic_Dataset[[#This Row],[Fare]],NA())</f>
        <v>7.75</v>
      </c>
      <c r="R262" t="str">
        <f>VLOOKUP(Titanic_Dataset[[#This Row],[Fare]],Table2[],2,TRUE)</f>
        <v>low</v>
      </c>
      <c r="S262" s="1" t="s">
        <v>15</v>
      </c>
      <c r="T262" s="1" t="s">
        <v>31</v>
      </c>
      <c r="U262" s="1"/>
      <c r="V262" s="1"/>
      <c r="W262" s="1"/>
    </row>
    <row r="263" spans="1:23" x14ac:dyDescent="0.25">
      <c r="A263">
        <v>262</v>
      </c>
      <c r="B263">
        <v>1</v>
      </c>
      <c r="C263" t="str">
        <f>IF(Titanic_Dataset[[#This Row],[Survived]]=1,"Survived","Died")</f>
        <v>Survived</v>
      </c>
      <c r="D263">
        <v>3</v>
      </c>
      <c r="E263" t="str">
        <f>IF(Titanic_Dataset[[#This Row],[Pclass]]=1,"1st",IF(Titanic_Dataset[[#This Row],[Pclass]]=2,"2nd",IF(Titanic_Dataset[[#This Row],[Pclass]]=3,"3rd")))</f>
        <v>3rd</v>
      </c>
      <c r="F263" s="1" t="s">
        <v>557</v>
      </c>
      <c r="G263" s="1" t="str">
        <f>TRIM(MID(Titanic_Dataset[[#This Row],[Name]],
FIND(",",Titanic_Dataset[[#This Row],[Name]])+2,
FIND(".",Titanic_Dataset[[#This Row],[Name]],FIND(",",Titanic_Dataset[[#This Row],[Name]]))-FIND(",",Titanic_Dataset[[#This Row],[Name]])-1))</f>
        <v>Master.</v>
      </c>
      <c r="H263" s="1" t="s">
        <v>13</v>
      </c>
      <c r="I263">
        <v>3</v>
      </c>
      <c r="J263" t="str">
        <f>IF(Titanic_Dataset[[#This Row],[Age]]&lt;12,"0-11",
IF(Titanic_Dataset[[#This Row],[Age]]&lt;20,"12-19",
IF(Titanic_Dataset[[#This Row],[Age]]&lt;30,"20-29",
IF(Titanic_Dataset[[#This Row],[Age]]&lt;40,"30-39",
IF(Titanic_Dataset[[#This Row],[Age]]&lt;50,"40-49",
IF(Titanic_Dataset[[#This Row],[Age]]&lt;60,"50-59",
IF(Titanic_Dataset[[#This Row],[Age]]&lt;70,"60-69",)))))))</f>
        <v>0-11</v>
      </c>
      <c r="K263">
        <v>4</v>
      </c>
      <c r="L263">
        <v>2</v>
      </c>
      <c r="M263">
        <f>Titanic_Dataset[[#This Row],[Parch]]+Titanic_Dataset[[#This Row],[SibSp]]</f>
        <v>6</v>
      </c>
      <c r="N263" s="1" t="s">
        <v>75</v>
      </c>
      <c r="O263">
        <v>31.387499999999999</v>
      </c>
      <c r="P263">
        <f>IF(Titanic_Dataset[[#This Row],[Survived]]=1,Titanic_Dataset[[#This Row],[Fare]],NA())</f>
        <v>31.387499999999999</v>
      </c>
      <c r="Q263" t="e">
        <f>IF(Titanic_Dataset[[#This Row],[Survived]]=0,Titanic_Dataset[[#This Row],[Fare]],NA())</f>
        <v>#N/A</v>
      </c>
      <c r="R263" t="str">
        <f>VLOOKUP(Titanic_Dataset[[#This Row],[Fare]],Table2[],2,TRUE)</f>
        <v>very hiegh</v>
      </c>
      <c r="S263" s="1" t="s">
        <v>15</v>
      </c>
      <c r="T263" s="1" t="s">
        <v>16</v>
      </c>
      <c r="U263" s="1"/>
      <c r="V263" s="1"/>
      <c r="W263" s="1"/>
    </row>
    <row r="264" spans="1:23" x14ac:dyDescent="0.25">
      <c r="A264">
        <v>263</v>
      </c>
      <c r="B264">
        <v>0</v>
      </c>
      <c r="C264" t="str">
        <f>IF(Titanic_Dataset[[#This Row],[Survived]]=1,"Survived","Died")</f>
        <v>Died</v>
      </c>
      <c r="D264">
        <v>1</v>
      </c>
      <c r="E264" t="str">
        <f>IF(Titanic_Dataset[[#This Row],[Pclass]]=1,"1st",IF(Titanic_Dataset[[#This Row],[Pclass]]=2,"2nd",IF(Titanic_Dataset[[#This Row],[Pclass]]=3,"3rd")))</f>
        <v>1st</v>
      </c>
      <c r="F264" s="1" t="s">
        <v>558</v>
      </c>
      <c r="G264" s="1" t="str">
        <f>TRIM(MID(Titanic_Dataset[[#This Row],[Name]],
FIND(",",Titanic_Dataset[[#This Row],[Name]])+2,
FIND(".",Titanic_Dataset[[#This Row],[Name]],FIND(",",Titanic_Dataset[[#This Row],[Name]]))-FIND(",",Titanic_Dataset[[#This Row],[Name]])-1))</f>
        <v>Mr.</v>
      </c>
      <c r="H264" s="1" t="s">
        <v>13</v>
      </c>
      <c r="I264">
        <v>52</v>
      </c>
      <c r="J264" t="str">
        <f>IF(Titanic_Dataset[[#This Row],[Age]]&lt;12,"0-11",
IF(Titanic_Dataset[[#This Row],[Age]]&lt;20,"12-19",
IF(Titanic_Dataset[[#This Row],[Age]]&lt;30,"20-29",
IF(Titanic_Dataset[[#This Row],[Age]]&lt;40,"30-39",
IF(Titanic_Dataset[[#This Row],[Age]]&lt;50,"40-49",
IF(Titanic_Dataset[[#This Row],[Age]]&lt;60,"50-59",
IF(Titanic_Dataset[[#This Row],[Age]]&lt;70,"60-69",)))))))</f>
        <v>50-59</v>
      </c>
      <c r="K264">
        <v>1</v>
      </c>
      <c r="L264">
        <v>1</v>
      </c>
      <c r="M264">
        <f>Titanic_Dataset[[#This Row],[Parch]]+Titanic_Dataset[[#This Row],[SibSp]]</f>
        <v>2</v>
      </c>
      <c r="N264" s="1" t="s">
        <v>559</v>
      </c>
      <c r="O264">
        <v>79.650000000000006</v>
      </c>
      <c r="P264" t="e">
        <f>IF(Titanic_Dataset[[#This Row],[Survived]]=1,Titanic_Dataset[[#This Row],[Fare]],NA())</f>
        <v>#N/A</v>
      </c>
      <c r="Q264">
        <f>IF(Titanic_Dataset[[#This Row],[Survived]]=0,Titanic_Dataset[[#This Row],[Fare]],NA())</f>
        <v>79.650000000000006</v>
      </c>
      <c r="R264" t="str">
        <f>VLOOKUP(Titanic_Dataset[[#This Row],[Fare]],Table2[],2,TRUE)</f>
        <v>very hiegh</v>
      </c>
      <c r="S264" s="1" t="s">
        <v>560</v>
      </c>
      <c r="T264" s="1" t="s">
        <v>16</v>
      </c>
      <c r="U264" s="1"/>
      <c r="V264" s="1"/>
      <c r="W264" s="1"/>
    </row>
    <row r="265" spans="1:23" x14ac:dyDescent="0.25">
      <c r="A265">
        <v>264</v>
      </c>
      <c r="B265">
        <v>0</v>
      </c>
      <c r="C265" t="str">
        <f>IF(Titanic_Dataset[[#This Row],[Survived]]=1,"Survived","Died")</f>
        <v>Died</v>
      </c>
      <c r="D265">
        <v>1</v>
      </c>
      <c r="E265" t="str">
        <f>IF(Titanic_Dataset[[#This Row],[Pclass]]=1,"1st",IF(Titanic_Dataset[[#This Row],[Pclass]]=2,"2nd",IF(Titanic_Dataset[[#This Row],[Pclass]]=3,"3rd")))</f>
        <v>1st</v>
      </c>
      <c r="F265" s="1" t="s">
        <v>561</v>
      </c>
      <c r="G265" s="1" t="str">
        <f>TRIM(MID(Titanic_Dataset[[#This Row],[Name]],
FIND(",",Titanic_Dataset[[#This Row],[Name]])+2,
FIND(".",Titanic_Dataset[[#This Row],[Name]],FIND(",",Titanic_Dataset[[#This Row],[Name]]))-FIND(",",Titanic_Dataset[[#This Row],[Name]])-1))</f>
        <v>Mr.</v>
      </c>
      <c r="H265" s="1" t="s">
        <v>13</v>
      </c>
      <c r="I265">
        <v>40</v>
      </c>
      <c r="J265" t="str">
        <f>IF(Titanic_Dataset[[#This Row],[Age]]&lt;12,"0-11",
IF(Titanic_Dataset[[#This Row],[Age]]&lt;20,"12-19",
IF(Titanic_Dataset[[#This Row],[Age]]&lt;30,"20-29",
IF(Titanic_Dataset[[#This Row],[Age]]&lt;40,"30-39",
IF(Titanic_Dataset[[#This Row],[Age]]&lt;50,"40-49",
IF(Titanic_Dataset[[#This Row],[Age]]&lt;60,"50-59",
IF(Titanic_Dataset[[#This Row],[Age]]&lt;70,"60-69",)))))))</f>
        <v>40-49</v>
      </c>
      <c r="K265">
        <v>0</v>
      </c>
      <c r="L265">
        <v>0</v>
      </c>
      <c r="M265">
        <f>Titanic_Dataset[[#This Row],[Parch]]+Titanic_Dataset[[#This Row],[SibSp]]</f>
        <v>0</v>
      </c>
      <c r="N265" s="1" t="s">
        <v>562</v>
      </c>
      <c r="O265">
        <v>0</v>
      </c>
      <c r="P265" t="e">
        <f>IF(Titanic_Dataset[[#This Row],[Survived]]=1,Titanic_Dataset[[#This Row],[Fare]],NA())</f>
        <v>#N/A</v>
      </c>
      <c r="Q265">
        <f>IF(Titanic_Dataset[[#This Row],[Survived]]=0,Titanic_Dataset[[#This Row],[Fare]],NA())</f>
        <v>0</v>
      </c>
      <c r="R265" t="str">
        <f>VLOOKUP(Titanic_Dataset[[#This Row],[Fare]],Table2[],2,TRUE)</f>
        <v>low</v>
      </c>
      <c r="S265" s="1" t="s">
        <v>563</v>
      </c>
      <c r="T265" s="1" t="s">
        <v>16</v>
      </c>
      <c r="U265" s="1"/>
      <c r="V265" s="1"/>
      <c r="W265" s="1"/>
    </row>
    <row r="266" spans="1:23" x14ac:dyDescent="0.25">
      <c r="A266">
        <v>265</v>
      </c>
      <c r="B266">
        <v>0</v>
      </c>
      <c r="C266" t="str">
        <f>IF(Titanic_Dataset[[#This Row],[Survived]]=1,"Survived","Died")</f>
        <v>Died</v>
      </c>
      <c r="D266">
        <v>3</v>
      </c>
      <c r="E266" t="str">
        <f>IF(Titanic_Dataset[[#This Row],[Pclass]]=1,"1st",IF(Titanic_Dataset[[#This Row],[Pclass]]=2,"2nd",IF(Titanic_Dataset[[#This Row],[Pclass]]=3,"3rd")))</f>
        <v>3rd</v>
      </c>
      <c r="F266" s="1" t="s">
        <v>564</v>
      </c>
      <c r="G266" s="1" t="str">
        <f>TRIM(MID(Titanic_Dataset[[#This Row],[Name]],
FIND(",",Titanic_Dataset[[#This Row],[Name]])+2,
FIND(".",Titanic_Dataset[[#This Row],[Name]],FIND(",",Titanic_Dataset[[#This Row],[Name]]))-FIND(",",Titanic_Dataset[[#This Row],[Name]])-1))</f>
        <v>Miss.</v>
      </c>
      <c r="H266" s="1" t="s">
        <v>18</v>
      </c>
      <c r="I266">
        <v>28</v>
      </c>
      <c r="J26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66">
        <v>0</v>
      </c>
      <c r="L266">
        <v>0</v>
      </c>
      <c r="M266">
        <f>Titanic_Dataset[[#This Row],[Parch]]+Titanic_Dataset[[#This Row],[SibSp]]</f>
        <v>0</v>
      </c>
      <c r="N266" s="1" t="s">
        <v>565</v>
      </c>
      <c r="O266">
        <v>7.75</v>
      </c>
      <c r="P266" t="e">
        <f>IF(Titanic_Dataset[[#This Row],[Survived]]=1,Titanic_Dataset[[#This Row],[Fare]],NA())</f>
        <v>#N/A</v>
      </c>
      <c r="Q266">
        <f>IF(Titanic_Dataset[[#This Row],[Survived]]=0,Titanic_Dataset[[#This Row],[Fare]],NA())</f>
        <v>7.75</v>
      </c>
      <c r="R266" t="str">
        <f>VLOOKUP(Titanic_Dataset[[#This Row],[Fare]],Table2[],2,TRUE)</f>
        <v>low</v>
      </c>
      <c r="S266" s="1" t="s">
        <v>15</v>
      </c>
      <c r="T266" s="1" t="s">
        <v>31</v>
      </c>
      <c r="U266" s="1"/>
      <c r="V266" s="1"/>
      <c r="W266" s="1"/>
    </row>
    <row r="267" spans="1:23" x14ac:dyDescent="0.25">
      <c r="A267">
        <v>266</v>
      </c>
      <c r="B267">
        <v>0</v>
      </c>
      <c r="C267" t="str">
        <f>IF(Titanic_Dataset[[#This Row],[Survived]]=1,"Survived","Died")</f>
        <v>Died</v>
      </c>
      <c r="D267">
        <v>2</v>
      </c>
      <c r="E267" t="str">
        <f>IF(Titanic_Dataset[[#This Row],[Pclass]]=1,"1st",IF(Titanic_Dataset[[#This Row],[Pclass]]=2,"2nd",IF(Titanic_Dataset[[#This Row],[Pclass]]=3,"3rd")))</f>
        <v>2nd</v>
      </c>
      <c r="F267" s="1" t="s">
        <v>566</v>
      </c>
      <c r="G267" s="1" t="str">
        <f>TRIM(MID(Titanic_Dataset[[#This Row],[Name]],
FIND(",",Titanic_Dataset[[#This Row],[Name]])+2,
FIND(".",Titanic_Dataset[[#This Row],[Name]],FIND(",",Titanic_Dataset[[#This Row],[Name]]))-FIND(",",Titanic_Dataset[[#This Row],[Name]])-1))</f>
        <v>Mr.</v>
      </c>
      <c r="H267" s="1" t="s">
        <v>13</v>
      </c>
      <c r="I267">
        <v>36</v>
      </c>
      <c r="J267" t="str">
        <f>IF(Titanic_Dataset[[#This Row],[Age]]&lt;12,"0-11",
IF(Titanic_Dataset[[#This Row],[Age]]&lt;20,"12-19",
IF(Titanic_Dataset[[#This Row],[Age]]&lt;30,"20-29",
IF(Titanic_Dataset[[#This Row],[Age]]&lt;40,"30-39",
IF(Titanic_Dataset[[#This Row],[Age]]&lt;50,"40-49",
IF(Titanic_Dataset[[#This Row],[Age]]&lt;60,"50-59",
IF(Titanic_Dataset[[#This Row],[Age]]&lt;70,"60-69",)))))))</f>
        <v>30-39</v>
      </c>
      <c r="K267">
        <v>0</v>
      </c>
      <c r="L267">
        <v>0</v>
      </c>
      <c r="M267">
        <f>Titanic_Dataset[[#This Row],[Parch]]+Titanic_Dataset[[#This Row],[SibSp]]</f>
        <v>0</v>
      </c>
      <c r="N267" s="1" t="s">
        <v>567</v>
      </c>
      <c r="O267">
        <v>10.5</v>
      </c>
      <c r="P267" t="e">
        <f>IF(Titanic_Dataset[[#This Row],[Survived]]=1,Titanic_Dataset[[#This Row],[Fare]],NA())</f>
        <v>#N/A</v>
      </c>
      <c r="Q267">
        <f>IF(Titanic_Dataset[[#This Row],[Survived]]=0,Titanic_Dataset[[#This Row],[Fare]],NA())</f>
        <v>10.5</v>
      </c>
      <c r="R267" t="str">
        <f>VLOOKUP(Titanic_Dataset[[#This Row],[Fare]],Table2[],2,TRUE)</f>
        <v>medium</v>
      </c>
      <c r="S267" s="1" t="s">
        <v>15</v>
      </c>
      <c r="T267" s="1" t="s">
        <v>16</v>
      </c>
      <c r="U267" s="1"/>
      <c r="V267" s="1"/>
      <c r="W267" s="1"/>
    </row>
    <row r="268" spans="1:23" x14ac:dyDescent="0.25">
      <c r="A268">
        <v>267</v>
      </c>
      <c r="B268">
        <v>0</v>
      </c>
      <c r="C268" t="str">
        <f>IF(Titanic_Dataset[[#This Row],[Survived]]=1,"Survived","Died")</f>
        <v>Died</v>
      </c>
      <c r="D268">
        <v>3</v>
      </c>
      <c r="E268" t="str">
        <f>IF(Titanic_Dataset[[#This Row],[Pclass]]=1,"1st",IF(Titanic_Dataset[[#This Row],[Pclass]]=2,"2nd",IF(Titanic_Dataset[[#This Row],[Pclass]]=3,"3rd")))</f>
        <v>3rd</v>
      </c>
      <c r="F268" s="1" t="s">
        <v>568</v>
      </c>
      <c r="G268" s="1" t="str">
        <f>TRIM(MID(Titanic_Dataset[[#This Row],[Name]],
FIND(",",Titanic_Dataset[[#This Row],[Name]])+2,
FIND(".",Titanic_Dataset[[#This Row],[Name]],FIND(",",Titanic_Dataset[[#This Row],[Name]]))-FIND(",",Titanic_Dataset[[#This Row],[Name]])-1))</f>
        <v>Mr.</v>
      </c>
      <c r="H268" s="1" t="s">
        <v>13</v>
      </c>
      <c r="I268">
        <v>16</v>
      </c>
      <c r="J268" t="str">
        <f>IF(Titanic_Dataset[[#This Row],[Age]]&lt;12,"0-11",
IF(Titanic_Dataset[[#This Row],[Age]]&lt;20,"12-19",
IF(Titanic_Dataset[[#This Row],[Age]]&lt;30,"20-29",
IF(Titanic_Dataset[[#This Row],[Age]]&lt;40,"30-39",
IF(Titanic_Dataset[[#This Row],[Age]]&lt;50,"40-49",
IF(Titanic_Dataset[[#This Row],[Age]]&lt;60,"50-59",
IF(Titanic_Dataset[[#This Row],[Age]]&lt;70,"60-69",)))))))</f>
        <v>12-19</v>
      </c>
      <c r="K268">
        <v>4</v>
      </c>
      <c r="L268">
        <v>1</v>
      </c>
      <c r="M268">
        <f>Titanic_Dataset[[#This Row],[Parch]]+Titanic_Dataset[[#This Row],[SibSp]]</f>
        <v>5</v>
      </c>
      <c r="N268" s="1" t="s">
        <v>127</v>
      </c>
      <c r="O268">
        <v>39.6875</v>
      </c>
      <c r="P268" t="e">
        <f>IF(Titanic_Dataset[[#This Row],[Survived]]=1,Titanic_Dataset[[#This Row],[Fare]],NA())</f>
        <v>#N/A</v>
      </c>
      <c r="Q268">
        <f>IF(Titanic_Dataset[[#This Row],[Survived]]=0,Titanic_Dataset[[#This Row],[Fare]],NA())</f>
        <v>39.6875</v>
      </c>
      <c r="R268" t="str">
        <f>VLOOKUP(Titanic_Dataset[[#This Row],[Fare]],Table2[],2,TRUE)</f>
        <v>very hiegh</v>
      </c>
      <c r="S268" s="1" t="s">
        <v>15</v>
      </c>
      <c r="T268" s="1" t="s">
        <v>16</v>
      </c>
      <c r="U268" s="1"/>
      <c r="V268" s="1"/>
      <c r="W268" s="1"/>
    </row>
    <row r="269" spans="1:23" x14ac:dyDescent="0.25">
      <c r="A269">
        <v>268</v>
      </c>
      <c r="B269">
        <v>1</v>
      </c>
      <c r="C269" t="str">
        <f>IF(Titanic_Dataset[[#This Row],[Survived]]=1,"Survived","Died")</f>
        <v>Survived</v>
      </c>
      <c r="D269">
        <v>3</v>
      </c>
      <c r="E269" t="str">
        <f>IF(Titanic_Dataset[[#This Row],[Pclass]]=1,"1st",IF(Titanic_Dataset[[#This Row],[Pclass]]=2,"2nd",IF(Titanic_Dataset[[#This Row],[Pclass]]=3,"3rd")))</f>
        <v>3rd</v>
      </c>
      <c r="F269" s="1" t="s">
        <v>569</v>
      </c>
      <c r="G269" s="1" t="str">
        <f>TRIM(MID(Titanic_Dataset[[#This Row],[Name]],
FIND(",",Titanic_Dataset[[#This Row],[Name]])+2,
FIND(".",Titanic_Dataset[[#This Row],[Name]],FIND(",",Titanic_Dataset[[#This Row],[Name]]))-FIND(",",Titanic_Dataset[[#This Row],[Name]])-1))</f>
        <v>Mr.</v>
      </c>
      <c r="H269" s="1" t="s">
        <v>13</v>
      </c>
      <c r="I269">
        <v>25</v>
      </c>
      <c r="J26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69">
        <v>1</v>
      </c>
      <c r="L269">
        <v>0</v>
      </c>
      <c r="M269">
        <f>Titanic_Dataset[[#This Row],[Parch]]+Titanic_Dataset[[#This Row],[SibSp]]</f>
        <v>1</v>
      </c>
      <c r="N269" s="1" t="s">
        <v>570</v>
      </c>
      <c r="O269">
        <v>7.7750000000000004</v>
      </c>
      <c r="P269">
        <f>IF(Titanic_Dataset[[#This Row],[Survived]]=1,Titanic_Dataset[[#This Row],[Fare]],NA())</f>
        <v>7.7750000000000004</v>
      </c>
      <c r="Q269" t="e">
        <f>IF(Titanic_Dataset[[#This Row],[Survived]]=0,Titanic_Dataset[[#This Row],[Fare]],NA())</f>
        <v>#N/A</v>
      </c>
      <c r="R269" t="str">
        <f>VLOOKUP(Titanic_Dataset[[#This Row],[Fare]],Table2[],2,TRUE)</f>
        <v>low</v>
      </c>
      <c r="S269" s="1" t="s">
        <v>15</v>
      </c>
      <c r="T269" s="1" t="s">
        <v>16</v>
      </c>
      <c r="U269" s="1"/>
      <c r="V269" s="1"/>
      <c r="W269" s="1"/>
    </row>
    <row r="270" spans="1:23" x14ac:dyDescent="0.25">
      <c r="A270">
        <v>269</v>
      </c>
      <c r="B270">
        <v>1</v>
      </c>
      <c r="C270" t="str">
        <f>IF(Titanic_Dataset[[#This Row],[Survived]]=1,"Survived","Died")</f>
        <v>Survived</v>
      </c>
      <c r="D270">
        <v>1</v>
      </c>
      <c r="E270" t="str">
        <f>IF(Titanic_Dataset[[#This Row],[Pclass]]=1,"1st",IF(Titanic_Dataset[[#This Row],[Pclass]]=2,"2nd",IF(Titanic_Dataset[[#This Row],[Pclass]]=3,"3rd")))</f>
        <v>1st</v>
      </c>
      <c r="F270" s="1" t="s">
        <v>571</v>
      </c>
      <c r="G270" s="1" t="str">
        <f>TRIM(MID(Titanic_Dataset[[#This Row],[Name]],
FIND(",",Titanic_Dataset[[#This Row],[Name]])+2,
FIND(".",Titanic_Dataset[[#This Row],[Name]],FIND(",",Titanic_Dataset[[#This Row],[Name]]))-FIND(",",Titanic_Dataset[[#This Row],[Name]])-1))</f>
        <v>Mrs.</v>
      </c>
      <c r="H270" s="1" t="s">
        <v>18</v>
      </c>
      <c r="I270">
        <v>58</v>
      </c>
      <c r="J270" t="str">
        <f>IF(Titanic_Dataset[[#This Row],[Age]]&lt;12,"0-11",
IF(Titanic_Dataset[[#This Row],[Age]]&lt;20,"12-19",
IF(Titanic_Dataset[[#This Row],[Age]]&lt;30,"20-29",
IF(Titanic_Dataset[[#This Row],[Age]]&lt;40,"30-39",
IF(Titanic_Dataset[[#This Row],[Age]]&lt;50,"40-49",
IF(Titanic_Dataset[[#This Row],[Age]]&lt;60,"50-59",
IF(Titanic_Dataset[[#This Row],[Age]]&lt;70,"60-69",)))))))</f>
        <v>50-59</v>
      </c>
      <c r="K270">
        <v>0</v>
      </c>
      <c r="L270">
        <v>1</v>
      </c>
      <c r="M270">
        <f>Titanic_Dataset[[#This Row],[Parch]]+Titanic_Dataset[[#This Row],[SibSp]]</f>
        <v>1</v>
      </c>
      <c r="N270" s="1" t="s">
        <v>572</v>
      </c>
      <c r="O270">
        <v>153.46250000000001</v>
      </c>
      <c r="P270">
        <f>IF(Titanic_Dataset[[#This Row],[Survived]]=1,Titanic_Dataset[[#This Row],[Fare]],NA())</f>
        <v>153.46250000000001</v>
      </c>
      <c r="Q270" t="e">
        <f>IF(Titanic_Dataset[[#This Row],[Survived]]=0,Titanic_Dataset[[#This Row],[Fare]],NA())</f>
        <v>#N/A</v>
      </c>
      <c r="R270" t="str">
        <f>VLOOKUP(Titanic_Dataset[[#This Row],[Fare]],Table2[],2,TRUE)</f>
        <v>very hiegh</v>
      </c>
      <c r="S270" s="1" t="s">
        <v>573</v>
      </c>
      <c r="T270" s="1" t="s">
        <v>16</v>
      </c>
      <c r="U270" s="1"/>
      <c r="V270" s="1"/>
      <c r="W270" s="1"/>
    </row>
    <row r="271" spans="1:23" x14ac:dyDescent="0.25">
      <c r="A271">
        <v>270</v>
      </c>
      <c r="B271">
        <v>1</v>
      </c>
      <c r="C271" t="str">
        <f>IF(Titanic_Dataset[[#This Row],[Survived]]=1,"Survived","Died")</f>
        <v>Survived</v>
      </c>
      <c r="D271">
        <v>1</v>
      </c>
      <c r="E271" t="str">
        <f>IF(Titanic_Dataset[[#This Row],[Pclass]]=1,"1st",IF(Titanic_Dataset[[#This Row],[Pclass]]=2,"2nd",IF(Titanic_Dataset[[#This Row],[Pclass]]=3,"3rd")))</f>
        <v>1st</v>
      </c>
      <c r="F271" s="1" t="s">
        <v>574</v>
      </c>
      <c r="G271" s="1" t="str">
        <f>TRIM(MID(Titanic_Dataset[[#This Row],[Name]],
FIND(",",Titanic_Dataset[[#This Row],[Name]])+2,
FIND(".",Titanic_Dataset[[#This Row],[Name]],FIND(",",Titanic_Dataset[[#This Row],[Name]]))-FIND(",",Titanic_Dataset[[#This Row],[Name]])-1))</f>
        <v>Miss.</v>
      </c>
      <c r="H271" s="1" t="s">
        <v>18</v>
      </c>
      <c r="I271">
        <v>35</v>
      </c>
      <c r="J271" t="str">
        <f>IF(Titanic_Dataset[[#This Row],[Age]]&lt;12,"0-11",
IF(Titanic_Dataset[[#This Row],[Age]]&lt;20,"12-19",
IF(Titanic_Dataset[[#This Row],[Age]]&lt;30,"20-29",
IF(Titanic_Dataset[[#This Row],[Age]]&lt;40,"30-39",
IF(Titanic_Dataset[[#This Row],[Age]]&lt;50,"40-49",
IF(Titanic_Dataset[[#This Row],[Age]]&lt;60,"50-59",
IF(Titanic_Dataset[[#This Row],[Age]]&lt;70,"60-69",)))))))</f>
        <v>30-39</v>
      </c>
      <c r="K271">
        <v>0</v>
      </c>
      <c r="L271">
        <v>0</v>
      </c>
      <c r="M271">
        <f>Titanic_Dataset[[#This Row],[Parch]]+Titanic_Dataset[[#This Row],[SibSp]]</f>
        <v>0</v>
      </c>
      <c r="N271" s="1" t="s">
        <v>575</v>
      </c>
      <c r="O271">
        <v>135.63329999999999</v>
      </c>
      <c r="P271">
        <f>IF(Titanic_Dataset[[#This Row],[Survived]]=1,Titanic_Dataset[[#This Row],[Fare]],NA())</f>
        <v>135.63329999999999</v>
      </c>
      <c r="Q271" t="e">
        <f>IF(Titanic_Dataset[[#This Row],[Survived]]=0,Titanic_Dataset[[#This Row],[Fare]],NA())</f>
        <v>#N/A</v>
      </c>
      <c r="R271" t="str">
        <f>VLOOKUP(Titanic_Dataset[[#This Row],[Fare]],Table2[],2,TRUE)</f>
        <v>very hiegh</v>
      </c>
      <c r="S271" s="1" t="s">
        <v>576</v>
      </c>
      <c r="T271" s="1" t="s">
        <v>16</v>
      </c>
      <c r="U271" s="1"/>
      <c r="V271" s="1"/>
      <c r="W271" s="1"/>
    </row>
    <row r="272" spans="1:23" x14ac:dyDescent="0.25">
      <c r="A272">
        <v>271</v>
      </c>
      <c r="B272">
        <v>0</v>
      </c>
      <c r="C272" t="str">
        <f>IF(Titanic_Dataset[[#This Row],[Survived]]=1,"Survived","Died")</f>
        <v>Died</v>
      </c>
      <c r="D272">
        <v>1</v>
      </c>
      <c r="E272" t="str">
        <f>IF(Titanic_Dataset[[#This Row],[Pclass]]=1,"1st",IF(Titanic_Dataset[[#This Row],[Pclass]]=2,"2nd",IF(Titanic_Dataset[[#This Row],[Pclass]]=3,"3rd")))</f>
        <v>1st</v>
      </c>
      <c r="F272" s="1" t="s">
        <v>577</v>
      </c>
      <c r="G272" s="1" t="str">
        <f>TRIM(MID(Titanic_Dataset[[#This Row],[Name]],
FIND(",",Titanic_Dataset[[#This Row],[Name]])+2,
FIND(".",Titanic_Dataset[[#This Row],[Name]],FIND(",",Titanic_Dataset[[#This Row],[Name]]))-FIND(",",Titanic_Dataset[[#This Row],[Name]])-1))</f>
        <v>Mr.</v>
      </c>
      <c r="H272" s="1" t="s">
        <v>13</v>
      </c>
      <c r="I272">
        <v>28</v>
      </c>
      <c r="J27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72">
        <v>0</v>
      </c>
      <c r="L272">
        <v>0</v>
      </c>
      <c r="M272">
        <f>Titanic_Dataset[[#This Row],[Parch]]+Titanic_Dataset[[#This Row],[SibSp]]</f>
        <v>0</v>
      </c>
      <c r="N272" s="1" t="s">
        <v>578</v>
      </c>
      <c r="O272">
        <v>31</v>
      </c>
      <c r="P272" t="e">
        <f>IF(Titanic_Dataset[[#This Row],[Survived]]=1,Titanic_Dataset[[#This Row],[Fare]],NA())</f>
        <v>#N/A</v>
      </c>
      <c r="Q272">
        <f>IF(Titanic_Dataset[[#This Row],[Survived]]=0,Titanic_Dataset[[#This Row],[Fare]],NA())</f>
        <v>31</v>
      </c>
      <c r="R272" t="str">
        <f>VLOOKUP(Titanic_Dataset[[#This Row],[Fare]],Table2[],2,TRUE)</f>
        <v>very hiegh</v>
      </c>
      <c r="S272" s="1" t="s">
        <v>15</v>
      </c>
      <c r="T272" s="1" t="s">
        <v>16</v>
      </c>
      <c r="U272" s="1"/>
      <c r="V272" s="1"/>
      <c r="W272" s="1"/>
    </row>
    <row r="273" spans="1:23" x14ac:dyDescent="0.25">
      <c r="A273">
        <v>272</v>
      </c>
      <c r="B273">
        <v>1</v>
      </c>
      <c r="C273" t="str">
        <f>IF(Titanic_Dataset[[#This Row],[Survived]]=1,"Survived","Died")</f>
        <v>Survived</v>
      </c>
      <c r="D273">
        <v>3</v>
      </c>
      <c r="E273" t="str">
        <f>IF(Titanic_Dataset[[#This Row],[Pclass]]=1,"1st",IF(Titanic_Dataset[[#This Row],[Pclass]]=2,"2nd",IF(Titanic_Dataset[[#This Row],[Pclass]]=3,"3rd")))</f>
        <v>3rd</v>
      </c>
      <c r="F273" s="1" t="s">
        <v>579</v>
      </c>
      <c r="G273" s="1" t="str">
        <f>TRIM(MID(Titanic_Dataset[[#This Row],[Name]],
FIND(",",Titanic_Dataset[[#This Row],[Name]])+2,
FIND(".",Titanic_Dataset[[#This Row],[Name]],FIND(",",Titanic_Dataset[[#This Row],[Name]]))-FIND(",",Titanic_Dataset[[#This Row],[Name]])-1))</f>
        <v>Mr.</v>
      </c>
      <c r="H273" s="1" t="s">
        <v>13</v>
      </c>
      <c r="I273">
        <v>25</v>
      </c>
      <c r="J27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73">
        <v>0</v>
      </c>
      <c r="L273">
        <v>0</v>
      </c>
      <c r="M273">
        <f>Titanic_Dataset[[#This Row],[Parch]]+Titanic_Dataset[[#This Row],[SibSp]]</f>
        <v>0</v>
      </c>
      <c r="N273" s="1" t="s">
        <v>393</v>
      </c>
      <c r="O273">
        <v>0</v>
      </c>
      <c r="P273">
        <f>IF(Titanic_Dataset[[#This Row],[Survived]]=1,Titanic_Dataset[[#This Row],[Fare]],NA())</f>
        <v>0</v>
      </c>
      <c r="Q273" t="e">
        <f>IF(Titanic_Dataset[[#This Row],[Survived]]=0,Titanic_Dataset[[#This Row],[Fare]],NA())</f>
        <v>#N/A</v>
      </c>
      <c r="R273" t="str">
        <f>VLOOKUP(Titanic_Dataset[[#This Row],[Fare]],Table2[],2,TRUE)</f>
        <v>low</v>
      </c>
      <c r="S273" s="1" t="s">
        <v>15</v>
      </c>
      <c r="T273" s="1" t="s">
        <v>16</v>
      </c>
      <c r="U273" s="1"/>
      <c r="V273" s="1"/>
      <c r="W273" s="1"/>
    </row>
    <row r="274" spans="1:23" x14ac:dyDescent="0.25">
      <c r="A274">
        <v>273</v>
      </c>
      <c r="B274">
        <v>1</v>
      </c>
      <c r="C274" t="str">
        <f>IF(Titanic_Dataset[[#This Row],[Survived]]=1,"Survived","Died")</f>
        <v>Survived</v>
      </c>
      <c r="D274">
        <v>2</v>
      </c>
      <c r="E274" t="str">
        <f>IF(Titanic_Dataset[[#This Row],[Pclass]]=1,"1st",IF(Titanic_Dataset[[#This Row],[Pclass]]=2,"2nd",IF(Titanic_Dataset[[#This Row],[Pclass]]=3,"3rd")))</f>
        <v>2nd</v>
      </c>
      <c r="F274" s="1" t="s">
        <v>580</v>
      </c>
      <c r="G274" s="1" t="str">
        <f>TRIM(MID(Titanic_Dataset[[#This Row],[Name]],
FIND(",",Titanic_Dataset[[#This Row],[Name]])+2,
FIND(".",Titanic_Dataset[[#This Row],[Name]],FIND(",",Titanic_Dataset[[#This Row],[Name]]))-FIND(",",Titanic_Dataset[[#This Row],[Name]])-1))</f>
        <v>Mrs.</v>
      </c>
      <c r="H274" s="1" t="s">
        <v>18</v>
      </c>
      <c r="I274">
        <v>41</v>
      </c>
      <c r="J274" t="str">
        <f>IF(Titanic_Dataset[[#This Row],[Age]]&lt;12,"0-11",
IF(Titanic_Dataset[[#This Row],[Age]]&lt;20,"12-19",
IF(Titanic_Dataset[[#This Row],[Age]]&lt;30,"20-29",
IF(Titanic_Dataset[[#This Row],[Age]]&lt;40,"30-39",
IF(Titanic_Dataset[[#This Row],[Age]]&lt;50,"40-49",
IF(Titanic_Dataset[[#This Row],[Age]]&lt;60,"50-59",
IF(Titanic_Dataset[[#This Row],[Age]]&lt;70,"60-69",)))))))</f>
        <v>40-49</v>
      </c>
      <c r="K274">
        <v>0</v>
      </c>
      <c r="L274">
        <v>1</v>
      </c>
      <c r="M274">
        <f>Titanic_Dataset[[#This Row],[Parch]]+Titanic_Dataset[[#This Row],[SibSp]]</f>
        <v>1</v>
      </c>
      <c r="N274" s="1" t="s">
        <v>581</v>
      </c>
      <c r="O274">
        <v>19.5</v>
      </c>
      <c r="P274">
        <f>IF(Titanic_Dataset[[#This Row],[Survived]]=1,Titanic_Dataset[[#This Row],[Fare]],NA())</f>
        <v>19.5</v>
      </c>
      <c r="Q274" t="e">
        <f>IF(Titanic_Dataset[[#This Row],[Survived]]=0,Titanic_Dataset[[#This Row],[Fare]],NA())</f>
        <v>#N/A</v>
      </c>
      <c r="R274" t="str">
        <f>VLOOKUP(Titanic_Dataset[[#This Row],[Fare]],Table2[],2,TRUE)</f>
        <v>high</v>
      </c>
      <c r="S274" s="1" t="s">
        <v>15</v>
      </c>
      <c r="T274" s="1" t="s">
        <v>16</v>
      </c>
      <c r="U274" s="1"/>
      <c r="V274" s="1"/>
      <c r="W274" s="1"/>
    </row>
    <row r="275" spans="1:23" x14ac:dyDescent="0.25">
      <c r="A275">
        <v>274</v>
      </c>
      <c r="B275">
        <v>0</v>
      </c>
      <c r="C275" t="str">
        <f>IF(Titanic_Dataset[[#This Row],[Survived]]=1,"Survived","Died")</f>
        <v>Died</v>
      </c>
      <c r="D275">
        <v>1</v>
      </c>
      <c r="E275" t="str">
        <f>IF(Titanic_Dataset[[#This Row],[Pclass]]=1,"1st",IF(Titanic_Dataset[[#This Row],[Pclass]]=2,"2nd",IF(Titanic_Dataset[[#This Row],[Pclass]]=3,"3rd")))</f>
        <v>1st</v>
      </c>
      <c r="F275" s="1" t="s">
        <v>582</v>
      </c>
      <c r="G275" s="1" t="str">
        <f>TRIM(MID(Titanic_Dataset[[#This Row],[Name]],
FIND(",",Titanic_Dataset[[#This Row],[Name]])+2,
FIND(".",Titanic_Dataset[[#This Row],[Name]],FIND(",",Titanic_Dataset[[#This Row],[Name]]))-FIND(",",Titanic_Dataset[[#This Row],[Name]])-1))</f>
        <v>Mr.</v>
      </c>
      <c r="H275" s="1" t="s">
        <v>13</v>
      </c>
      <c r="I275">
        <v>37</v>
      </c>
      <c r="J275" t="str">
        <f>IF(Titanic_Dataset[[#This Row],[Age]]&lt;12,"0-11",
IF(Titanic_Dataset[[#This Row],[Age]]&lt;20,"12-19",
IF(Titanic_Dataset[[#This Row],[Age]]&lt;30,"20-29",
IF(Titanic_Dataset[[#This Row],[Age]]&lt;40,"30-39",
IF(Titanic_Dataset[[#This Row],[Age]]&lt;50,"40-49",
IF(Titanic_Dataset[[#This Row],[Age]]&lt;60,"50-59",
IF(Titanic_Dataset[[#This Row],[Age]]&lt;70,"60-69",)))))))</f>
        <v>30-39</v>
      </c>
      <c r="K275">
        <v>0</v>
      </c>
      <c r="L275">
        <v>1</v>
      </c>
      <c r="M275">
        <f>Titanic_Dataset[[#This Row],[Parch]]+Titanic_Dataset[[#This Row],[SibSp]]</f>
        <v>1</v>
      </c>
      <c r="N275" s="1" t="s">
        <v>583</v>
      </c>
      <c r="O275">
        <v>29.7</v>
      </c>
      <c r="P275" t="e">
        <f>IF(Titanic_Dataset[[#This Row],[Survived]]=1,Titanic_Dataset[[#This Row],[Fare]],NA())</f>
        <v>#N/A</v>
      </c>
      <c r="Q275">
        <f>IF(Titanic_Dataset[[#This Row],[Survived]]=0,Titanic_Dataset[[#This Row],[Fare]],NA())</f>
        <v>29.7</v>
      </c>
      <c r="R275" t="str">
        <f>VLOOKUP(Titanic_Dataset[[#This Row],[Fare]],Table2[],2,TRUE)</f>
        <v>high</v>
      </c>
      <c r="S275" s="1" t="s">
        <v>584</v>
      </c>
      <c r="T275" s="1" t="s">
        <v>21</v>
      </c>
      <c r="U275" s="1"/>
      <c r="V275" s="1"/>
      <c r="W275" s="1"/>
    </row>
    <row r="276" spans="1:23" x14ac:dyDescent="0.25">
      <c r="A276">
        <v>275</v>
      </c>
      <c r="B276">
        <v>1</v>
      </c>
      <c r="C276" t="str">
        <f>IF(Titanic_Dataset[[#This Row],[Survived]]=1,"Survived","Died")</f>
        <v>Survived</v>
      </c>
      <c r="D276">
        <v>3</v>
      </c>
      <c r="E276" t="str">
        <f>IF(Titanic_Dataset[[#This Row],[Pclass]]=1,"1st",IF(Titanic_Dataset[[#This Row],[Pclass]]=2,"2nd",IF(Titanic_Dataset[[#This Row],[Pclass]]=3,"3rd")))</f>
        <v>3rd</v>
      </c>
      <c r="F276" s="1" t="s">
        <v>585</v>
      </c>
      <c r="G276" s="1" t="str">
        <f>TRIM(MID(Titanic_Dataset[[#This Row],[Name]],
FIND(",",Titanic_Dataset[[#This Row],[Name]])+2,
FIND(".",Titanic_Dataset[[#This Row],[Name]],FIND(",",Titanic_Dataset[[#This Row],[Name]]))-FIND(",",Titanic_Dataset[[#This Row],[Name]])-1))</f>
        <v>Miss.</v>
      </c>
      <c r="H276" s="1" t="s">
        <v>18</v>
      </c>
      <c r="I276">
        <v>28</v>
      </c>
      <c r="J27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76">
        <v>0</v>
      </c>
      <c r="L276">
        <v>0</v>
      </c>
      <c r="M276">
        <f>Titanic_Dataset[[#This Row],[Parch]]+Titanic_Dataset[[#This Row],[SibSp]]</f>
        <v>0</v>
      </c>
      <c r="N276" s="1" t="s">
        <v>586</v>
      </c>
      <c r="O276">
        <v>7.75</v>
      </c>
      <c r="P276">
        <f>IF(Titanic_Dataset[[#This Row],[Survived]]=1,Titanic_Dataset[[#This Row],[Fare]],NA())</f>
        <v>7.75</v>
      </c>
      <c r="Q276" t="e">
        <f>IF(Titanic_Dataset[[#This Row],[Survived]]=0,Titanic_Dataset[[#This Row],[Fare]],NA())</f>
        <v>#N/A</v>
      </c>
      <c r="R276" t="str">
        <f>VLOOKUP(Titanic_Dataset[[#This Row],[Fare]],Table2[],2,TRUE)</f>
        <v>low</v>
      </c>
      <c r="S276" s="1" t="s">
        <v>15</v>
      </c>
      <c r="T276" s="1" t="s">
        <v>31</v>
      </c>
      <c r="U276" s="1"/>
      <c r="V276" s="1"/>
      <c r="W276" s="1"/>
    </row>
    <row r="277" spans="1:23" x14ac:dyDescent="0.25">
      <c r="A277">
        <v>276</v>
      </c>
      <c r="B277">
        <v>1</v>
      </c>
      <c r="C277" t="str">
        <f>IF(Titanic_Dataset[[#This Row],[Survived]]=1,"Survived","Died")</f>
        <v>Survived</v>
      </c>
      <c r="D277">
        <v>1</v>
      </c>
      <c r="E277" t="str">
        <f>IF(Titanic_Dataset[[#This Row],[Pclass]]=1,"1st",IF(Titanic_Dataset[[#This Row],[Pclass]]=2,"2nd",IF(Titanic_Dataset[[#This Row],[Pclass]]=3,"3rd")))</f>
        <v>1st</v>
      </c>
      <c r="F277" s="1" t="s">
        <v>587</v>
      </c>
      <c r="G277" s="1" t="str">
        <f>TRIM(MID(Titanic_Dataset[[#This Row],[Name]],
FIND(",",Titanic_Dataset[[#This Row],[Name]])+2,
FIND(".",Titanic_Dataset[[#This Row],[Name]],FIND(",",Titanic_Dataset[[#This Row],[Name]]))-FIND(",",Titanic_Dataset[[#This Row],[Name]])-1))</f>
        <v>Miss.</v>
      </c>
      <c r="H277" s="1" t="s">
        <v>18</v>
      </c>
      <c r="I277">
        <v>63</v>
      </c>
      <c r="J277" t="str">
        <f>IF(Titanic_Dataset[[#This Row],[Age]]&lt;12,"0-11",
IF(Titanic_Dataset[[#This Row],[Age]]&lt;20,"12-19",
IF(Titanic_Dataset[[#This Row],[Age]]&lt;30,"20-29",
IF(Titanic_Dataset[[#This Row],[Age]]&lt;40,"30-39",
IF(Titanic_Dataset[[#This Row],[Age]]&lt;50,"40-49",
IF(Titanic_Dataset[[#This Row],[Age]]&lt;60,"50-59",
IF(Titanic_Dataset[[#This Row],[Age]]&lt;70,"60-69",)))))))</f>
        <v>60-69</v>
      </c>
      <c r="K277">
        <v>1</v>
      </c>
      <c r="L277">
        <v>0</v>
      </c>
      <c r="M277">
        <f>Titanic_Dataset[[#This Row],[Parch]]+Titanic_Dataset[[#This Row],[SibSp]]</f>
        <v>1</v>
      </c>
      <c r="N277" s="1" t="s">
        <v>588</v>
      </c>
      <c r="O277">
        <v>77.958299999999994</v>
      </c>
      <c r="P277">
        <f>IF(Titanic_Dataset[[#This Row],[Survived]]=1,Titanic_Dataset[[#This Row],[Fare]],NA())</f>
        <v>77.958299999999994</v>
      </c>
      <c r="Q277" t="e">
        <f>IF(Titanic_Dataset[[#This Row],[Survived]]=0,Titanic_Dataset[[#This Row],[Fare]],NA())</f>
        <v>#N/A</v>
      </c>
      <c r="R277" t="str">
        <f>VLOOKUP(Titanic_Dataset[[#This Row],[Fare]],Table2[],2,TRUE)</f>
        <v>very hiegh</v>
      </c>
      <c r="S277" s="1" t="s">
        <v>589</v>
      </c>
      <c r="T277" s="1" t="s">
        <v>16</v>
      </c>
      <c r="U277" s="1"/>
      <c r="V277" s="1"/>
      <c r="W277" s="1"/>
    </row>
    <row r="278" spans="1:23" x14ac:dyDescent="0.25">
      <c r="A278">
        <v>277</v>
      </c>
      <c r="B278">
        <v>0</v>
      </c>
      <c r="C278" t="str">
        <f>IF(Titanic_Dataset[[#This Row],[Survived]]=1,"Survived","Died")</f>
        <v>Died</v>
      </c>
      <c r="D278">
        <v>3</v>
      </c>
      <c r="E278" t="str">
        <f>IF(Titanic_Dataset[[#This Row],[Pclass]]=1,"1st",IF(Titanic_Dataset[[#This Row],[Pclass]]=2,"2nd",IF(Titanic_Dataset[[#This Row],[Pclass]]=3,"3rd")))</f>
        <v>3rd</v>
      </c>
      <c r="F278" s="1" t="s">
        <v>590</v>
      </c>
      <c r="G278" s="1" t="str">
        <f>TRIM(MID(Titanic_Dataset[[#This Row],[Name]],
FIND(",",Titanic_Dataset[[#This Row],[Name]])+2,
FIND(".",Titanic_Dataset[[#This Row],[Name]],FIND(",",Titanic_Dataset[[#This Row],[Name]]))-FIND(",",Titanic_Dataset[[#This Row],[Name]])-1))</f>
        <v>Miss.</v>
      </c>
      <c r="H278" s="1" t="s">
        <v>18</v>
      </c>
      <c r="I278">
        <v>45</v>
      </c>
      <c r="J278" t="str">
        <f>IF(Titanic_Dataset[[#This Row],[Age]]&lt;12,"0-11",
IF(Titanic_Dataset[[#This Row],[Age]]&lt;20,"12-19",
IF(Titanic_Dataset[[#This Row],[Age]]&lt;30,"20-29",
IF(Titanic_Dataset[[#This Row],[Age]]&lt;40,"30-39",
IF(Titanic_Dataset[[#This Row],[Age]]&lt;50,"40-49",
IF(Titanic_Dataset[[#This Row],[Age]]&lt;60,"50-59",
IF(Titanic_Dataset[[#This Row],[Age]]&lt;70,"60-69",)))))))</f>
        <v>40-49</v>
      </c>
      <c r="K278">
        <v>0</v>
      </c>
      <c r="L278">
        <v>0</v>
      </c>
      <c r="M278">
        <f>Titanic_Dataset[[#This Row],[Parch]]+Titanic_Dataset[[#This Row],[SibSp]]</f>
        <v>0</v>
      </c>
      <c r="N278" s="1" t="s">
        <v>591</v>
      </c>
      <c r="O278">
        <v>7.75</v>
      </c>
      <c r="P278" t="e">
        <f>IF(Titanic_Dataset[[#This Row],[Survived]]=1,Titanic_Dataset[[#This Row],[Fare]],NA())</f>
        <v>#N/A</v>
      </c>
      <c r="Q278">
        <f>IF(Titanic_Dataset[[#This Row],[Survived]]=0,Titanic_Dataset[[#This Row],[Fare]],NA())</f>
        <v>7.75</v>
      </c>
      <c r="R278" t="str">
        <f>VLOOKUP(Titanic_Dataset[[#This Row],[Fare]],Table2[],2,TRUE)</f>
        <v>low</v>
      </c>
      <c r="S278" s="1" t="s">
        <v>15</v>
      </c>
      <c r="T278" s="1" t="s">
        <v>16</v>
      </c>
      <c r="U278" s="1"/>
      <c r="V278" s="1"/>
      <c r="W278" s="1"/>
    </row>
    <row r="279" spans="1:23" x14ac:dyDescent="0.25">
      <c r="A279">
        <v>278</v>
      </c>
      <c r="B279">
        <v>0</v>
      </c>
      <c r="C279" t="str">
        <f>IF(Titanic_Dataset[[#This Row],[Survived]]=1,"Survived","Died")</f>
        <v>Died</v>
      </c>
      <c r="D279">
        <v>2</v>
      </c>
      <c r="E279" t="str">
        <f>IF(Titanic_Dataset[[#This Row],[Pclass]]=1,"1st",IF(Titanic_Dataset[[#This Row],[Pclass]]=2,"2nd",IF(Titanic_Dataset[[#This Row],[Pclass]]=3,"3rd")))</f>
        <v>2nd</v>
      </c>
      <c r="F279" s="1" t="s">
        <v>592</v>
      </c>
      <c r="G279" s="1" t="str">
        <f>TRIM(MID(Titanic_Dataset[[#This Row],[Name]],
FIND(",",Titanic_Dataset[[#This Row],[Name]])+2,
FIND(".",Titanic_Dataset[[#This Row],[Name]],FIND(",",Titanic_Dataset[[#This Row],[Name]]))-FIND(",",Titanic_Dataset[[#This Row],[Name]])-1))</f>
        <v>Mr.</v>
      </c>
      <c r="H279" s="1" t="s">
        <v>13</v>
      </c>
      <c r="I279">
        <v>28</v>
      </c>
      <c r="J27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79">
        <v>0</v>
      </c>
      <c r="L279">
        <v>0</v>
      </c>
      <c r="M279">
        <f>Titanic_Dataset[[#This Row],[Parch]]+Titanic_Dataset[[#This Row],[SibSp]]</f>
        <v>0</v>
      </c>
      <c r="N279" s="1" t="s">
        <v>593</v>
      </c>
      <c r="O279">
        <v>0</v>
      </c>
      <c r="P279" t="e">
        <f>IF(Titanic_Dataset[[#This Row],[Survived]]=1,Titanic_Dataset[[#This Row],[Fare]],NA())</f>
        <v>#N/A</v>
      </c>
      <c r="Q279">
        <f>IF(Titanic_Dataset[[#This Row],[Survived]]=0,Titanic_Dataset[[#This Row],[Fare]],NA())</f>
        <v>0</v>
      </c>
      <c r="R279" t="str">
        <f>VLOOKUP(Titanic_Dataset[[#This Row],[Fare]],Table2[],2,TRUE)</f>
        <v>low</v>
      </c>
      <c r="S279" s="1" t="s">
        <v>15</v>
      </c>
      <c r="T279" s="1" t="s">
        <v>16</v>
      </c>
      <c r="U279" s="1"/>
      <c r="V279" s="1"/>
      <c r="W279" s="1"/>
    </row>
    <row r="280" spans="1:23" x14ac:dyDescent="0.25">
      <c r="A280">
        <v>279</v>
      </c>
      <c r="B280">
        <v>0</v>
      </c>
      <c r="C280" t="str">
        <f>IF(Titanic_Dataset[[#This Row],[Survived]]=1,"Survived","Died")</f>
        <v>Died</v>
      </c>
      <c r="D280">
        <v>3</v>
      </c>
      <c r="E280" t="str">
        <f>IF(Titanic_Dataset[[#This Row],[Pclass]]=1,"1st",IF(Titanic_Dataset[[#This Row],[Pclass]]=2,"2nd",IF(Titanic_Dataset[[#This Row],[Pclass]]=3,"3rd")))</f>
        <v>3rd</v>
      </c>
      <c r="F280" s="1" t="s">
        <v>594</v>
      </c>
      <c r="G280" s="1" t="str">
        <f>TRIM(MID(Titanic_Dataset[[#This Row],[Name]],
FIND(",",Titanic_Dataset[[#This Row],[Name]])+2,
FIND(".",Titanic_Dataset[[#This Row],[Name]],FIND(",",Titanic_Dataset[[#This Row],[Name]]))-FIND(",",Titanic_Dataset[[#This Row],[Name]])-1))</f>
        <v>Master.</v>
      </c>
      <c r="H280" s="1" t="s">
        <v>13</v>
      </c>
      <c r="I280">
        <v>7</v>
      </c>
      <c r="J280" t="str">
        <f>IF(Titanic_Dataset[[#This Row],[Age]]&lt;12,"0-11",
IF(Titanic_Dataset[[#This Row],[Age]]&lt;20,"12-19",
IF(Titanic_Dataset[[#This Row],[Age]]&lt;30,"20-29",
IF(Titanic_Dataset[[#This Row],[Age]]&lt;40,"30-39",
IF(Titanic_Dataset[[#This Row],[Age]]&lt;50,"40-49",
IF(Titanic_Dataset[[#This Row],[Age]]&lt;60,"50-59",
IF(Titanic_Dataset[[#This Row],[Age]]&lt;70,"60-69",)))))))</f>
        <v>0-11</v>
      </c>
      <c r="K280">
        <v>4</v>
      </c>
      <c r="L280">
        <v>1</v>
      </c>
      <c r="M280">
        <f>Titanic_Dataset[[#This Row],[Parch]]+Titanic_Dataset[[#This Row],[SibSp]]</f>
        <v>5</v>
      </c>
      <c r="N280" s="1" t="s">
        <v>56</v>
      </c>
      <c r="O280">
        <v>29.125</v>
      </c>
      <c r="P280" t="e">
        <f>IF(Titanic_Dataset[[#This Row],[Survived]]=1,Titanic_Dataset[[#This Row],[Fare]],NA())</f>
        <v>#N/A</v>
      </c>
      <c r="Q280">
        <f>IF(Titanic_Dataset[[#This Row],[Survived]]=0,Titanic_Dataset[[#This Row],[Fare]],NA())</f>
        <v>29.125</v>
      </c>
      <c r="R280" t="str">
        <f>VLOOKUP(Titanic_Dataset[[#This Row],[Fare]],Table2[],2,TRUE)</f>
        <v>high</v>
      </c>
      <c r="S280" s="1" t="s">
        <v>15</v>
      </c>
      <c r="T280" s="1" t="s">
        <v>31</v>
      </c>
      <c r="U280" s="1"/>
      <c r="V280" s="1"/>
      <c r="W280" s="1"/>
    </row>
    <row r="281" spans="1:23" x14ac:dyDescent="0.25">
      <c r="A281">
        <v>280</v>
      </c>
      <c r="B281">
        <v>1</v>
      </c>
      <c r="C281" t="str">
        <f>IF(Titanic_Dataset[[#This Row],[Survived]]=1,"Survived","Died")</f>
        <v>Survived</v>
      </c>
      <c r="D281">
        <v>3</v>
      </c>
      <c r="E281" t="str">
        <f>IF(Titanic_Dataset[[#This Row],[Pclass]]=1,"1st",IF(Titanic_Dataset[[#This Row],[Pclass]]=2,"2nd",IF(Titanic_Dataset[[#This Row],[Pclass]]=3,"3rd")))</f>
        <v>3rd</v>
      </c>
      <c r="F281" s="1" t="s">
        <v>595</v>
      </c>
      <c r="G281" s="1" t="str">
        <f>TRIM(MID(Titanic_Dataset[[#This Row],[Name]],
FIND(",",Titanic_Dataset[[#This Row],[Name]])+2,
FIND(".",Titanic_Dataset[[#This Row],[Name]],FIND(",",Titanic_Dataset[[#This Row],[Name]]))-FIND(",",Titanic_Dataset[[#This Row],[Name]])-1))</f>
        <v>Mrs.</v>
      </c>
      <c r="H281" s="1" t="s">
        <v>18</v>
      </c>
      <c r="I281">
        <v>35</v>
      </c>
      <c r="J281" t="str">
        <f>IF(Titanic_Dataset[[#This Row],[Age]]&lt;12,"0-11",
IF(Titanic_Dataset[[#This Row],[Age]]&lt;20,"12-19",
IF(Titanic_Dataset[[#This Row],[Age]]&lt;30,"20-29",
IF(Titanic_Dataset[[#This Row],[Age]]&lt;40,"30-39",
IF(Titanic_Dataset[[#This Row],[Age]]&lt;50,"40-49",
IF(Titanic_Dataset[[#This Row],[Age]]&lt;60,"50-59",
IF(Titanic_Dataset[[#This Row],[Age]]&lt;70,"60-69",)))))))</f>
        <v>30-39</v>
      </c>
      <c r="K281">
        <v>1</v>
      </c>
      <c r="L281">
        <v>1</v>
      </c>
      <c r="M281">
        <f>Titanic_Dataset[[#This Row],[Parch]]+Titanic_Dataset[[#This Row],[SibSp]]</f>
        <v>2</v>
      </c>
      <c r="N281" s="1" t="s">
        <v>596</v>
      </c>
      <c r="O281">
        <v>20.25</v>
      </c>
      <c r="P281">
        <f>IF(Titanic_Dataset[[#This Row],[Survived]]=1,Titanic_Dataset[[#This Row],[Fare]],NA())</f>
        <v>20.25</v>
      </c>
      <c r="Q281" t="e">
        <f>IF(Titanic_Dataset[[#This Row],[Survived]]=0,Titanic_Dataset[[#This Row],[Fare]],NA())</f>
        <v>#N/A</v>
      </c>
      <c r="R281" t="str">
        <f>VLOOKUP(Titanic_Dataset[[#This Row],[Fare]],Table2[],2,TRUE)</f>
        <v>high</v>
      </c>
      <c r="S281" s="1" t="s">
        <v>15</v>
      </c>
      <c r="T281" s="1" t="s">
        <v>16</v>
      </c>
      <c r="U281" s="1"/>
      <c r="V281" s="1"/>
      <c r="W281" s="1"/>
    </row>
    <row r="282" spans="1:23" x14ac:dyDescent="0.25">
      <c r="A282">
        <v>281</v>
      </c>
      <c r="B282">
        <v>0</v>
      </c>
      <c r="C282" t="str">
        <f>IF(Titanic_Dataset[[#This Row],[Survived]]=1,"Survived","Died")</f>
        <v>Died</v>
      </c>
      <c r="D282">
        <v>3</v>
      </c>
      <c r="E282" t="str">
        <f>IF(Titanic_Dataset[[#This Row],[Pclass]]=1,"1st",IF(Titanic_Dataset[[#This Row],[Pclass]]=2,"2nd",IF(Titanic_Dataset[[#This Row],[Pclass]]=3,"3rd")))</f>
        <v>3rd</v>
      </c>
      <c r="F282" s="1" t="s">
        <v>597</v>
      </c>
      <c r="G282" s="1" t="str">
        <f>TRIM(MID(Titanic_Dataset[[#This Row],[Name]],
FIND(",",Titanic_Dataset[[#This Row],[Name]])+2,
FIND(".",Titanic_Dataset[[#This Row],[Name]],FIND(",",Titanic_Dataset[[#This Row],[Name]]))-FIND(",",Titanic_Dataset[[#This Row],[Name]])-1))</f>
        <v>Mr.</v>
      </c>
      <c r="H282" s="1" t="s">
        <v>13</v>
      </c>
      <c r="I282">
        <v>65</v>
      </c>
      <c r="J282" t="str">
        <f>IF(Titanic_Dataset[[#This Row],[Age]]&lt;12,"0-11",
IF(Titanic_Dataset[[#This Row],[Age]]&lt;20,"12-19",
IF(Titanic_Dataset[[#This Row],[Age]]&lt;30,"20-29",
IF(Titanic_Dataset[[#This Row],[Age]]&lt;40,"30-39",
IF(Titanic_Dataset[[#This Row],[Age]]&lt;50,"40-49",
IF(Titanic_Dataset[[#This Row],[Age]]&lt;60,"50-59",
IF(Titanic_Dataset[[#This Row],[Age]]&lt;70,"60-69",)))))))</f>
        <v>60-69</v>
      </c>
      <c r="K282">
        <v>0</v>
      </c>
      <c r="L282">
        <v>0</v>
      </c>
      <c r="M282">
        <f>Titanic_Dataset[[#This Row],[Parch]]+Titanic_Dataset[[#This Row],[SibSp]]</f>
        <v>0</v>
      </c>
      <c r="N282" s="1" t="s">
        <v>598</v>
      </c>
      <c r="O282">
        <v>7.75</v>
      </c>
      <c r="P282" t="e">
        <f>IF(Titanic_Dataset[[#This Row],[Survived]]=1,Titanic_Dataset[[#This Row],[Fare]],NA())</f>
        <v>#N/A</v>
      </c>
      <c r="Q282">
        <f>IF(Titanic_Dataset[[#This Row],[Survived]]=0,Titanic_Dataset[[#This Row],[Fare]],NA())</f>
        <v>7.75</v>
      </c>
      <c r="R282" t="str">
        <f>VLOOKUP(Titanic_Dataset[[#This Row],[Fare]],Table2[],2,TRUE)</f>
        <v>low</v>
      </c>
      <c r="S282" s="1" t="s">
        <v>15</v>
      </c>
      <c r="T282" s="1" t="s">
        <v>31</v>
      </c>
      <c r="U282" s="1"/>
      <c r="V282" s="1"/>
      <c r="W282" s="1"/>
    </row>
    <row r="283" spans="1:23" x14ac:dyDescent="0.25">
      <c r="A283">
        <v>282</v>
      </c>
      <c r="B283">
        <v>0</v>
      </c>
      <c r="C283" t="str">
        <f>IF(Titanic_Dataset[[#This Row],[Survived]]=1,"Survived","Died")</f>
        <v>Died</v>
      </c>
      <c r="D283">
        <v>3</v>
      </c>
      <c r="E283" t="str">
        <f>IF(Titanic_Dataset[[#This Row],[Pclass]]=1,"1st",IF(Titanic_Dataset[[#This Row],[Pclass]]=2,"2nd",IF(Titanic_Dataset[[#This Row],[Pclass]]=3,"3rd")))</f>
        <v>3rd</v>
      </c>
      <c r="F283" s="1" t="s">
        <v>599</v>
      </c>
      <c r="G283" s="1" t="str">
        <f>TRIM(MID(Titanic_Dataset[[#This Row],[Name]],
FIND(",",Titanic_Dataset[[#This Row],[Name]])+2,
FIND(".",Titanic_Dataset[[#This Row],[Name]],FIND(",",Titanic_Dataset[[#This Row],[Name]]))-FIND(",",Titanic_Dataset[[#This Row],[Name]])-1))</f>
        <v>Mr.</v>
      </c>
      <c r="H283" s="1" t="s">
        <v>13</v>
      </c>
      <c r="I283">
        <v>28</v>
      </c>
      <c r="J28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83">
        <v>0</v>
      </c>
      <c r="L283">
        <v>0</v>
      </c>
      <c r="M283">
        <f>Titanic_Dataset[[#This Row],[Parch]]+Titanic_Dataset[[#This Row],[SibSp]]</f>
        <v>0</v>
      </c>
      <c r="N283" s="1" t="s">
        <v>600</v>
      </c>
      <c r="O283">
        <v>7.8541999999999996</v>
      </c>
      <c r="P283" t="e">
        <f>IF(Titanic_Dataset[[#This Row],[Survived]]=1,Titanic_Dataset[[#This Row],[Fare]],NA())</f>
        <v>#N/A</v>
      </c>
      <c r="Q283">
        <f>IF(Titanic_Dataset[[#This Row],[Survived]]=0,Titanic_Dataset[[#This Row],[Fare]],NA())</f>
        <v>7.8541999999999996</v>
      </c>
      <c r="R283" t="str">
        <f>VLOOKUP(Titanic_Dataset[[#This Row],[Fare]],Table2[],2,TRUE)</f>
        <v>low</v>
      </c>
      <c r="S283" s="1" t="s">
        <v>15</v>
      </c>
      <c r="T283" s="1" t="s">
        <v>16</v>
      </c>
      <c r="U283" s="1"/>
      <c r="V283" s="1"/>
      <c r="W283" s="1"/>
    </row>
    <row r="284" spans="1:23" x14ac:dyDescent="0.25">
      <c r="A284">
        <v>283</v>
      </c>
      <c r="B284">
        <v>0</v>
      </c>
      <c r="C284" t="str">
        <f>IF(Titanic_Dataset[[#This Row],[Survived]]=1,"Survived","Died")</f>
        <v>Died</v>
      </c>
      <c r="D284">
        <v>3</v>
      </c>
      <c r="E284" t="str">
        <f>IF(Titanic_Dataset[[#This Row],[Pclass]]=1,"1st",IF(Titanic_Dataset[[#This Row],[Pclass]]=2,"2nd",IF(Titanic_Dataset[[#This Row],[Pclass]]=3,"3rd")))</f>
        <v>3rd</v>
      </c>
      <c r="F284" s="1" t="s">
        <v>601</v>
      </c>
      <c r="G284" s="1" t="str">
        <f>TRIM(MID(Titanic_Dataset[[#This Row],[Name]],
FIND(",",Titanic_Dataset[[#This Row],[Name]])+2,
FIND(".",Titanic_Dataset[[#This Row],[Name]],FIND(",",Titanic_Dataset[[#This Row],[Name]]))-FIND(",",Titanic_Dataset[[#This Row],[Name]])-1))</f>
        <v>Mr.</v>
      </c>
      <c r="H284" s="1" t="s">
        <v>13</v>
      </c>
      <c r="I284">
        <v>16</v>
      </c>
      <c r="J284" t="str">
        <f>IF(Titanic_Dataset[[#This Row],[Age]]&lt;12,"0-11",
IF(Titanic_Dataset[[#This Row],[Age]]&lt;20,"12-19",
IF(Titanic_Dataset[[#This Row],[Age]]&lt;30,"20-29",
IF(Titanic_Dataset[[#This Row],[Age]]&lt;40,"30-39",
IF(Titanic_Dataset[[#This Row],[Age]]&lt;50,"40-49",
IF(Titanic_Dataset[[#This Row],[Age]]&lt;60,"50-59",
IF(Titanic_Dataset[[#This Row],[Age]]&lt;70,"60-69",)))))))</f>
        <v>12-19</v>
      </c>
      <c r="K284">
        <v>0</v>
      </c>
      <c r="L284">
        <v>0</v>
      </c>
      <c r="M284">
        <f>Titanic_Dataset[[#This Row],[Parch]]+Titanic_Dataset[[#This Row],[SibSp]]</f>
        <v>0</v>
      </c>
      <c r="N284" s="1" t="s">
        <v>602</v>
      </c>
      <c r="O284">
        <v>9.5</v>
      </c>
      <c r="P284" t="e">
        <f>IF(Titanic_Dataset[[#This Row],[Survived]]=1,Titanic_Dataset[[#This Row],[Fare]],NA())</f>
        <v>#N/A</v>
      </c>
      <c r="Q284">
        <f>IF(Titanic_Dataset[[#This Row],[Survived]]=0,Titanic_Dataset[[#This Row],[Fare]],NA())</f>
        <v>9.5</v>
      </c>
      <c r="R284" t="str">
        <f>VLOOKUP(Titanic_Dataset[[#This Row],[Fare]],Table2[],2,TRUE)</f>
        <v>medium</v>
      </c>
      <c r="S284" s="1" t="s">
        <v>15</v>
      </c>
      <c r="T284" s="1" t="s">
        <v>16</v>
      </c>
      <c r="U284" s="1"/>
      <c r="V284" s="1"/>
      <c r="W284" s="1"/>
    </row>
    <row r="285" spans="1:23" x14ac:dyDescent="0.25">
      <c r="A285">
        <v>284</v>
      </c>
      <c r="B285">
        <v>1</v>
      </c>
      <c r="C285" t="str">
        <f>IF(Titanic_Dataset[[#This Row],[Survived]]=1,"Survived","Died")</f>
        <v>Survived</v>
      </c>
      <c r="D285">
        <v>3</v>
      </c>
      <c r="E285" t="str">
        <f>IF(Titanic_Dataset[[#This Row],[Pclass]]=1,"1st",IF(Titanic_Dataset[[#This Row],[Pclass]]=2,"2nd",IF(Titanic_Dataset[[#This Row],[Pclass]]=3,"3rd")))</f>
        <v>3rd</v>
      </c>
      <c r="F285" s="1" t="s">
        <v>603</v>
      </c>
      <c r="G285" s="1" t="str">
        <f>TRIM(MID(Titanic_Dataset[[#This Row],[Name]],
FIND(",",Titanic_Dataset[[#This Row],[Name]])+2,
FIND(".",Titanic_Dataset[[#This Row],[Name]],FIND(",",Titanic_Dataset[[#This Row],[Name]]))-FIND(",",Titanic_Dataset[[#This Row],[Name]])-1))</f>
        <v>Mr.</v>
      </c>
      <c r="H285" s="1" t="s">
        <v>13</v>
      </c>
      <c r="I285">
        <v>19</v>
      </c>
      <c r="J285" t="str">
        <f>IF(Titanic_Dataset[[#This Row],[Age]]&lt;12,"0-11",
IF(Titanic_Dataset[[#This Row],[Age]]&lt;20,"12-19",
IF(Titanic_Dataset[[#This Row],[Age]]&lt;30,"20-29",
IF(Titanic_Dataset[[#This Row],[Age]]&lt;40,"30-39",
IF(Titanic_Dataset[[#This Row],[Age]]&lt;50,"40-49",
IF(Titanic_Dataset[[#This Row],[Age]]&lt;60,"50-59",
IF(Titanic_Dataset[[#This Row],[Age]]&lt;70,"60-69",)))))))</f>
        <v>12-19</v>
      </c>
      <c r="K285">
        <v>0</v>
      </c>
      <c r="L285">
        <v>0</v>
      </c>
      <c r="M285">
        <f>Titanic_Dataset[[#This Row],[Parch]]+Titanic_Dataset[[#This Row],[SibSp]]</f>
        <v>0</v>
      </c>
      <c r="N285" s="1" t="s">
        <v>604</v>
      </c>
      <c r="O285">
        <v>8.0500000000000007</v>
      </c>
      <c r="P285">
        <f>IF(Titanic_Dataset[[#This Row],[Survived]]=1,Titanic_Dataset[[#This Row],[Fare]],NA())</f>
        <v>8.0500000000000007</v>
      </c>
      <c r="Q285" t="e">
        <f>IF(Titanic_Dataset[[#This Row],[Survived]]=0,Titanic_Dataset[[#This Row],[Fare]],NA())</f>
        <v>#N/A</v>
      </c>
      <c r="R285" t="str">
        <f>VLOOKUP(Titanic_Dataset[[#This Row],[Fare]],Table2[],2,TRUE)</f>
        <v>medium</v>
      </c>
      <c r="S285" s="1" t="s">
        <v>15</v>
      </c>
      <c r="T285" s="1" t="s">
        <v>16</v>
      </c>
      <c r="U285" s="1"/>
      <c r="V285" s="1"/>
      <c r="W285" s="1"/>
    </row>
    <row r="286" spans="1:23" x14ac:dyDescent="0.25">
      <c r="A286">
        <v>285</v>
      </c>
      <c r="B286">
        <v>0</v>
      </c>
      <c r="C286" t="str">
        <f>IF(Titanic_Dataset[[#This Row],[Survived]]=1,"Survived","Died")</f>
        <v>Died</v>
      </c>
      <c r="D286">
        <v>1</v>
      </c>
      <c r="E286" t="str">
        <f>IF(Titanic_Dataset[[#This Row],[Pclass]]=1,"1st",IF(Titanic_Dataset[[#This Row],[Pclass]]=2,"2nd",IF(Titanic_Dataset[[#This Row],[Pclass]]=3,"3rd")))</f>
        <v>1st</v>
      </c>
      <c r="F286" s="1" t="s">
        <v>605</v>
      </c>
      <c r="G286" s="1" t="str">
        <f>TRIM(MID(Titanic_Dataset[[#This Row],[Name]],
FIND(",",Titanic_Dataset[[#This Row],[Name]])+2,
FIND(".",Titanic_Dataset[[#This Row],[Name]],FIND(",",Titanic_Dataset[[#This Row],[Name]]))-FIND(",",Titanic_Dataset[[#This Row],[Name]])-1))</f>
        <v>Mr.</v>
      </c>
      <c r="H286" s="1" t="s">
        <v>13</v>
      </c>
      <c r="I286">
        <v>28</v>
      </c>
      <c r="J28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86">
        <v>0</v>
      </c>
      <c r="L286">
        <v>0</v>
      </c>
      <c r="M286">
        <f>Titanic_Dataset[[#This Row],[Parch]]+Titanic_Dataset[[#This Row],[SibSp]]</f>
        <v>0</v>
      </c>
      <c r="N286" s="1" t="s">
        <v>606</v>
      </c>
      <c r="O286">
        <v>26</v>
      </c>
      <c r="P286" t="e">
        <f>IF(Titanic_Dataset[[#This Row],[Survived]]=1,Titanic_Dataset[[#This Row],[Fare]],NA())</f>
        <v>#N/A</v>
      </c>
      <c r="Q286">
        <f>IF(Titanic_Dataset[[#This Row],[Survived]]=0,Titanic_Dataset[[#This Row],[Fare]],NA())</f>
        <v>26</v>
      </c>
      <c r="R286" t="str">
        <f>VLOOKUP(Titanic_Dataset[[#This Row],[Fare]],Table2[],2,TRUE)</f>
        <v>high</v>
      </c>
      <c r="S286" s="1" t="s">
        <v>607</v>
      </c>
      <c r="T286" s="1" t="s">
        <v>16</v>
      </c>
      <c r="U286" s="1"/>
      <c r="V286" s="1"/>
      <c r="W286" s="1"/>
    </row>
    <row r="287" spans="1:23" x14ac:dyDescent="0.25">
      <c r="A287">
        <v>286</v>
      </c>
      <c r="B287">
        <v>0</v>
      </c>
      <c r="C287" t="str">
        <f>IF(Titanic_Dataset[[#This Row],[Survived]]=1,"Survived","Died")</f>
        <v>Died</v>
      </c>
      <c r="D287">
        <v>3</v>
      </c>
      <c r="E287" t="str">
        <f>IF(Titanic_Dataset[[#This Row],[Pclass]]=1,"1st",IF(Titanic_Dataset[[#This Row],[Pclass]]=2,"2nd",IF(Titanic_Dataset[[#This Row],[Pclass]]=3,"3rd")))</f>
        <v>3rd</v>
      </c>
      <c r="F287" s="1" t="s">
        <v>608</v>
      </c>
      <c r="G287" s="1" t="str">
        <f>TRIM(MID(Titanic_Dataset[[#This Row],[Name]],
FIND(",",Titanic_Dataset[[#This Row],[Name]])+2,
FIND(".",Titanic_Dataset[[#This Row],[Name]],FIND(",",Titanic_Dataset[[#This Row],[Name]]))-FIND(",",Titanic_Dataset[[#This Row],[Name]])-1))</f>
        <v>Mr.</v>
      </c>
      <c r="H287" s="1" t="s">
        <v>13</v>
      </c>
      <c r="I287">
        <v>33</v>
      </c>
      <c r="J287" t="str">
        <f>IF(Titanic_Dataset[[#This Row],[Age]]&lt;12,"0-11",
IF(Titanic_Dataset[[#This Row],[Age]]&lt;20,"12-19",
IF(Titanic_Dataset[[#This Row],[Age]]&lt;30,"20-29",
IF(Titanic_Dataset[[#This Row],[Age]]&lt;40,"30-39",
IF(Titanic_Dataset[[#This Row],[Age]]&lt;50,"40-49",
IF(Titanic_Dataset[[#This Row],[Age]]&lt;60,"50-59",
IF(Titanic_Dataset[[#This Row],[Age]]&lt;70,"60-69",)))))))</f>
        <v>30-39</v>
      </c>
      <c r="K287">
        <v>0</v>
      </c>
      <c r="L287">
        <v>0</v>
      </c>
      <c r="M287">
        <f>Titanic_Dataset[[#This Row],[Parch]]+Titanic_Dataset[[#This Row],[SibSp]]</f>
        <v>0</v>
      </c>
      <c r="N287" s="1" t="s">
        <v>609</v>
      </c>
      <c r="O287">
        <v>8.6624999999999996</v>
      </c>
      <c r="P287" t="e">
        <f>IF(Titanic_Dataset[[#This Row],[Survived]]=1,Titanic_Dataset[[#This Row],[Fare]],NA())</f>
        <v>#N/A</v>
      </c>
      <c r="Q287">
        <f>IF(Titanic_Dataset[[#This Row],[Survived]]=0,Titanic_Dataset[[#This Row],[Fare]],NA())</f>
        <v>8.6624999999999996</v>
      </c>
      <c r="R287" t="str">
        <f>VLOOKUP(Titanic_Dataset[[#This Row],[Fare]],Table2[],2,TRUE)</f>
        <v>medium</v>
      </c>
      <c r="S287" s="1" t="s">
        <v>15</v>
      </c>
      <c r="T287" s="1" t="s">
        <v>21</v>
      </c>
      <c r="U287" s="1"/>
      <c r="V287" s="1"/>
      <c r="W287" s="1"/>
    </row>
    <row r="288" spans="1:23" x14ac:dyDescent="0.25">
      <c r="A288">
        <v>287</v>
      </c>
      <c r="B288">
        <v>1</v>
      </c>
      <c r="C288" t="str">
        <f>IF(Titanic_Dataset[[#This Row],[Survived]]=1,"Survived","Died")</f>
        <v>Survived</v>
      </c>
      <c r="D288">
        <v>3</v>
      </c>
      <c r="E288" t="str">
        <f>IF(Titanic_Dataset[[#This Row],[Pclass]]=1,"1st",IF(Titanic_Dataset[[#This Row],[Pclass]]=2,"2nd",IF(Titanic_Dataset[[#This Row],[Pclass]]=3,"3rd")))</f>
        <v>3rd</v>
      </c>
      <c r="F288" s="1" t="s">
        <v>610</v>
      </c>
      <c r="G288" s="1" t="str">
        <f>TRIM(MID(Titanic_Dataset[[#This Row],[Name]],
FIND(",",Titanic_Dataset[[#This Row],[Name]])+2,
FIND(".",Titanic_Dataset[[#This Row],[Name]],FIND(",",Titanic_Dataset[[#This Row],[Name]]))-FIND(",",Titanic_Dataset[[#This Row],[Name]])-1))</f>
        <v>Mr.</v>
      </c>
      <c r="H288" s="1" t="s">
        <v>13</v>
      </c>
      <c r="I288">
        <v>30</v>
      </c>
      <c r="J288" t="str">
        <f>IF(Titanic_Dataset[[#This Row],[Age]]&lt;12,"0-11",
IF(Titanic_Dataset[[#This Row],[Age]]&lt;20,"12-19",
IF(Titanic_Dataset[[#This Row],[Age]]&lt;30,"20-29",
IF(Titanic_Dataset[[#This Row],[Age]]&lt;40,"30-39",
IF(Titanic_Dataset[[#This Row],[Age]]&lt;50,"40-49",
IF(Titanic_Dataset[[#This Row],[Age]]&lt;60,"50-59",
IF(Titanic_Dataset[[#This Row],[Age]]&lt;70,"60-69",)))))))</f>
        <v>30-39</v>
      </c>
      <c r="K288">
        <v>0</v>
      </c>
      <c r="L288">
        <v>0</v>
      </c>
      <c r="M288">
        <f>Titanic_Dataset[[#This Row],[Parch]]+Titanic_Dataset[[#This Row],[SibSp]]</f>
        <v>0</v>
      </c>
      <c r="N288" s="1" t="s">
        <v>611</v>
      </c>
      <c r="O288">
        <v>9.5</v>
      </c>
      <c r="P288">
        <f>IF(Titanic_Dataset[[#This Row],[Survived]]=1,Titanic_Dataset[[#This Row],[Fare]],NA())</f>
        <v>9.5</v>
      </c>
      <c r="Q288" t="e">
        <f>IF(Titanic_Dataset[[#This Row],[Survived]]=0,Titanic_Dataset[[#This Row],[Fare]],NA())</f>
        <v>#N/A</v>
      </c>
      <c r="R288" t="str">
        <f>VLOOKUP(Titanic_Dataset[[#This Row],[Fare]],Table2[],2,TRUE)</f>
        <v>medium</v>
      </c>
      <c r="S288" s="1" t="s">
        <v>15</v>
      </c>
      <c r="T288" s="1" t="s">
        <v>16</v>
      </c>
      <c r="U288" s="1"/>
      <c r="V288" s="1"/>
      <c r="W288" s="1"/>
    </row>
    <row r="289" spans="1:23" x14ac:dyDescent="0.25">
      <c r="A289">
        <v>288</v>
      </c>
      <c r="B289">
        <v>0</v>
      </c>
      <c r="C289" t="str">
        <f>IF(Titanic_Dataset[[#This Row],[Survived]]=1,"Survived","Died")</f>
        <v>Died</v>
      </c>
      <c r="D289">
        <v>3</v>
      </c>
      <c r="E289" t="str">
        <f>IF(Titanic_Dataset[[#This Row],[Pclass]]=1,"1st",IF(Titanic_Dataset[[#This Row],[Pclass]]=2,"2nd",IF(Titanic_Dataset[[#This Row],[Pclass]]=3,"3rd")))</f>
        <v>3rd</v>
      </c>
      <c r="F289" s="1" t="s">
        <v>612</v>
      </c>
      <c r="G289" s="1" t="str">
        <f>TRIM(MID(Titanic_Dataset[[#This Row],[Name]],
FIND(",",Titanic_Dataset[[#This Row],[Name]])+2,
FIND(".",Titanic_Dataset[[#This Row],[Name]],FIND(",",Titanic_Dataset[[#This Row],[Name]]))-FIND(",",Titanic_Dataset[[#This Row],[Name]])-1))</f>
        <v>Mr.</v>
      </c>
      <c r="H289" s="1" t="s">
        <v>13</v>
      </c>
      <c r="I289">
        <v>22</v>
      </c>
      <c r="J28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89">
        <v>0</v>
      </c>
      <c r="L289">
        <v>0</v>
      </c>
      <c r="M289">
        <f>Titanic_Dataset[[#This Row],[Parch]]+Titanic_Dataset[[#This Row],[SibSp]]</f>
        <v>0</v>
      </c>
      <c r="N289" s="1" t="s">
        <v>613</v>
      </c>
      <c r="O289">
        <v>7.8958000000000004</v>
      </c>
      <c r="P289" t="e">
        <f>IF(Titanic_Dataset[[#This Row],[Survived]]=1,Titanic_Dataset[[#This Row],[Fare]],NA())</f>
        <v>#N/A</v>
      </c>
      <c r="Q289">
        <f>IF(Titanic_Dataset[[#This Row],[Survived]]=0,Titanic_Dataset[[#This Row],[Fare]],NA())</f>
        <v>7.8958000000000004</v>
      </c>
      <c r="R289" t="str">
        <f>VLOOKUP(Titanic_Dataset[[#This Row],[Fare]],Table2[],2,TRUE)</f>
        <v>low</v>
      </c>
      <c r="S289" s="1" t="s">
        <v>15</v>
      </c>
      <c r="T289" s="1" t="s">
        <v>16</v>
      </c>
      <c r="U289" s="1"/>
      <c r="V289" s="1"/>
      <c r="W289" s="1"/>
    </row>
    <row r="290" spans="1:23" x14ac:dyDescent="0.25">
      <c r="A290">
        <v>289</v>
      </c>
      <c r="B290">
        <v>1</v>
      </c>
      <c r="C290" t="str">
        <f>IF(Titanic_Dataset[[#This Row],[Survived]]=1,"Survived","Died")</f>
        <v>Survived</v>
      </c>
      <c r="D290">
        <v>2</v>
      </c>
      <c r="E290" t="str">
        <f>IF(Titanic_Dataset[[#This Row],[Pclass]]=1,"1st",IF(Titanic_Dataset[[#This Row],[Pclass]]=2,"2nd",IF(Titanic_Dataset[[#This Row],[Pclass]]=3,"3rd")))</f>
        <v>2nd</v>
      </c>
      <c r="F290" s="1" t="s">
        <v>614</v>
      </c>
      <c r="G290" s="1" t="str">
        <f>TRIM(MID(Titanic_Dataset[[#This Row],[Name]],
FIND(",",Titanic_Dataset[[#This Row],[Name]])+2,
FIND(".",Titanic_Dataset[[#This Row],[Name]],FIND(",",Titanic_Dataset[[#This Row],[Name]]))-FIND(",",Titanic_Dataset[[#This Row],[Name]])-1))</f>
        <v>Mr.</v>
      </c>
      <c r="H290" s="1" t="s">
        <v>13</v>
      </c>
      <c r="I290">
        <v>42</v>
      </c>
      <c r="J290" t="str">
        <f>IF(Titanic_Dataset[[#This Row],[Age]]&lt;12,"0-11",
IF(Titanic_Dataset[[#This Row],[Age]]&lt;20,"12-19",
IF(Titanic_Dataset[[#This Row],[Age]]&lt;30,"20-29",
IF(Titanic_Dataset[[#This Row],[Age]]&lt;40,"30-39",
IF(Titanic_Dataset[[#This Row],[Age]]&lt;50,"40-49",
IF(Titanic_Dataset[[#This Row],[Age]]&lt;60,"50-59",
IF(Titanic_Dataset[[#This Row],[Age]]&lt;70,"60-69",)))))))</f>
        <v>40-49</v>
      </c>
      <c r="K290">
        <v>0</v>
      </c>
      <c r="L290">
        <v>0</v>
      </c>
      <c r="M290">
        <f>Titanic_Dataset[[#This Row],[Parch]]+Titanic_Dataset[[#This Row],[SibSp]]</f>
        <v>0</v>
      </c>
      <c r="N290" s="1" t="s">
        <v>615</v>
      </c>
      <c r="O290">
        <v>13</v>
      </c>
      <c r="P290">
        <f>IF(Titanic_Dataset[[#This Row],[Survived]]=1,Titanic_Dataset[[#This Row],[Fare]],NA())</f>
        <v>13</v>
      </c>
      <c r="Q290" t="e">
        <f>IF(Titanic_Dataset[[#This Row],[Survived]]=0,Titanic_Dataset[[#This Row],[Fare]],NA())</f>
        <v>#N/A</v>
      </c>
      <c r="R290" t="str">
        <f>VLOOKUP(Titanic_Dataset[[#This Row],[Fare]],Table2[],2,TRUE)</f>
        <v>medium</v>
      </c>
      <c r="S290" s="1" t="s">
        <v>15</v>
      </c>
      <c r="T290" s="1" t="s">
        <v>16</v>
      </c>
      <c r="U290" s="1"/>
      <c r="V290" s="1"/>
      <c r="W290" s="1"/>
    </row>
    <row r="291" spans="1:23" x14ac:dyDescent="0.25">
      <c r="A291">
        <v>290</v>
      </c>
      <c r="B291">
        <v>1</v>
      </c>
      <c r="C291" t="str">
        <f>IF(Titanic_Dataset[[#This Row],[Survived]]=1,"Survived","Died")</f>
        <v>Survived</v>
      </c>
      <c r="D291">
        <v>3</v>
      </c>
      <c r="E291" t="str">
        <f>IF(Titanic_Dataset[[#This Row],[Pclass]]=1,"1st",IF(Titanic_Dataset[[#This Row],[Pclass]]=2,"2nd",IF(Titanic_Dataset[[#This Row],[Pclass]]=3,"3rd")))</f>
        <v>3rd</v>
      </c>
      <c r="F291" s="1" t="s">
        <v>616</v>
      </c>
      <c r="G291" s="1" t="str">
        <f>TRIM(MID(Titanic_Dataset[[#This Row],[Name]],
FIND(",",Titanic_Dataset[[#This Row],[Name]])+2,
FIND(".",Titanic_Dataset[[#This Row],[Name]],FIND(",",Titanic_Dataset[[#This Row],[Name]]))-FIND(",",Titanic_Dataset[[#This Row],[Name]])-1))</f>
        <v>Miss.</v>
      </c>
      <c r="H291" s="1" t="s">
        <v>18</v>
      </c>
      <c r="I291">
        <v>22</v>
      </c>
      <c r="J29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91">
        <v>0</v>
      </c>
      <c r="L291">
        <v>0</v>
      </c>
      <c r="M291">
        <f>Titanic_Dataset[[#This Row],[Parch]]+Titanic_Dataset[[#This Row],[SibSp]]</f>
        <v>0</v>
      </c>
      <c r="N291" s="1" t="s">
        <v>617</v>
      </c>
      <c r="O291">
        <v>7.75</v>
      </c>
      <c r="P291">
        <f>IF(Titanic_Dataset[[#This Row],[Survived]]=1,Titanic_Dataset[[#This Row],[Fare]],NA())</f>
        <v>7.75</v>
      </c>
      <c r="Q291" t="e">
        <f>IF(Titanic_Dataset[[#This Row],[Survived]]=0,Titanic_Dataset[[#This Row],[Fare]],NA())</f>
        <v>#N/A</v>
      </c>
      <c r="R291" t="str">
        <f>VLOOKUP(Titanic_Dataset[[#This Row],[Fare]],Table2[],2,TRUE)</f>
        <v>low</v>
      </c>
      <c r="S291" s="1" t="s">
        <v>15</v>
      </c>
      <c r="T291" s="1" t="s">
        <v>31</v>
      </c>
      <c r="U291" s="1"/>
      <c r="V291" s="1"/>
      <c r="W291" s="1"/>
    </row>
    <row r="292" spans="1:23" x14ac:dyDescent="0.25">
      <c r="A292">
        <v>291</v>
      </c>
      <c r="B292">
        <v>1</v>
      </c>
      <c r="C292" t="str">
        <f>IF(Titanic_Dataset[[#This Row],[Survived]]=1,"Survived","Died")</f>
        <v>Survived</v>
      </c>
      <c r="D292">
        <v>1</v>
      </c>
      <c r="E292" t="str">
        <f>IF(Titanic_Dataset[[#This Row],[Pclass]]=1,"1st",IF(Titanic_Dataset[[#This Row],[Pclass]]=2,"2nd",IF(Titanic_Dataset[[#This Row],[Pclass]]=3,"3rd")))</f>
        <v>1st</v>
      </c>
      <c r="F292" s="1" t="s">
        <v>618</v>
      </c>
      <c r="G292" s="1" t="str">
        <f>TRIM(MID(Titanic_Dataset[[#This Row],[Name]],
FIND(",",Titanic_Dataset[[#This Row],[Name]])+2,
FIND(".",Titanic_Dataset[[#This Row],[Name]],FIND(",",Titanic_Dataset[[#This Row],[Name]]))-FIND(",",Titanic_Dataset[[#This Row],[Name]])-1))</f>
        <v>Miss.</v>
      </c>
      <c r="H292" s="1" t="s">
        <v>18</v>
      </c>
      <c r="I292">
        <v>26</v>
      </c>
      <c r="J29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92">
        <v>0</v>
      </c>
      <c r="L292">
        <v>0</v>
      </c>
      <c r="M292">
        <f>Titanic_Dataset[[#This Row],[Parch]]+Titanic_Dataset[[#This Row],[SibSp]]</f>
        <v>0</v>
      </c>
      <c r="N292" s="1" t="s">
        <v>619</v>
      </c>
      <c r="O292">
        <v>78.849999999999994</v>
      </c>
      <c r="P292">
        <f>IF(Titanic_Dataset[[#This Row],[Survived]]=1,Titanic_Dataset[[#This Row],[Fare]],NA())</f>
        <v>78.849999999999994</v>
      </c>
      <c r="Q292" t="e">
        <f>IF(Titanic_Dataset[[#This Row],[Survived]]=0,Titanic_Dataset[[#This Row],[Fare]],NA())</f>
        <v>#N/A</v>
      </c>
      <c r="R292" t="str">
        <f>VLOOKUP(Titanic_Dataset[[#This Row],[Fare]],Table2[],2,TRUE)</f>
        <v>very hiegh</v>
      </c>
      <c r="S292" s="1" t="s">
        <v>15</v>
      </c>
      <c r="T292" s="1" t="s">
        <v>16</v>
      </c>
      <c r="U292" s="1"/>
      <c r="V292" s="1"/>
      <c r="W292" s="1"/>
    </row>
    <row r="293" spans="1:23" x14ac:dyDescent="0.25">
      <c r="A293">
        <v>292</v>
      </c>
      <c r="B293">
        <v>1</v>
      </c>
      <c r="C293" t="str">
        <f>IF(Titanic_Dataset[[#This Row],[Survived]]=1,"Survived","Died")</f>
        <v>Survived</v>
      </c>
      <c r="D293">
        <v>1</v>
      </c>
      <c r="E293" t="str">
        <f>IF(Titanic_Dataset[[#This Row],[Pclass]]=1,"1st",IF(Titanic_Dataset[[#This Row],[Pclass]]=2,"2nd",IF(Titanic_Dataset[[#This Row],[Pclass]]=3,"3rd")))</f>
        <v>1st</v>
      </c>
      <c r="F293" s="1" t="s">
        <v>620</v>
      </c>
      <c r="G293" s="1" t="str">
        <f>TRIM(MID(Titanic_Dataset[[#This Row],[Name]],
FIND(",",Titanic_Dataset[[#This Row],[Name]])+2,
FIND(".",Titanic_Dataset[[#This Row],[Name]],FIND(",",Titanic_Dataset[[#This Row],[Name]]))-FIND(",",Titanic_Dataset[[#This Row],[Name]])-1))</f>
        <v>Mrs.</v>
      </c>
      <c r="H293" s="1" t="s">
        <v>18</v>
      </c>
      <c r="I293">
        <v>19</v>
      </c>
      <c r="J293" t="str">
        <f>IF(Titanic_Dataset[[#This Row],[Age]]&lt;12,"0-11",
IF(Titanic_Dataset[[#This Row],[Age]]&lt;20,"12-19",
IF(Titanic_Dataset[[#This Row],[Age]]&lt;30,"20-29",
IF(Titanic_Dataset[[#This Row],[Age]]&lt;40,"30-39",
IF(Titanic_Dataset[[#This Row],[Age]]&lt;50,"40-49",
IF(Titanic_Dataset[[#This Row],[Age]]&lt;60,"50-59",
IF(Titanic_Dataset[[#This Row],[Age]]&lt;70,"60-69",)))))))</f>
        <v>12-19</v>
      </c>
      <c r="K293">
        <v>1</v>
      </c>
      <c r="L293">
        <v>0</v>
      </c>
      <c r="M293">
        <f>Titanic_Dataset[[#This Row],[Parch]]+Titanic_Dataset[[#This Row],[SibSp]]</f>
        <v>1</v>
      </c>
      <c r="N293" s="1" t="s">
        <v>621</v>
      </c>
      <c r="O293">
        <v>91.0792</v>
      </c>
      <c r="P293">
        <f>IF(Titanic_Dataset[[#This Row],[Survived]]=1,Titanic_Dataset[[#This Row],[Fare]],NA())</f>
        <v>91.0792</v>
      </c>
      <c r="Q293" t="e">
        <f>IF(Titanic_Dataset[[#This Row],[Survived]]=0,Titanic_Dataset[[#This Row],[Fare]],NA())</f>
        <v>#N/A</v>
      </c>
      <c r="R293" t="str">
        <f>VLOOKUP(Titanic_Dataset[[#This Row],[Fare]],Table2[],2,TRUE)</f>
        <v>very hiegh</v>
      </c>
      <c r="S293" s="1" t="s">
        <v>622</v>
      </c>
      <c r="T293" s="1" t="s">
        <v>21</v>
      </c>
      <c r="U293" s="1"/>
      <c r="V293" s="1"/>
      <c r="W293" s="1"/>
    </row>
    <row r="294" spans="1:23" x14ac:dyDescent="0.25">
      <c r="A294">
        <v>293</v>
      </c>
      <c r="B294">
        <v>0</v>
      </c>
      <c r="C294" t="str">
        <f>IF(Titanic_Dataset[[#This Row],[Survived]]=1,"Survived","Died")</f>
        <v>Died</v>
      </c>
      <c r="D294">
        <v>2</v>
      </c>
      <c r="E294" t="str">
        <f>IF(Titanic_Dataset[[#This Row],[Pclass]]=1,"1st",IF(Titanic_Dataset[[#This Row],[Pclass]]=2,"2nd",IF(Titanic_Dataset[[#This Row],[Pclass]]=3,"3rd")))</f>
        <v>2nd</v>
      </c>
      <c r="F294" s="1" t="s">
        <v>623</v>
      </c>
      <c r="G294" s="1" t="str">
        <f>TRIM(MID(Titanic_Dataset[[#This Row],[Name]],
FIND(",",Titanic_Dataset[[#This Row],[Name]])+2,
FIND(".",Titanic_Dataset[[#This Row],[Name]],FIND(",",Titanic_Dataset[[#This Row],[Name]]))-FIND(",",Titanic_Dataset[[#This Row],[Name]])-1))</f>
        <v>Mr.</v>
      </c>
      <c r="H294" s="1" t="s">
        <v>13</v>
      </c>
      <c r="I294">
        <v>36</v>
      </c>
      <c r="J294" t="str">
        <f>IF(Titanic_Dataset[[#This Row],[Age]]&lt;12,"0-11",
IF(Titanic_Dataset[[#This Row],[Age]]&lt;20,"12-19",
IF(Titanic_Dataset[[#This Row],[Age]]&lt;30,"20-29",
IF(Titanic_Dataset[[#This Row],[Age]]&lt;40,"30-39",
IF(Titanic_Dataset[[#This Row],[Age]]&lt;50,"40-49",
IF(Titanic_Dataset[[#This Row],[Age]]&lt;60,"50-59",
IF(Titanic_Dataset[[#This Row],[Age]]&lt;70,"60-69",)))))))</f>
        <v>30-39</v>
      </c>
      <c r="K294">
        <v>0</v>
      </c>
      <c r="L294">
        <v>0</v>
      </c>
      <c r="M294">
        <f>Titanic_Dataset[[#This Row],[Parch]]+Titanic_Dataset[[#This Row],[SibSp]]</f>
        <v>0</v>
      </c>
      <c r="N294" s="1" t="s">
        <v>624</v>
      </c>
      <c r="O294">
        <v>12.875</v>
      </c>
      <c r="P294" t="e">
        <f>IF(Titanic_Dataset[[#This Row],[Survived]]=1,Titanic_Dataset[[#This Row],[Fare]],NA())</f>
        <v>#N/A</v>
      </c>
      <c r="Q294">
        <f>IF(Titanic_Dataset[[#This Row],[Survived]]=0,Titanic_Dataset[[#This Row],[Fare]],NA())</f>
        <v>12.875</v>
      </c>
      <c r="R294" t="str">
        <f>VLOOKUP(Titanic_Dataset[[#This Row],[Fare]],Table2[],2,TRUE)</f>
        <v>medium</v>
      </c>
      <c r="S294" s="1" t="s">
        <v>625</v>
      </c>
      <c r="T294" s="1" t="s">
        <v>21</v>
      </c>
      <c r="U294" s="1"/>
      <c r="V294" s="1"/>
      <c r="W294" s="1"/>
    </row>
    <row r="295" spans="1:23" x14ac:dyDescent="0.25">
      <c r="A295">
        <v>294</v>
      </c>
      <c r="B295">
        <v>0</v>
      </c>
      <c r="C295" t="str">
        <f>IF(Titanic_Dataset[[#This Row],[Survived]]=1,"Survived","Died")</f>
        <v>Died</v>
      </c>
      <c r="D295">
        <v>3</v>
      </c>
      <c r="E295" t="str">
        <f>IF(Titanic_Dataset[[#This Row],[Pclass]]=1,"1st",IF(Titanic_Dataset[[#This Row],[Pclass]]=2,"2nd",IF(Titanic_Dataset[[#This Row],[Pclass]]=3,"3rd")))</f>
        <v>3rd</v>
      </c>
      <c r="F295" s="1" t="s">
        <v>626</v>
      </c>
      <c r="G295" s="1" t="str">
        <f>TRIM(MID(Titanic_Dataset[[#This Row],[Name]],
FIND(",",Titanic_Dataset[[#This Row],[Name]])+2,
FIND(".",Titanic_Dataset[[#This Row],[Name]],FIND(",",Titanic_Dataset[[#This Row],[Name]]))-FIND(",",Titanic_Dataset[[#This Row],[Name]])-1))</f>
        <v>Miss.</v>
      </c>
      <c r="H295" s="1" t="s">
        <v>18</v>
      </c>
      <c r="I295">
        <v>24</v>
      </c>
      <c r="J29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95">
        <v>0</v>
      </c>
      <c r="L295">
        <v>0</v>
      </c>
      <c r="M295">
        <f>Titanic_Dataset[[#This Row],[Parch]]+Titanic_Dataset[[#This Row],[SibSp]]</f>
        <v>0</v>
      </c>
      <c r="N295" s="1" t="s">
        <v>627</v>
      </c>
      <c r="O295">
        <v>8.85</v>
      </c>
      <c r="P295" t="e">
        <f>IF(Titanic_Dataset[[#This Row],[Survived]]=1,Titanic_Dataset[[#This Row],[Fare]],NA())</f>
        <v>#N/A</v>
      </c>
      <c r="Q295">
        <f>IF(Titanic_Dataset[[#This Row],[Survived]]=0,Titanic_Dataset[[#This Row],[Fare]],NA())</f>
        <v>8.85</v>
      </c>
      <c r="R295" t="str">
        <f>VLOOKUP(Titanic_Dataset[[#This Row],[Fare]],Table2[],2,TRUE)</f>
        <v>medium</v>
      </c>
      <c r="S295" s="1" t="s">
        <v>15</v>
      </c>
      <c r="T295" s="1" t="s">
        <v>16</v>
      </c>
      <c r="U295" s="1"/>
      <c r="V295" s="1"/>
      <c r="W295" s="1"/>
    </row>
    <row r="296" spans="1:23" x14ac:dyDescent="0.25">
      <c r="A296">
        <v>295</v>
      </c>
      <c r="B296">
        <v>0</v>
      </c>
      <c r="C296" t="str">
        <f>IF(Titanic_Dataset[[#This Row],[Survived]]=1,"Survived","Died")</f>
        <v>Died</v>
      </c>
      <c r="D296">
        <v>3</v>
      </c>
      <c r="E296" t="str">
        <f>IF(Titanic_Dataset[[#This Row],[Pclass]]=1,"1st",IF(Titanic_Dataset[[#This Row],[Pclass]]=2,"2nd",IF(Titanic_Dataset[[#This Row],[Pclass]]=3,"3rd")))</f>
        <v>3rd</v>
      </c>
      <c r="F296" s="1" t="s">
        <v>628</v>
      </c>
      <c r="G296" s="1" t="str">
        <f>TRIM(MID(Titanic_Dataset[[#This Row],[Name]],
FIND(",",Titanic_Dataset[[#This Row],[Name]])+2,
FIND(".",Titanic_Dataset[[#This Row],[Name]],FIND(",",Titanic_Dataset[[#This Row],[Name]]))-FIND(",",Titanic_Dataset[[#This Row],[Name]])-1))</f>
        <v>Mr.</v>
      </c>
      <c r="H296" s="1" t="s">
        <v>13</v>
      </c>
      <c r="I296">
        <v>24</v>
      </c>
      <c r="J29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96">
        <v>0</v>
      </c>
      <c r="L296">
        <v>0</v>
      </c>
      <c r="M296">
        <f>Titanic_Dataset[[#This Row],[Parch]]+Titanic_Dataset[[#This Row],[SibSp]]</f>
        <v>0</v>
      </c>
      <c r="N296" s="1" t="s">
        <v>629</v>
      </c>
      <c r="O296">
        <v>7.8958000000000004</v>
      </c>
      <c r="P296" t="e">
        <f>IF(Titanic_Dataset[[#This Row],[Survived]]=1,Titanic_Dataset[[#This Row],[Fare]],NA())</f>
        <v>#N/A</v>
      </c>
      <c r="Q296">
        <f>IF(Titanic_Dataset[[#This Row],[Survived]]=0,Titanic_Dataset[[#This Row],[Fare]],NA())</f>
        <v>7.8958000000000004</v>
      </c>
      <c r="R296" t="str">
        <f>VLOOKUP(Titanic_Dataset[[#This Row],[Fare]],Table2[],2,TRUE)</f>
        <v>low</v>
      </c>
      <c r="S296" s="1" t="s">
        <v>15</v>
      </c>
      <c r="T296" s="1" t="s">
        <v>16</v>
      </c>
      <c r="U296" s="1"/>
      <c r="V296" s="1"/>
      <c r="W296" s="1"/>
    </row>
    <row r="297" spans="1:23" x14ac:dyDescent="0.25">
      <c r="A297">
        <v>296</v>
      </c>
      <c r="B297">
        <v>0</v>
      </c>
      <c r="C297" t="str">
        <f>IF(Titanic_Dataset[[#This Row],[Survived]]=1,"Survived","Died")</f>
        <v>Died</v>
      </c>
      <c r="D297">
        <v>1</v>
      </c>
      <c r="E297" t="str">
        <f>IF(Titanic_Dataset[[#This Row],[Pclass]]=1,"1st",IF(Titanic_Dataset[[#This Row],[Pclass]]=2,"2nd",IF(Titanic_Dataset[[#This Row],[Pclass]]=3,"3rd")))</f>
        <v>1st</v>
      </c>
      <c r="F297" s="1" t="s">
        <v>630</v>
      </c>
      <c r="G297" s="1" t="str">
        <f>TRIM(MID(Titanic_Dataset[[#This Row],[Name]],
FIND(",",Titanic_Dataset[[#This Row],[Name]])+2,
FIND(".",Titanic_Dataset[[#This Row],[Name]],FIND(",",Titanic_Dataset[[#This Row],[Name]]))-FIND(",",Titanic_Dataset[[#This Row],[Name]])-1))</f>
        <v>Mr.</v>
      </c>
      <c r="H297" s="1" t="s">
        <v>13</v>
      </c>
      <c r="I297">
        <v>28</v>
      </c>
      <c r="J29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97">
        <v>0</v>
      </c>
      <c r="L297">
        <v>0</v>
      </c>
      <c r="M297">
        <f>Titanic_Dataset[[#This Row],[Parch]]+Titanic_Dataset[[#This Row],[SibSp]]</f>
        <v>0</v>
      </c>
      <c r="N297" s="1" t="s">
        <v>631</v>
      </c>
      <c r="O297">
        <v>27.720800000000001</v>
      </c>
      <c r="P297" t="e">
        <f>IF(Titanic_Dataset[[#This Row],[Survived]]=1,Titanic_Dataset[[#This Row],[Fare]],NA())</f>
        <v>#N/A</v>
      </c>
      <c r="Q297">
        <f>IF(Titanic_Dataset[[#This Row],[Survived]]=0,Titanic_Dataset[[#This Row],[Fare]],NA())</f>
        <v>27.720800000000001</v>
      </c>
      <c r="R297" t="str">
        <f>VLOOKUP(Titanic_Dataset[[#This Row],[Fare]],Table2[],2,TRUE)</f>
        <v>high</v>
      </c>
      <c r="S297" s="1" t="s">
        <v>15</v>
      </c>
      <c r="T297" s="1" t="s">
        <v>21</v>
      </c>
      <c r="U297" s="1"/>
      <c r="V297" s="1"/>
      <c r="W297" s="1"/>
    </row>
    <row r="298" spans="1:23" x14ac:dyDescent="0.25">
      <c r="A298">
        <v>297</v>
      </c>
      <c r="B298">
        <v>0</v>
      </c>
      <c r="C298" t="str">
        <f>IF(Titanic_Dataset[[#This Row],[Survived]]=1,"Survived","Died")</f>
        <v>Died</v>
      </c>
      <c r="D298">
        <v>3</v>
      </c>
      <c r="E298" t="str">
        <f>IF(Titanic_Dataset[[#This Row],[Pclass]]=1,"1st",IF(Titanic_Dataset[[#This Row],[Pclass]]=2,"2nd",IF(Titanic_Dataset[[#This Row],[Pclass]]=3,"3rd")))</f>
        <v>3rd</v>
      </c>
      <c r="F298" s="1" t="s">
        <v>632</v>
      </c>
      <c r="G298" s="1" t="str">
        <f>TRIM(MID(Titanic_Dataset[[#This Row],[Name]],
FIND(",",Titanic_Dataset[[#This Row],[Name]])+2,
FIND(".",Titanic_Dataset[[#This Row],[Name]],FIND(",",Titanic_Dataset[[#This Row],[Name]]))-FIND(",",Titanic_Dataset[[#This Row],[Name]])-1))</f>
        <v>Mr.</v>
      </c>
      <c r="H298" s="1" t="s">
        <v>13</v>
      </c>
      <c r="I298">
        <v>23.5</v>
      </c>
      <c r="J29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298">
        <v>0</v>
      </c>
      <c r="L298">
        <v>0</v>
      </c>
      <c r="M298">
        <f>Titanic_Dataset[[#This Row],[Parch]]+Titanic_Dataset[[#This Row],[SibSp]]</f>
        <v>0</v>
      </c>
      <c r="N298" s="1" t="s">
        <v>633</v>
      </c>
      <c r="O298">
        <v>7.2291999999999996</v>
      </c>
      <c r="P298" t="e">
        <f>IF(Titanic_Dataset[[#This Row],[Survived]]=1,Titanic_Dataset[[#This Row],[Fare]],NA())</f>
        <v>#N/A</v>
      </c>
      <c r="Q298">
        <f>IF(Titanic_Dataset[[#This Row],[Survived]]=0,Titanic_Dataset[[#This Row],[Fare]],NA())</f>
        <v>7.2291999999999996</v>
      </c>
      <c r="R298" t="str">
        <f>VLOOKUP(Titanic_Dataset[[#This Row],[Fare]],Table2[],2,TRUE)</f>
        <v>low</v>
      </c>
      <c r="S298" s="1" t="s">
        <v>15</v>
      </c>
      <c r="T298" s="1" t="s">
        <v>21</v>
      </c>
      <c r="U298" s="1"/>
      <c r="V298" s="1"/>
      <c r="W298" s="1"/>
    </row>
    <row r="299" spans="1:23" x14ac:dyDescent="0.25">
      <c r="A299">
        <v>298</v>
      </c>
      <c r="B299">
        <v>0</v>
      </c>
      <c r="C299" t="str">
        <f>IF(Titanic_Dataset[[#This Row],[Survived]]=1,"Survived","Died")</f>
        <v>Died</v>
      </c>
      <c r="D299">
        <v>1</v>
      </c>
      <c r="E299" t="str">
        <f>IF(Titanic_Dataset[[#This Row],[Pclass]]=1,"1st",IF(Titanic_Dataset[[#This Row],[Pclass]]=2,"2nd",IF(Titanic_Dataset[[#This Row],[Pclass]]=3,"3rd")))</f>
        <v>1st</v>
      </c>
      <c r="F299" s="1" t="s">
        <v>634</v>
      </c>
      <c r="G299" s="1" t="str">
        <f>TRIM(MID(Titanic_Dataset[[#This Row],[Name]],
FIND(",",Titanic_Dataset[[#This Row],[Name]])+2,
FIND(".",Titanic_Dataset[[#This Row],[Name]],FIND(",",Titanic_Dataset[[#This Row],[Name]]))-FIND(",",Titanic_Dataset[[#This Row],[Name]])-1))</f>
        <v>Miss.</v>
      </c>
      <c r="H299" s="1" t="s">
        <v>18</v>
      </c>
      <c r="I299">
        <v>2</v>
      </c>
      <c r="J299" t="str">
        <f>IF(Titanic_Dataset[[#This Row],[Age]]&lt;12,"0-11",
IF(Titanic_Dataset[[#This Row],[Age]]&lt;20,"12-19",
IF(Titanic_Dataset[[#This Row],[Age]]&lt;30,"20-29",
IF(Titanic_Dataset[[#This Row],[Age]]&lt;40,"30-39",
IF(Titanic_Dataset[[#This Row],[Age]]&lt;50,"40-49",
IF(Titanic_Dataset[[#This Row],[Age]]&lt;60,"50-59",
IF(Titanic_Dataset[[#This Row],[Age]]&lt;70,"60-69",)))))))</f>
        <v>0-11</v>
      </c>
      <c r="K299">
        <v>1</v>
      </c>
      <c r="L299">
        <v>2</v>
      </c>
      <c r="M299">
        <f>Titanic_Dataset[[#This Row],[Parch]]+Titanic_Dataset[[#This Row],[SibSp]]</f>
        <v>3</v>
      </c>
      <c r="N299" s="1" t="s">
        <v>635</v>
      </c>
      <c r="O299">
        <v>151.55000000000001</v>
      </c>
      <c r="P299" t="e">
        <f>IF(Titanic_Dataset[[#This Row],[Survived]]=1,Titanic_Dataset[[#This Row],[Fare]],NA())</f>
        <v>#N/A</v>
      </c>
      <c r="Q299">
        <f>IF(Titanic_Dataset[[#This Row],[Survived]]=0,Titanic_Dataset[[#This Row],[Fare]],NA())</f>
        <v>151.55000000000001</v>
      </c>
      <c r="R299" t="str">
        <f>VLOOKUP(Titanic_Dataset[[#This Row],[Fare]],Table2[],2,TRUE)</f>
        <v>very hiegh</v>
      </c>
      <c r="S299" s="1" t="s">
        <v>636</v>
      </c>
      <c r="T299" s="1" t="s">
        <v>16</v>
      </c>
      <c r="U299" s="1"/>
      <c r="V299" s="1"/>
      <c r="W299" s="1"/>
    </row>
    <row r="300" spans="1:23" x14ac:dyDescent="0.25">
      <c r="A300">
        <v>299</v>
      </c>
      <c r="B300">
        <v>1</v>
      </c>
      <c r="C300" t="str">
        <f>IF(Titanic_Dataset[[#This Row],[Survived]]=1,"Survived","Died")</f>
        <v>Survived</v>
      </c>
      <c r="D300">
        <v>1</v>
      </c>
      <c r="E300" t="str">
        <f>IF(Titanic_Dataset[[#This Row],[Pclass]]=1,"1st",IF(Titanic_Dataset[[#This Row],[Pclass]]=2,"2nd",IF(Titanic_Dataset[[#This Row],[Pclass]]=3,"3rd")))</f>
        <v>1st</v>
      </c>
      <c r="F300" s="1" t="s">
        <v>637</v>
      </c>
      <c r="G300" s="1" t="str">
        <f>TRIM(MID(Titanic_Dataset[[#This Row],[Name]],
FIND(",",Titanic_Dataset[[#This Row],[Name]])+2,
FIND(".",Titanic_Dataset[[#This Row],[Name]],FIND(",",Titanic_Dataset[[#This Row],[Name]]))-FIND(",",Titanic_Dataset[[#This Row],[Name]])-1))</f>
        <v>Mr.</v>
      </c>
      <c r="H300" s="1" t="s">
        <v>13</v>
      </c>
      <c r="I300">
        <v>28</v>
      </c>
      <c r="J30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00">
        <v>0</v>
      </c>
      <c r="L300">
        <v>0</v>
      </c>
      <c r="M300">
        <f>Titanic_Dataset[[#This Row],[Parch]]+Titanic_Dataset[[#This Row],[SibSp]]</f>
        <v>0</v>
      </c>
      <c r="N300" s="1" t="s">
        <v>638</v>
      </c>
      <c r="O300">
        <v>30.5</v>
      </c>
      <c r="P300">
        <f>IF(Titanic_Dataset[[#This Row],[Survived]]=1,Titanic_Dataset[[#This Row],[Fare]],NA())</f>
        <v>30.5</v>
      </c>
      <c r="Q300" t="e">
        <f>IF(Titanic_Dataset[[#This Row],[Survived]]=0,Titanic_Dataset[[#This Row],[Fare]],NA())</f>
        <v>#N/A</v>
      </c>
      <c r="R300" t="str">
        <f>VLOOKUP(Titanic_Dataset[[#This Row],[Fare]],Table2[],2,TRUE)</f>
        <v>very hiegh</v>
      </c>
      <c r="S300" s="1" t="s">
        <v>639</v>
      </c>
      <c r="T300" s="1" t="s">
        <v>16</v>
      </c>
      <c r="U300" s="1"/>
      <c r="V300" s="1"/>
      <c r="W300" s="1"/>
    </row>
    <row r="301" spans="1:23" x14ac:dyDescent="0.25">
      <c r="A301">
        <v>300</v>
      </c>
      <c r="B301">
        <v>1</v>
      </c>
      <c r="C301" t="str">
        <f>IF(Titanic_Dataset[[#This Row],[Survived]]=1,"Survived","Died")</f>
        <v>Survived</v>
      </c>
      <c r="D301">
        <v>1</v>
      </c>
      <c r="E301" t="str">
        <f>IF(Titanic_Dataset[[#This Row],[Pclass]]=1,"1st",IF(Titanic_Dataset[[#This Row],[Pclass]]=2,"2nd",IF(Titanic_Dataset[[#This Row],[Pclass]]=3,"3rd")))</f>
        <v>1st</v>
      </c>
      <c r="F301" s="1" t="s">
        <v>640</v>
      </c>
      <c r="G301" s="1" t="str">
        <f>TRIM(MID(Titanic_Dataset[[#This Row],[Name]],
FIND(",",Titanic_Dataset[[#This Row],[Name]])+2,
FIND(".",Titanic_Dataset[[#This Row],[Name]],FIND(",",Titanic_Dataset[[#This Row],[Name]]))-FIND(",",Titanic_Dataset[[#This Row],[Name]])-1))</f>
        <v>Mrs.</v>
      </c>
      <c r="H301" s="1" t="s">
        <v>18</v>
      </c>
      <c r="I301">
        <v>50</v>
      </c>
      <c r="J301" t="str">
        <f>IF(Titanic_Dataset[[#This Row],[Age]]&lt;12,"0-11",
IF(Titanic_Dataset[[#This Row],[Age]]&lt;20,"12-19",
IF(Titanic_Dataset[[#This Row],[Age]]&lt;30,"20-29",
IF(Titanic_Dataset[[#This Row],[Age]]&lt;40,"30-39",
IF(Titanic_Dataset[[#This Row],[Age]]&lt;50,"40-49",
IF(Titanic_Dataset[[#This Row],[Age]]&lt;60,"50-59",
IF(Titanic_Dataset[[#This Row],[Age]]&lt;70,"60-69",)))))))</f>
        <v>50-59</v>
      </c>
      <c r="K301">
        <v>0</v>
      </c>
      <c r="L301">
        <v>1</v>
      </c>
      <c r="M301">
        <f>Titanic_Dataset[[#This Row],[Parch]]+Titanic_Dataset[[#This Row],[SibSp]]</f>
        <v>1</v>
      </c>
      <c r="N301" s="1" t="s">
        <v>272</v>
      </c>
      <c r="O301">
        <v>247.52080000000001</v>
      </c>
      <c r="P301">
        <f>IF(Titanic_Dataset[[#This Row],[Survived]]=1,Titanic_Dataset[[#This Row],[Fare]],NA())</f>
        <v>247.52080000000001</v>
      </c>
      <c r="Q301" t="e">
        <f>IF(Titanic_Dataset[[#This Row],[Survived]]=0,Titanic_Dataset[[#This Row],[Fare]],NA())</f>
        <v>#N/A</v>
      </c>
      <c r="R301" t="str">
        <f>VLOOKUP(Titanic_Dataset[[#This Row],[Fare]],Table2[],2,TRUE)</f>
        <v>very hiegh</v>
      </c>
      <c r="S301" s="1" t="s">
        <v>273</v>
      </c>
      <c r="T301" s="1" t="s">
        <v>21</v>
      </c>
      <c r="U301" s="1"/>
      <c r="V301" s="1"/>
      <c r="W301" s="1"/>
    </row>
    <row r="302" spans="1:23" x14ac:dyDescent="0.25">
      <c r="A302">
        <v>301</v>
      </c>
      <c r="B302">
        <v>1</v>
      </c>
      <c r="C302" t="str">
        <f>IF(Titanic_Dataset[[#This Row],[Survived]]=1,"Survived","Died")</f>
        <v>Survived</v>
      </c>
      <c r="D302">
        <v>3</v>
      </c>
      <c r="E302" t="str">
        <f>IF(Titanic_Dataset[[#This Row],[Pclass]]=1,"1st",IF(Titanic_Dataset[[#This Row],[Pclass]]=2,"2nd",IF(Titanic_Dataset[[#This Row],[Pclass]]=3,"3rd")))</f>
        <v>3rd</v>
      </c>
      <c r="F302" s="1" t="s">
        <v>641</v>
      </c>
      <c r="G302" s="1" t="str">
        <f>TRIM(MID(Titanic_Dataset[[#This Row],[Name]],
FIND(",",Titanic_Dataset[[#This Row],[Name]])+2,
FIND(".",Titanic_Dataset[[#This Row],[Name]],FIND(",",Titanic_Dataset[[#This Row],[Name]]))-FIND(",",Titanic_Dataset[[#This Row],[Name]])-1))</f>
        <v>Miss.</v>
      </c>
      <c r="H302" s="1" t="s">
        <v>18</v>
      </c>
      <c r="I302">
        <v>28</v>
      </c>
      <c r="J30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02">
        <v>0</v>
      </c>
      <c r="L302">
        <v>0</v>
      </c>
      <c r="M302">
        <f>Titanic_Dataset[[#This Row],[Parch]]+Titanic_Dataset[[#This Row],[SibSp]]</f>
        <v>0</v>
      </c>
      <c r="N302" s="1" t="s">
        <v>642</v>
      </c>
      <c r="O302">
        <v>7.75</v>
      </c>
      <c r="P302">
        <f>IF(Titanic_Dataset[[#This Row],[Survived]]=1,Titanic_Dataset[[#This Row],[Fare]],NA())</f>
        <v>7.75</v>
      </c>
      <c r="Q302" t="e">
        <f>IF(Titanic_Dataset[[#This Row],[Survived]]=0,Titanic_Dataset[[#This Row],[Fare]],NA())</f>
        <v>#N/A</v>
      </c>
      <c r="R302" t="str">
        <f>VLOOKUP(Titanic_Dataset[[#This Row],[Fare]],Table2[],2,TRUE)</f>
        <v>low</v>
      </c>
      <c r="S302" s="1" t="s">
        <v>15</v>
      </c>
      <c r="T302" s="1" t="s">
        <v>31</v>
      </c>
      <c r="U302" s="1"/>
      <c r="V302" s="1"/>
      <c r="W302" s="1"/>
    </row>
    <row r="303" spans="1:23" x14ac:dyDescent="0.25">
      <c r="A303">
        <v>302</v>
      </c>
      <c r="B303">
        <v>1</v>
      </c>
      <c r="C303" t="str">
        <f>IF(Titanic_Dataset[[#This Row],[Survived]]=1,"Survived","Died")</f>
        <v>Survived</v>
      </c>
      <c r="D303">
        <v>3</v>
      </c>
      <c r="E303" t="str">
        <f>IF(Titanic_Dataset[[#This Row],[Pclass]]=1,"1st",IF(Titanic_Dataset[[#This Row],[Pclass]]=2,"2nd",IF(Titanic_Dataset[[#This Row],[Pclass]]=3,"3rd")))</f>
        <v>3rd</v>
      </c>
      <c r="F303" s="1" t="s">
        <v>643</v>
      </c>
      <c r="G303" s="1" t="str">
        <f>TRIM(MID(Titanic_Dataset[[#This Row],[Name]],
FIND(",",Titanic_Dataset[[#This Row],[Name]])+2,
FIND(".",Titanic_Dataset[[#This Row],[Name]],FIND(",",Titanic_Dataset[[#This Row],[Name]]))-FIND(",",Titanic_Dataset[[#This Row],[Name]])-1))</f>
        <v>Mr.</v>
      </c>
      <c r="H303" s="1" t="s">
        <v>13</v>
      </c>
      <c r="I303">
        <v>28</v>
      </c>
      <c r="J30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03">
        <v>2</v>
      </c>
      <c r="L303">
        <v>0</v>
      </c>
      <c r="M303">
        <f>Titanic_Dataset[[#This Row],[Parch]]+Titanic_Dataset[[#This Row],[SibSp]]</f>
        <v>2</v>
      </c>
      <c r="N303" s="1" t="s">
        <v>644</v>
      </c>
      <c r="O303">
        <v>23.25</v>
      </c>
      <c r="P303">
        <f>IF(Titanic_Dataset[[#This Row],[Survived]]=1,Titanic_Dataset[[#This Row],[Fare]],NA())</f>
        <v>23.25</v>
      </c>
      <c r="Q303" t="e">
        <f>IF(Titanic_Dataset[[#This Row],[Survived]]=0,Titanic_Dataset[[#This Row],[Fare]],NA())</f>
        <v>#N/A</v>
      </c>
      <c r="R303" t="str">
        <f>VLOOKUP(Titanic_Dataset[[#This Row],[Fare]],Table2[],2,TRUE)</f>
        <v>high</v>
      </c>
      <c r="S303" s="1" t="s">
        <v>15</v>
      </c>
      <c r="T303" s="1" t="s">
        <v>31</v>
      </c>
      <c r="U303" s="1"/>
      <c r="V303" s="1"/>
      <c r="W303" s="1"/>
    </row>
    <row r="304" spans="1:23" x14ac:dyDescent="0.25">
      <c r="A304">
        <v>303</v>
      </c>
      <c r="B304">
        <v>0</v>
      </c>
      <c r="C304" t="str">
        <f>IF(Titanic_Dataset[[#This Row],[Survived]]=1,"Survived","Died")</f>
        <v>Died</v>
      </c>
      <c r="D304">
        <v>3</v>
      </c>
      <c r="E304" t="str">
        <f>IF(Titanic_Dataset[[#This Row],[Pclass]]=1,"1st",IF(Titanic_Dataset[[#This Row],[Pclass]]=2,"2nd",IF(Titanic_Dataset[[#This Row],[Pclass]]=3,"3rd")))</f>
        <v>3rd</v>
      </c>
      <c r="F304" s="1" t="s">
        <v>645</v>
      </c>
      <c r="G304" s="1" t="str">
        <f>TRIM(MID(Titanic_Dataset[[#This Row],[Name]],
FIND(",",Titanic_Dataset[[#This Row],[Name]])+2,
FIND(".",Titanic_Dataset[[#This Row],[Name]],FIND(",",Titanic_Dataset[[#This Row],[Name]]))-FIND(",",Titanic_Dataset[[#This Row],[Name]])-1))</f>
        <v>Mr.</v>
      </c>
      <c r="H304" s="1" t="s">
        <v>13</v>
      </c>
      <c r="I304">
        <v>19</v>
      </c>
      <c r="J304" t="str">
        <f>IF(Titanic_Dataset[[#This Row],[Age]]&lt;12,"0-11",
IF(Titanic_Dataset[[#This Row],[Age]]&lt;20,"12-19",
IF(Titanic_Dataset[[#This Row],[Age]]&lt;30,"20-29",
IF(Titanic_Dataset[[#This Row],[Age]]&lt;40,"30-39",
IF(Titanic_Dataset[[#This Row],[Age]]&lt;50,"40-49",
IF(Titanic_Dataset[[#This Row],[Age]]&lt;60,"50-59",
IF(Titanic_Dataset[[#This Row],[Age]]&lt;70,"60-69",)))))))</f>
        <v>12-19</v>
      </c>
      <c r="K304">
        <v>0</v>
      </c>
      <c r="L304">
        <v>0</v>
      </c>
      <c r="M304">
        <f>Titanic_Dataset[[#This Row],[Parch]]+Titanic_Dataset[[#This Row],[SibSp]]</f>
        <v>0</v>
      </c>
      <c r="N304" s="1" t="s">
        <v>393</v>
      </c>
      <c r="O304">
        <v>0</v>
      </c>
      <c r="P304" t="e">
        <f>IF(Titanic_Dataset[[#This Row],[Survived]]=1,Titanic_Dataset[[#This Row],[Fare]],NA())</f>
        <v>#N/A</v>
      </c>
      <c r="Q304">
        <f>IF(Titanic_Dataset[[#This Row],[Survived]]=0,Titanic_Dataset[[#This Row],[Fare]],NA())</f>
        <v>0</v>
      </c>
      <c r="R304" t="str">
        <f>VLOOKUP(Titanic_Dataset[[#This Row],[Fare]],Table2[],2,TRUE)</f>
        <v>low</v>
      </c>
      <c r="S304" s="1" t="s">
        <v>15</v>
      </c>
      <c r="T304" s="1" t="s">
        <v>16</v>
      </c>
      <c r="U304" s="1"/>
      <c r="V304" s="1"/>
      <c r="W304" s="1"/>
    </row>
    <row r="305" spans="1:23" x14ac:dyDescent="0.25">
      <c r="A305">
        <v>304</v>
      </c>
      <c r="B305">
        <v>1</v>
      </c>
      <c r="C305" t="str">
        <f>IF(Titanic_Dataset[[#This Row],[Survived]]=1,"Survived","Died")</f>
        <v>Survived</v>
      </c>
      <c r="D305">
        <v>2</v>
      </c>
      <c r="E305" t="str">
        <f>IF(Titanic_Dataset[[#This Row],[Pclass]]=1,"1st",IF(Titanic_Dataset[[#This Row],[Pclass]]=2,"2nd",IF(Titanic_Dataset[[#This Row],[Pclass]]=3,"3rd")))</f>
        <v>2nd</v>
      </c>
      <c r="F305" s="1" t="s">
        <v>646</v>
      </c>
      <c r="G305" s="1" t="str">
        <f>TRIM(MID(Titanic_Dataset[[#This Row],[Name]],
FIND(",",Titanic_Dataset[[#This Row],[Name]])+2,
FIND(".",Titanic_Dataset[[#This Row],[Name]],FIND(",",Titanic_Dataset[[#This Row],[Name]]))-FIND(",",Titanic_Dataset[[#This Row],[Name]])-1))</f>
        <v>Miss.</v>
      </c>
      <c r="H305" s="1" t="s">
        <v>18</v>
      </c>
      <c r="I305">
        <v>28</v>
      </c>
      <c r="J30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05">
        <v>0</v>
      </c>
      <c r="L305">
        <v>0</v>
      </c>
      <c r="M305">
        <f>Titanic_Dataset[[#This Row],[Parch]]+Titanic_Dataset[[#This Row],[SibSp]]</f>
        <v>0</v>
      </c>
      <c r="N305" s="1" t="s">
        <v>647</v>
      </c>
      <c r="O305">
        <v>12.35</v>
      </c>
      <c r="P305">
        <f>IF(Titanic_Dataset[[#This Row],[Survived]]=1,Titanic_Dataset[[#This Row],[Fare]],NA())</f>
        <v>12.35</v>
      </c>
      <c r="Q305" t="e">
        <f>IF(Titanic_Dataset[[#This Row],[Survived]]=0,Titanic_Dataset[[#This Row],[Fare]],NA())</f>
        <v>#N/A</v>
      </c>
      <c r="R305" t="str">
        <f>VLOOKUP(Titanic_Dataset[[#This Row],[Fare]],Table2[],2,TRUE)</f>
        <v>medium</v>
      </c>
      <c r="S305" s="1" t="s">
        <v>281</v>
      </c>
      <c r="T305" s="1" t="s">
        <v>31</v>
      </c>
      <c r="U305" s="1"/>
      <c r="V305" s="1"/>
      <c r="W305" s="1"/>
    </row>
    <row r="306" spans="1:23" x14ac:dyDescent="0.25">
      <c r="A306">
        <v>305</v>
      </c>
      <c r="B306">
        <v>0</v>
      </c>
      <c r="C306" t="str">
        <f>IF(Titanic_Dataset[[#This Row],[Survived]]=1,"Survived","Died")</f>
        <v>Died</v>
      </c>
      <c r="D306">
        <v>3</v>
      </c>
      <c r="E306" t="str">
        <f>IF(Titanic_Dataset[[#This Row],[Pclass]]=1,"1st",IF(Titanic_Dataset[[#This Row],[Pclass]]=2,"2nd",IF(Titanic_Dataset[[#This Row],[Pclass]]=3,"3rd")))</f>
        <v>3rd</v>
      </c>
      <c r="F306" s="1" t="s">
        <v>648</v>
      </c>
      <c r="G306" s="1" t="str">
        <f>TRIM(MID(Titanic_Dataset[[#This Row],[Name]],
FIND(",",Titanic_Dataset[[#This Row],[Name]])+2,
FIND(".",Titanic_Dataset[[#This Row],[Name]],FIND(",",Titanic_Dataset[[#This Row],[Name]]))-FIND(",",Titanic_Dataset[[#This Row],[Name]])-1))</f>
        <v>Mr.</v>
      </c>
      <c r="H306" s="1" t="s">
        <v>13</v>
      </c>
      <c r="I306">
        <v>28</v>
      </c>
      <c r="J30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06">
        <v>0</v>
      </c>
      <c r="L306">
        <v>0</v>
      </c>
      <c r="M306">
        <f>Titanic_Dataset[[#This Row],[Parch]]+Titanic_Dataset[[#This Row],[SibSp]]</f>
        <v>0</v>
      </c>
      <c r="N306" s="1" t="s">
        <v>649</v>
      </c>
      <c r="O306">
        <v>8.0500000000000007</v>
      </c>
      <c r="P306" t="e">
        <f>IF(Titanic_Dataset[[#This Row],[Survived]]=1,Titanic_Dataset[[#This Row],[Fare]],NA())</f>
        <v>#N/A</v>
      </c>
      <c r="Q306">
        <f>IF(Titanic_Dataset[[#This Row],[Survived]]=0,Titanic_Dataset[[#This Row],[Fare]],NA())</f>
        <v>8.0500000000000007</v>
      </c>
      <c r="R306" t="str">
        <f>VLOOKUP(Titanic_Dataset[[#This Row],[Fare]],Table2[],2,TRUE)</f>
        <v>medium</v>
      </c>
      <c r="S306" s="1" t="s">
        <v>15</v>
      </c>
      <c r="T306" s="1" t="s">
        <v>16</v>
      </c>
      <c r="U306" s="1"/>
      <c r="V306" s="1"/>
      <c r="W306" s="1"/>
    </row>
    <row r="307" spans="1:23" x14ac:dyDescent="0.25">
      <c r="A307">
        <v>306</v>
      </c>
      <c r="B307">
        <v>1</v>
      </c>
      <c r="C307" t="str">
        <f>IF(Titanic_Dataset[[#This Row],[Survived]]=1,"Survived","Died")</f>
        <v>Survived</v>
      </c>
      <c r="D307">
        <v>1</v>
      </c>
      <c r="E307" t="str">
        <f>IF(Titanic_Dataset[[#This Row],[Pclass]]=1,"1st",IF(Titanic_Dataset[[#This Row],[Pclass]]=2,"2nd",IF(Titanic_Dataset[[#This Row],[Pclass]]=3,"3rd")))</f>
        <v>1st</v>
      </c>
      <c r="F307" s="1" t="s">
        <v>650</v>
      </c>
      <c r="G307" s="1" t="str">
        <f>TRIM(MID(Titanic_Dataset[[#This Row],[Name]],
FIND(",",Titanic_Dataset[[#This Row],[Name]])+2,
FIND(".",Titanic_Dataset[[#This Row],[Name]],FIND(",",Titanic_Dataset[[#This Row],[Name]]))-FIND(",",Titanic_Dataset[[#This Row],[Name]])-1))</f>
        <v>Master.</v>
      </c>
      <c r="H307" s="1" t="s">
        <v>13</v>
      </c>
      <c r="I307">
        <v>0.92</v>
      </c>
      <c r="J307" t="str">
        <f>IF(Titanic_Dataset[[#This Row],[Age]]&lt;12,"0-11",
IF(Titanic_Dataset[[#This Row],[Age]]&lt;20,"12-19",
IF(Titanic_Dataset[[#This Row],[Age]]&lt;30,"20-29",
IF(Titanic_Dataset[[#This Row],[Age]]&lt;40,"30-39",
IF(Titanic_Dataset[[#This Row],[Age]]&lt;50,"40-49",
IF(Titanic_Dataset[[#This Row],[Age]]&lt;60,"50-59",
IF(Titanic_Dataset[[#This Row],[Age]]&lt;70,"60-69",)))))))</f>
        <v>0-11</v>
      </c>
      <c r="K307">
        <v>1</v>
      </c>
      <c r="L307">
        <v>2</v>
      </c>
      <c r="M307">
        <f>Titanic_Dataset[[#This Row],[Parch]]+Titanic_Dataset[[#This Row],[SibSp]]</f>
        <v>3</v>
      </c>
      <c r="N307" s="1" t="s">
        <v>635</v>
      </c>
      <c r="O307">
        <v>151.55000000000001</v>
      </c>
      <c r="P307">
        <f>IF(Titanic_Dataset[[#This Row],[Survived]]=1,Titanic_Dataset[[#This Row],[Fare]],NA())</f>
        <v>151.55000000000001</v>
      </c>
      <c r="Q307" t="e">
        <f>IF(Titanic_Dataset[[#This Row],[Survived]]=0,Titanic_Dataset[[#This Row],[Fare]],NA())</f>
        <v>#N/A</v>
      </c>
      <c r="R307" t="str">
        <f>VLOOKUP(Titanic_Dataset[[#This Row],[Fare]],Table2[],2,TRUE)</f>
        <v>very hiegh</v>
      </c>
      <c r="S307" s="1" t="s">
        <v>636</v>
      </c>
      <c r="T307" s="1" t="s">
        <v>16</v>
      </c>
      <c r="U307" s="1"/>
      <c r="V307" s="1"/>
      <c r="W307" s="1"/>
    </row>
    <row r="308" spans="1:23" x14ac:dyDescent="0.25">
      <c r="A308">
        <v>307</v>
      </c>
      <c r="B308">
        <v>1</v>
      </c>
      <c r="C308" t="str">
        <f>IF(Titanic_Dataset[[#This Row],[Survived]]=1,"Survived","Died")</f>
        <v>Survived</v>
      </c>
      <c r="D308">
        <v>1</v>
      </c>
      <c r="E308" t="str">
        <f>IF(Titanic_Dataset[[#This Row],[Pclass]]=1,"1st",IF(Titanic_Dataset[[#This Row],[Pclass]]=2,"2nd",IF(Titanic_Dataset[[#This Row],[Pclass]]=3,"3rd")))</f>
        <v>1st</v>
      </c>
      <c r="F308" s="1" t="s">
        <v>651</v>
      </c>
      <c r="G308" s="1" t="str">
        <f>TRIM(MID(Titanic_Dataset[[#This Row],[Name]],
FIND(",",Titanic_Dataset[[#This Row],[Name]])+2,
FIND(".",Titanic_Dataset[[#This Row],[Name]],FIND(",",Titanic_Dataset[[#This Row],[Name]]))-FIND(",",Titanic_Dataset[[#This Row],[Name]])-1))</f>
        <v>Miss.</v>
      </c>
      <c r="H308" s="1" t="s">
        <v>18</v>
      </c>
      <c r="I308">
        <v>28</v>
      </c>
      <c r="J30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08">
        <v>0</v>
      </c>
      <c r="L308">
        <v>0</v>
      </c>
      <c r="M308">
        <f>Titanic_Dataset[[#This Row],[Parch]]+Titanic_Dataset[[#This Row],[SibSp]]</f>
        <v>0</v>
      </c>
      <c r="N308" s="1" t="s">
        <v>652</v>
      </c>
      <c r="O308">
        <v>110.88330000000001</v>
      </c>
      <c r="P308">
        <f>IF(Titanic_Dataset[[#This Row],[Survived]]=1,Titanic_Dataset[[#This Row],[Fare]],NA())</f>
        <v>110.88330000000001</v>
      </c>
      <c r="Q308" t="e">
        <f>IF(Titanic_Dataset[[#This Row],[Survived]]=0,Titanic_Dataset[[#This Row],[Fare]],NA())</f>
        <v>#N/A</v>
      </c>
      <c r="R308" t="str">
        <f>VLOOKUP(Titanic_Dataset[[#This Row],[Fare]],Table2[],2,TRUE)</f>
        <v>very hiegh</v>
      </c>
      <c r="S308" s="1" t="s">
        <v>15</v>
      </c>
      <c r="T308" s="1" t="s">
        <v>21</v>
      </c>
      <c r="U308" s="1"/>
      <c r="V308" s="1"/>
      <c r="W308" s="1"/>
    </row>
    <row r="309" spans="1:23" x14ac:dyDescent="0.25">
      <c r="A309">
        <v>308</v>
      </c>
      <c r="B309">
        <v>1</v>
      </c>
      <c r="C309" t="str">
        <f>IF(Titanic_Dataset[[#This Row],[Survived]]=1,"Survived","Died")</f>
        <v>Survived</v>
      </c>
      <c r="D309">
        <v>1</v>
      </c>
      <c r="E309" t="str">
        <f>IF(Titanic_Dataset[[#This Row],[Pclass]]=1,"1st",IF(Titanic_Dataset[[#This Row],[Pclass]]=2,"2nd",IF(Titanic_Dataset[[#This Row],[Pclass]]=3,"3rd")))</f>
        <v>1st</v>
      </c>
      <c r="F309" s="1" t="s">
        <v>653</v>
      </c>
      <c r="G309" s="1" t="str">
        <f>TRIM(MID(Titanic_Dataset[[#This Row],[Name]],
FIND(",",Titanic_Dataset[[#This Row],[Name]])+2,
FIND(".",Titanic_Dataset[[#This Row],[Name]],FIND(",",Titanic_Dataset[[#This Row],[Name]]))-FIND(",",Titanic_Dataset[[#This Row],[Name]])-1))</f>
        <v>Mrs.</v>
      </c>
      <c r="H309" s="1" t="s">
        <v>18</v>
      </c>
      <c r="I309">
        <v>17</v>
      </c>
      <c r="J309" t="str">
        <f>IF(Titanic_Dataset[[#This Row],[Age]]&lt;12,"0-11",
IF(Titanic_Dataset[[#This Row],[Age]]&lt;20,"12-19",
IF(Titanic_Dataset[[#This Row],[Age]]&lt;30,"20-29",
IF(Titanic_Dataset[[#This Row],[Age]]&lt;40,"30-39",
IF(Titanic_Dataset[[#This Row],[Age]]&lt;50,"40-49",
IF(Titanic_Dataset[[#This Row],[Age]]&lt;60,"50-59",
IF(Titanic_Dataset[[#This Row],[Age]]&lt;70,"60-69",)))))))</f>
        <v>12-19</v>
      </c>
      <c r="K309">
        <v>1</v>
      </c>
      <c r="L309">
        <v>0</v>
      </c>
      <c r="M309">
        <f>Titanic_Dataset[[#This Row],[Parch]]+Titanic_Dataset[[#This Row],[SibSp]]</f>
        <v>1</v>
      </c>
      <c r="N309" s="1" t="s">
        <v>654</v>
      </c>
      <c r="O309">
        <v>108.9</v>
      </c>
      <c r="P309">
        <f>IF(Titanic_Dataset[[#This Row],[Survived]]=1,Titanic_Dataset[[#This Row],[Fare]],NA())</f>
        <v>108.9</v>
      </c>
      <c r="Q309" t="e">
        <f>IF(Titanic_Dataset[[#This Row],[Survived]]=0,Titanic_Dataset[[#This Row],[Fare]],NA())</f>
        <v>#N/A</v>
      </c>
      <c r="R309" t="str">
        <f>VLOOKUP(Titanic_Dataset[[#This Row],[Fare]],Table2[],2,TRUE)</f>
        <v>very hiegh</v>
      </c>
      <c r="S309" s="1" t="s">
        <v>655</v>
      </c>
      <c r="T309" s="1" t="s">
        <v>21</v>
      </c>
      <c r="U309" s="1"/>
      <c r="V309" s="1"/>
      <c r="W309" s="1"/>
    </row>
    <row r="310" spans="1:23" x14ac:dyDescent="0.25">
      <c r="A310">
        <v>309</v>
      </c>
      <c r="B310">
        <v>0</v>
      </c>
      <c r="C310" t="str">
        <f>IF(Titanic_Dataset[[#This Row],[Survived]]=1,"Survived","Died")</f>
        <v>Died</v>
      </c>
      <c r="D310">
        <v>2</v>
      </c>
      <c r="E310" t="str">
        <f>IF(Titanic_Dataset[[#This Row],[Pclass]]=1,"1st",IF(Titanic_Dataset[[#This Row],[Pclass]]=2,"2nd",IF(Titanic_Dataset[[#This Row],[Pclass]]=3,"3rd")))</f>
        <v>2nd</v>
      </c>
      <c r="F310" s="1" t="s">
        <v>656</v>
      </c>
      <c r="G310" s="1" t="str">
        <f>TRIM(MID(Titanic_Dataset[[#This Row],[Name]],
FIND(",",Titanic_Dataset[[#This Row],[Name]])+2,
FIND(".",Titanic_Dataset[[#This Row],[Name]],FIND(",",Titanic_Dataset[[#This Row],[Name]]))-FIND(",",Titanic_Dataset[[#This Row],[Name]])-1))</f>
        <v>Mr.</v>
      </c>
      <c r="H310" s="1" t="s">
        <v>13</v>
      </c>
      <c r="I310">
        <v>30</v>
      </c>
      <c r="J310" t="str">
        <f>IF(Titanic_Dataset[[#This Row],[Age]]&lt;12,"0-11",
IF(Titanic_Dataset[[#This Row],[Age]]&lt;20,"12-19",
IF(Titanic_Dataset[[#This Row],[Age]]&lt;30,"20-29",
IF(Titanic_Dataset[[#This Row],[Age]]&lt;40,"30-39",
IF(Titanic_Dataset[[#This Row],[Age]]&lt;50,"40-49",
IF(Titanic_Dataset[[#This Row],[Age]]&lt;60,"50-59",
IF(Titanic_Dataset[[#This Row],[Age]]&lt;70,"60-69",)))))))</f>
        <v>30-39</v>
      </c>
      <c r="K310">
        <v>1</v>
      </c>
      <c r="L310">
        <v>0</v>
      </c>
      <c r="M310">
        <f>Titanic_Dataset[[#This Row],[Parch]]+Titanic_Dataset[[#This Row],[SibSp]]</f>
        <v>1</v>
      </c>
      <c r="N310" s="1" t="s">
        <v>657</v>
      </c>
      <c r="O310">
        <v>24</v>
      </c>
      <c r="P310" t="e">
        <f>IF(Titanic_Dataset[[#This Row],[Survived]]=1,Titanic_Dataset[[#This Row],[Fare]],NA())</f>
        <v>#N/A</v>
      </c>
      <c r="Q310">
        <f>IF(Titanic_Dataset[[#This Row],[Survived]]=0,Titanic_Dataset[[#This Row],[Fare]],NA())</f>
        <v>24</v>
      </c>
      <c r="R310" t="str">
        <f>VLOOKUP(Titanic_Dataset[[#This Row],[Fare]],Table2[],2,TRUE)</f>
        <v>high</v>
      </c>
      <c r="S310" s="1" t="s">
        <v>15</v>
      </c>
      <c r="T310" s="1" t="s">
        <v>21</v>
      </c>
      <c r="U310" s="1"/>
      <c r="V310" s="1"/>
      <c r="W310" s="1"/>
    </row>
    <row r="311" spans="1:23" x14ac:dyDescent="0.25">
      <c r="A311">
        <v>310</v>
      </c>
      <c r="B311">
        <v>1</v>
      </c>
      <c r="C311" t="str">
        <f>IF(Titanic_Dataset[[#This Row],[Survived]]=1,"Survived","Died")</f>
        <v>Survived</v>
      </c>
      <c r="D311">
        <v>1</v>
      </c>
      <c r="E311" t="str">
        <f>IF(Titanic_Dataset[[#This Row],[Pclass]]=1,"1st",IF(Titanic_Dataset[[#This Row],[Pclass]]=2,"2nd",IF(Titanic_Dataset[[#This Row],[Pclass]]=3,"3rd")))</f>
        <v>1st</v>
      </c>
      <c r="F311" s="1" t="s">
        <v>658</v>
      </c>
      <c r="G311" s="1" t="str">
        <f>TRIM(MID(Titanic_Dataset[[#This Row],[Name]],
FIND(",",Titanic_Dataset[[#This Row],[Name]])+2,
FIND(".",Titanic_Dataset[[#This Row],[Name]],FIND(",",Titanic_Dataset[[#This Row],[Name]]))-FIND(",",Titanic_Dataset[[#This Row],[Name]])-1))</f>
        <v>Miss.</v>
      </c>
      <c r="H311" s="1" t="s">
        <v>18</v>
      </c>
      <c r="I311">
        <v>30</v>
      </c>
      <c r="J311" t="str">
        <f>IF(Titanic_Dataset[[#This Row],[Age]]&lt;12,"0-11",
IF(Titanic_Dataset[[#This Row],[Age]]&lt;20,"12-19",
IF(Titanic_Dataset[[#This Row],[Age]]&lt;30,"20-29",
IF(Titanic_Dataset[[#This Row],[Age]]&lt;40,"30-39",
IF(Titanic_Dataset[[#This Row],[Age]]&lt;50,"40-49",
IF(Titanic_Dataset[[#This Row],[Age]]&lt;60,"50-59",
IF(Titanic_Dataset[[#This Row],[Age]]&lt;70,"60-69",)))))))</f>
        <v>30-39</v>
      </c>
      <c r="K311">
        <v>0</v>
      </c>
      <c r="L311">
        <v>0</v>
      </c>
      <c r="M311">
        <f>Titanic_Dataset[[#This Row],[Parch]]+Titanic_Dataset[[#This Row],[SibSp]]</f>
        <v>0</v>
      </c>
      <c r="N311" s="1" t="s">
        <v>659</v>
      </c>
      <c r="O311">
        <v>56.929200000000002</v>
      </c>
      <c r="P311">
        <f>IF(Titanic_Dataset[[#This Row],[Survived]]=1,Titanic_Dataset[[#This Row],[Fare]],NA())</f>
        <v>56.929200000000002</v>
      </c>
      <c r="Q311" t="e">
        <f>IF(Titanic_Dataset[[#This Row],[Survived]]=0,Titanic_Dataset[[#This Row],[Fare]],NA())</f>
        <v>#N/A</v>
      </c>
      <c r="R311" t="str">
        <f>VLOOKUP(Titanic_Dataset[[#This Row],[Fare]],Table2[],2,TRUE)</f>
        <v>very hiegh</v>
      </c>
      <c r="S311" s="1" t="s">
        <v>660</v>
      </c>
      <c r="T311" s="1" t="s">
        <v>21</v>
      </c>
      <c r="U311" s="1"/>
      <c r="V311" s="1"/>
      <c r="W311" s="1"/>
    </row>
    <row r="312" spans="1:23" x14ac:dyDescent="0.25">
      <c r="A312">
        <v>311</v>
      </c>
      <c r="B312">
        <v>1</v>
      </c>
      <c r="C312" t="str">
        <f>IF(Titanic_Dataset[[#This Row],[Survived]]=1,"Survived","Died")</f>
        <v>Survived</v>
      </c>
      <c r="D312">
        <v>1</v>
      </c>
      <c r="E312" t="str">
        <f>IF(Titanic_Dataset[[#This Row],[Pclass]]=1,"1st",IF(Titanic_Dataset[[#This Row],[Pclass]]=2,"2nd",IF(Titanic_Dataset[[#This Row],[Pclass]]=3,"3rd")))</f>
        <v>1st</v>
      </c>
      <c r="F312" s="1" t="s">
        <v>661</v>
      </c>
      <c r="G312" s="1" t="str">
        <f>TRIM(MID(Titanic_Dataset[[#This Row],[Name]],
FIND(",",Titanic_Dataset[[#This Row],[Name]])+2,
FIND(".",Titanic_Dataset[[#This Row],[Name]],FIND(",",Titanic_Dataset[[#This Row],[Name]]))-FIND(",",Titanic_Dataset[[#This Row],[Name]])-1))</f>
        <v>Miss.</v>
      </c>
      <c r="H312" s="1" t="s">
        <v>18</v>
      </c>
      <c r="I312">
        <v>24</v>
      </c>
      <c r="J31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12">
        <v>0</v>
      </c>
      <c r="L312">
        <v>0</v>
      </c>
      <c r="M312">
        <f>Titanic_Dataset[[#This Row],[Parch]]+Titanic_Dataset[[#This Row],[SibSp]]</f>
        <v>0</v>
      </c>
      <c r="N312" s="1" t="s">
        <v>662</v>
      </c>
      <c r="O312">
        <v>83.158299999999997</v>
      </c>
      <c r="P312">
        <f>IF(Titanic_Dataset[[#This Row],[Survived]]=1,Titanic_Dataset[[#This Row],[Fare]],NA())</f>
        <v>83.158299999999997</v>
      </c>
      <c r="Q312" t="e">
        <f>IF(Titanic_Dataset[[#This Row],[Survived]]=0,Titanic_Dataset[[#This Row],[Fare]],NA())</f>
        <v>#N/A</v>
      </c>
      <c r="R312" t="str">
        <f>VLOOKUP(Titanic_Dataset[[#This Row],[Fare]],Table2[],2,TRUE)</f>
        <v>very hiegh</v>
      </c>
      <c r="S312" s="1" t="s">
        <v>663</v>
      </c>
      <c r="T312" s="1" t="s">
        <v>21</v>
      </c>
      <c r="U312" s="1"/>
      <c r="V312" s="1"/>
      <c r="W312" s="1"/>
    </row>
    <row r="313" spans="1:23" x14ac:dyDescent="0.25">
      <c r="A313">
        <v>312</v>
      </c>
      <c r="B313">
        <v>1</v>
      </c>
      <c r="C313" t="str">
        <f>IF(Titanic_Dataset[[#This Row],[Survived]]=1,"Survived","Died")</f>
        <v>Survived</v>
      </c>
      <c r="D313">
        <v>1</v>
      </c>
      <c r="E313" t="str">
        <f>IF(Titanic_Dataset[[#This Row],[Pclass]]=1,"1st",IF(Titanic_Dataset[[#This Row],[Pclass]]=2,"2nd",IF(Titanic_Dataset[[#This Row],[Pclass]]=3,"3rd")))</f>
        <v>1st</v>
      </c>
      <c r="F313" s="1" t="s">
        <v>664</v>
      </c>
      <c r="G313" s="1" t="str">
        <f>TRIM(MID(Titanic_Dataset[[#This Row],[Name]],
FIND(",",Titanic_Dataset[[#This Row],[Name]])+2,
FIND(".",Titanic_Dataset[[#This Row],[Name]],FIND(",",Titanic_Dataset[[#This Row],[Name]]))-FIND(",",Titanic_Dataset[[#This Row],[Name]])-1))</f>
        <v>Miss.</v>
      </c>
      <c r="H313" s="1" t="s">
        <v>18</v>
      </c>
      <c r="I313">
        <v>18</v>
      </c>
      <c r="J313" t="str">
        <f>IF(Titanic_Dataset[[#This Row],[Age]]&lt;12,"0-11",
IF(Titanic_Dataset[[#This Row],[Age]]&lt;20,"12-19",
IF(Titanic_Dataset[[#This Row],[Age]]&lt;30,"20-29",
IF(Titanic_Dataset[[#This Row],[Age]]&lt;40,"30-39",
IF(Titanic_Dataset[[#This Row],[Age]]&lt;50,"40-49",
IF(Titanic_Dataset[[#This Row],[Age]]&lt;60,"50-59",
IF(Titanic_Dataset[[#This Row],[Age]]&lt;70,"60-69",)))))))</f>
        <v>12-19</v>
      </c>
      <c r="K313">
        <v>2</v>
      </c>
      <c r="L313">
        <v>2</v>
      </c>
      <c r="M313">
        <f>Titanic_Dataset[[#This Row],[Parch]]+Titanic_Dataset[[#This Row],[SibSp]]</f>
        <v>4</v>
      </c>
      <c r="N313" s="1" t="s">
        <v>665</v>
      </c>
      <c r="O313">
        <v>262.375</v>
      </c>
      <c r="P313">
        <f>IF(Titanic_Dataset[[#This Row],[Survived]]=1,Titanic_Dataset[[#This Row],[Fare]],NA())</f>
        <v>262.375</v>
      </c>
      <c r="Q313" t="e">
        <f>IF(Titanic_Dataset[[#This Row],[Survived]]=0,Titanic_Dataset[[#This Row],[Fare]],NA())</f>
        <v>#N/A</v>
      </c>
      <c r="R313" t="str">
        <f>VLOOKUP(Titanic_Dataset[[#This Row],[Fare]],Table2[],2,TRUE)</f>
        <v>very hiegh</v>
      </c>
      <c r="S313" s="1" t="s">
        <v>666</v>
      </c>
      <c r="T313" s="1" t="s">
        <v>21</v>
      </c>
      <c r="U313" s="1"/>
      <c r="V313" s="1"/>
      <c r="W313" s="1"/>
    </row>
    <row r="314" spans="1:23" x14ac:dyDescent="0.25">
      <c r="A314">
        <v>313</v>
      </c>
      <c r="B314">
        <v>0</v>
      </c>
      <c r="C314" t="str">
        <f>IF(Titanic_Dataset[[#This Row],[Survived]]=1,"Survived","Died")</f>
        <v>Died</v>
      </c>
      <c r="D314">
        <v>2</v>
      </c>
      <c r="E314" t="str">
        <f>IF(Titanic_Dataset[[#This Row],[Pclass]]=1,"1st",IF(Titanic_Dataset[[#This Row],[Pclass]]=2,"2nd",IF(Titanic_Dataset[[#This Row],[Pclass]]=3,"3rd")))</f>
        <v>2nd</v>
      </c>
      <c r="F314" s="1" t="s">
        <v>667</v>
      </c>
      <c r="G314" s="1" t="str">
        <f>TRIM(MID(Titanic_Dataset[[#This Row],[Name]],
FIND(",",Titanic_Dataset[[#This Row],[Name]])+2,
FIND(".",Titanic_Dataset[[#This Row],[Name]],FIND(",",Titanic_Dataset[[#This Row],[Name]]))-FIND(",",Titanic_Dataset[[#This Row],[Name]])-1))</f>
        <v>Mrs.</v>
      </c>
      <c r="H314" s="1" t="s">
        <v>18</v>
      </c>
      <c r="I314">
        <v>26</v>
      </c>
      <c r="J31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14">
        <v>1</v>
      </c>
      <c r="L314">
        <v>1</v>
      </c>
      <c r="M314">
        <f>Titanic_Dataset[[#This Row],[Parch]]+Titanic_Dataset[[#This Row],[SibSp]]</f>
        <v>2</v>
      </c>
      <c r="N314" s="1" t="s">
        <v>668</v>
      </c>
      <c r="O314">
        <v>26</v>
      </c>
      <c r="P314" t="e">
        <f>IF(Titanic_Dataset[[#This Row],[Survived]]=1,Titanic_Dataset[[#This Row],[Fare]],NA())</f>
        <v>#N/A</v>
      </c>
      <c r="Q314">
        <f>IF(Titanic_Dataset[[#This Row],[Survived]]=0,Titanic_Dataset[[#This Row],[Fare]],NA())</f>
        <v>26</v>
      </c>
      <c r="R314" t="str">
        <f>VLOOKUP(Titanic_Dataset[[#This Row],[Fare]],Table2[],2,TRUE)</f>
        <v>high</v>
      </c>
      <c r="S314" s="1" t="s">
        <v>15</v>
      </c>
      <c r="T314" s="1" t="s">
        <v>16</v>
      </c>
      <c r="U314" s="1"/>
      <c r="V314" s="1"/>
      <c r="W314" s="1"/>
    </row>
    <row r="315" spans="1:23" x14ac:dyDescent="0.25">
      <c r="A315">
        <v>314</v>
      </c>
      <c r="B315">
        <v>0</v>
      </c>
      <c r="C315" t="str">
        <f>IF(Titanic_Dataset[[#This Row],[Survived]]=1,"Survived","Died")</f>
        <v>Died</v>
      </c>
      <c r="D315">
        <v>3</v>
      </c>
      <c r="E315" t="str">
        <f>IF(Titanic_Dataset[[#This Row],[Pclass]]=1,"1st",IF(Titanic_Dataset[[#This Row],[Pclass]]=2,"2nd",IF(Titanic_Dataset[[#This Row],[Pclass]]=3,"3rd")))</f>
        <v>3rd</v>
      </c>
      <c r="F315" s="1" t="s">
        <v>669</v>
      </c>
      <c r="G315" s="1" t="str">
        <f>TRIM(MID(Titanic_Dataset[[#This Row],[Name]],
FIND(",",Titanic_Dataset[[#This Row],[Name]])+2,
FIND(".",Titanic_Dataset[[#This Row],[Name]],FIND(",",Titanic_Dataset[[#This Row],[Name]]))-FIND(",",Titanic_Dataset[[#This Row],[Name]])-1))</f>
        <v>Mr.</v>
      </c>
      <c r="H315" s="1" t="s">
        <v>13</v>
      </c>
      <c r="I315">
        <v>28</v>
      </c>
      <c r="J31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15">
        <v>0</v>
      </c>
      <c r="L315">
        <v>0</v>
      </c>
      <c r="M315">
        <f>Titanic_Dataset[[#This Row],[Parch]]+Titanic_Dataset[[#This Row],[SibSp]]</f>
        <v>0</v>
      </c>
      <c r="N315" s="1" t="s">
        <v>670</v>
      </c>
      <c r="O315">
        <v>7.8958000000000004</v>
      </c>
      <c r="P315" t="e">
        <f>IF(Titanic_Dataset[[#This Row],[Survived]]=1,Titanic_Dataset[[#This Row],[Fare]],NA())</f>
        <v>#N/A</v>
      </c>
      <c r="Q315">
        <f>IF(Titanic_Dataset[[#This Row],[Survived]]=0,Titanic_Dataset[[#This Row],[Fare]],NA())</f>
        <v>7.8958000000000004</v>
      </c>
      <c r="R315" t="str">
        <f>VLOOKUP(Titanic_Dataset[[#This Row],[Fare]],Table2[],2,TRUE)</f>
        <v>low</v>
      </c>
      <c r="S315" s="1" t="s">
        <v>15</v>
      </c>
      <c r="T315" s="1" t="s">
        <v>16</v>
      </c>
      <c r="U315" s="1"/>
      <c r="V315" s="1"/>
      <c r="W315" s="1"/>
    </row>
    <row r="316" spans="1:23" x14ac:dyDescent="0.25">
      <c r="A316">
        <v>315</v>
      </c>
      <c r="B316">
        <v>0</v>
      </c>
      <c r="C316" t="str">
        <f>IF(Titanic_Dataset[[#This Row],[Survived]]=1,"Survived","Died")</f>
        <v>Died</v>
      </c>
      <c r="D316">
        <v>2</v>
      </c>
      <c r="E316" t="str">
        <f>IF(Titanic_Dataset[[#This Row],[Pclass]]=1,"1st",IF(Titanic_Dataset[[#This Row],[Pclass]]=2,"2nd",IF(Titanic_Dataset[[#This Row],[Pclass]]=3,"3rd")))</f>
        <v>2nd</v>
      </c>
      <c r="F316" s="1" t="s">
        <v>671</v>
      </c>
      <c r="G316" s="1" t="str">
        <f>TRIM(MID(Titanic_Dataset[[#This Row],[Name]],
FIND(",",Titanic_Dataset[[#This Row],[Name]])+2,
FIND(".",Titanic_Dataset[[#This Row],[Name]],FIND(",",Titanic_Dataset[[#This Row],[Name]]))-FIND(",",Titanic_Dataset[[#This Row],[Name]])-1))</f>
        <v>Mr.</v>
      </c>
      <c r="H316" s="1" t="s">
        <v>13</v>
      </c>
      <c r="I316">
        <v>43</v>
      </c>
      <c r="J316" t="str">
        <f>IF(Titanic_Dataset[[#This Row],[Age]]&lt;12,"0-11",
IF(Titanic_Dataset[[#This Row],[Age]]&lt;20,"12-19",
IF(Titanic_Dataset[[#This Row],[Age]]&lt;30,"20-29",
IF(Titanic_Dataset[[#This Row],[Age]]&lt;40,"30-39",
IF(Titanic_Dataset[[#This Row],[Age]]&lt;50,"40-49",
IF(Titanic_Dataset[[#This Row],[Age]]&lt;60,"50-59",
IF(Titanic_Dataset[[#This Row],[Age]]&lt;70,"60-69",)))))))</f>
        <v>40-49</v>
      </c>
      <c r="K316">
        <v>1</v>
      </c>
      <c r="L316">
        <v>1</v>
      </c>
      <c r="M316">
        <f>Titanic_Dataset[[#This Row],[Parch]]+Titanic_Dataset[[#This Row],[SibSp]]</f>
        <v>2</v>
      </c>
      <c r="N316" s="1" t="s">
        <v>672</v>
      </c>
      <c r="O316">
        <v>26.25</v>
      </c>
      <c r="P316" t="e">
        <f>IF(Titanic_Dataset[[#This Row],[Survived]]=1,Titanic_Dataset[[#This Row],[Fare]],NA())</f>
        <v>#N/A</v>
      </c>
      <c r="Q316">
        <f>IF(Titanic_Dataset[[#This Row],[Survived]]=0,Titanic_Dataset[[#This Row],[Fare]],NA())</f>
        <v>26.25</v>
      </c>
      <c r="R316" t="str">
        <f>VLOOKUP(Titanic_Dataset[[#This Row],[Fare]],Table2[],2,TRUE)</f>
        <v>high</v>
      </c>
      <c r="S316" s="1" t="s">
        <v>15</v>
      </c>
      <c r="T316" s="1" t="s">
        <v>16</v>
      </c>
      <c r="U316" s="1"/>
      <c r="V316" s="1"/>
      <c r="W316" s="1"/>
    </row>
    <row r="317" spans="1:23" x14ac:dyDescent="0.25">
      <c r="A317">
        <v>316</v>
      </c>
      <c r="B317">
        <v>1</v>
      </c>
      <c r="C317" t="str">
        <f>IF(Titanic_Dataset[[#This Row],[Survived]]=1,"Survived","Died")</f>
        <v>Survived</v>
      </c>
      <c r="D317">
        <v>3</v>
      </c>
      <c r="E317" t="str">
        <f>IF(Titanic_Dataset[[#This Row],[Pclass]]=1,"1st",IF(Titanic_Dataset[[#This Row],[Pclass]]=2,"2nd",IF(Titanic_Dataset[[#This Row],[Pclass]]=3,"3rd")))</f>
        <v>3rd</v>
      </c>
      <c r="F317" s="1" t="s">
        <v>673</v>
      </c>
      <c r="G317" s="1" t="str">
        <f>TRIM(MID(Titanic_Dataset[[#This Row],[Name]],
FIND(",",Titanic_Dataset[[#This Row],[Name]])+2,
FIND(".",Titanic_Dataset[[#This Row],[Name]],FIND(",",Titanic_Dataset[[#This Row],[Name]]))-FIND(",",Titanic_Dataset[[#This Row],[Name]])-1))</f>
        <v>Miss.</v>
      </c>
      <c r="H317" s="1" t="s">
        <v>18</v>
      </c>
      <c r="I317">
        <v>26</v>
      </c>
      <c r="J31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17">
        <v>0</v>
      </c>
      <c r="L317">
        <v>0</v>
      </c>
      <c r="M317">
        <f>Titanic_Dataset[[#This Row],[Parch]]+Titanic_Dataset[[#This Row],[SibSp]]</f>
        <v>0</v>
      </c>
      <c r="N317" s="1" t="s">
        <v>674</v>
      </c>
      <c r="O317">
        <v>7.8541999999999996</v>
      </c>
      <c r="P317">
        <f>IF(Titanic_Dataset[[#This Row],[Survived]]=1,Titanic_Dataset[[#This Row],[Fare]],NA())</f>
        <v>7.8541999999999996</v>
      </c>
      <c r="Q317" t="e">
        <f>IF(Titanic_Dataset[[#This Row],[Survived]]=0,Titanic_Dataset[[#This Row],[Fare]],NA())</f>
        <v>#N/A</v>
      </c>
      <c r="R317" t="str">
        <f>VLOOKUP(Titanic_Dataset[[#This Row],[Fare]],Table2[],2,TRUE)</f>
        <v>low</v>
      </c>
      <c r="S317" s="1" t="s">
        <v>15</v>
      </c>
      <c r="T317" s="1" t="s">
        <v>16</v>
      </c>
      <c r="U317" s="1"/>
      <c r="V317" s="1"/>
      <c r="W317" s="1"/>
    </row>
    <row r="318" spans="1:23" x14ac:dyDescent="0.25">
      <c r="A318">
        <v>317</v>
      </c>
      <c r="B318">
        <v>1</v>
      </c>
      <c r="C318" t="str">
        <f>IF(Titanic_Dataset[[#This Row],[Survived]]=1,"Survived","Died")</f>
        <v>Survived</v>
      </c>
      <c r="D318">
        <v>2</v>
      </c>
      <c r="E318" t="str">
        <f>IF(Titanic_Dataset[[#This Row],[Pclass]]=1,"1st",IF(Titanic_Dataset[[#This Row],[Pclass]]=2,"2nd",IF(Titanic_Dataset[[#This Row],[Pclass]]=3,"3rd")))</f>
        <v>2nd</v>
      </c>
      <c r="F318" s="1" t="s">
        <v>675</v>
      </c>
      <c r="G318" s="1" t="str">
        <f>TRIM(MID(Titanic_Dataset[[#This Row],[Name]],
FIND(",",Titanic_Dataset[[#This Row],[Name]])+2,
FIND(".",Titanic_Dataset[[#This Row],[Name]],FIND(",",Titanic_Dataset[[#This Row],[Name]]))-FIND(",",Titanic_Dataset[[#This Row],[Name]])-1))</f>
        <v>Mrs.</v>
      </c>
      <c r="H318" s="1" t="s">
        <v>18</v>
      </c>
      <c r="I318">
        <v>24</v>
      </c>
      <c r="J31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18">
        <v>1</v>
      </c>
      <c r="L318">
        <v>0</v>
      </c>
      <c r="M318">
        <f>Titanic_Dataset[[#This Row],[Parch]]+Titanic_Dataset[[#This Row],[SibSp]]</f>
        <v>1</v>
      </c>
      <c r="N318" s="1" t="s">
        <v>233</v>
      </c>
      <c r="O318">
        <v>26</v>
      </c>
      <c r="P318">
        <f>IF(Titanic_Dataset[[#This Row],[Survived]]=1,Titanic_Dataset[[#This Row],[Fare]],NA())</f>
        <v>26</v>
      </c>
      <c r="Q318" t="e">
        <f>IF(Titanic_Dataset[[#This Row],[Survived]]=0,Titanic_Dataset[[#This Row],[Fare]],NA())</f>
        <v>#N/A</v>
      </c>
      <c r="R318" t="str">
        <f>VLOOKUP(Titanic_Dataset[[#This Row],[Fare]],Table2[],2,TRUE)</f>
        <v>high</v>
      </c>
      <c r="S318" s="1" t="s">
        <v>15</v>
      </c>
      <c r="T318" s="1" t="s">
        <v>16</v>
      </c>
      <c r="U318" s="1"/>
      <c r="V318" s="1"/>
      <c r="W318" s="1"/>
    </row>
    <row r="319" spans="1:23" x14ac:dyDescent="0.25">
      <c r="A319">
        <v>318</v>
      </c>
      <c r="B319">
        <v>0</v>
      </c>
      <c r="C319" t="str">
        <f>IF(Titanic_Dataset[[#This Row],[Survived]]=1,"Survived","Died")</f>
        <v>Died</v>
      </c>
      <c r="D319">
        <v>2</v>
      </c>
      <c r="E319" t="str">
        <f>IF(Titanic_Dataset[[#This Row],[Pclass]]=1,"1st",IF(Titanic_Dataset[[#This Row],[Pclass]]=2,"2nd",IF(Titanic_Dataset[[#This Row],[Pclass]]=3,"3rd")))</f>
        <v>2nd</v>
      </c>
      <c r="F319" s="1" t="s">
        <v>676</v>
      </c>
      <c r="G319" s="1" t="str">
        <f>TRIM(MID(Titanic_Dataset[[#This Row],[Name]],
FIND(",",Titanic_Dataset[[#This Row],[Name]])+2,
FIND(".",Titanic_Dataset[[#This Row],[Name]],FIND(",",Titanic_Dataset[[#This Row],[Name]]))-FIND(",",Titanic_Dataset[[#This Row],[Name]])-1))</f>
        <v>Dr.</v>
      </c>
      <c r="H319" s="1" t="s">
        <v>13</v>
      </c>
      <c r="I319">
        <v>54</v>
      </c>
      <c r="J319" t="str">
        <f>IF(Titanic_Dataset[[#This Row],[Age]]&lt;12,"0-11",
IF(Titanic_Dataset[[#This Row],[Age]]&lt;20,"12-19",
IF(Titanic_Dataset[[#This Row],[Age]]&lt;30,"20-29",
IF(Titanic_Dataset[[#This Row],[Age]]&lt;40,"30-39",
IF(Titanic_Dataset[[#This Row],[Age]]&lt;50,"40-49",
IF(Titanic_Dataset[[#This Row],[Age]]&lt;60,"50-59",
IF(Titanic_Dataset[[#This Row],[Age]]&lt;70,"60-69",)))))))</f>
        <v>50-59</v>
      </c>
      <c r="K319">
        <v>0</v>
      </c>
      <c r="L319">
        <v>0</v>
      </c>
      <c r="M319">
        <f>Titanic_Dataset[[#This Row],[Parch]]+Titanic_Dataset[[#This Row],[SibSp]]</f>
        <v>0</v>
      </c>
      <c r="N319" s="1" t="s">
        <v>677</v>
      </c>
      <c r="O319">
        <v>14</v>
      </c>
      <c r="P319" t="e">
        <f>IF(Titanic_Dataset[[#This Row],[Survived]]=1,Titanic_Dataset[[#This Row],[Fare]],NA())</f>
        <v>#N/A</v>
      </c>
      <c r="Q319">
        <f>IF(Titanic_Dataset[[#This Row],[Survived]]=0,Titanic_Dataset[[#This Row],[Fare]],NA())</f>
        <v>14</v>
      </c>
      <c r="R319" t="str">
        <f>VLOOKUP(Titanic_Dataset[[#This Row],[Fare]],Table2[],2,TRUE)</f>
        <v>medium</v>
      </c>
      <c r="S319" s="1" t="s">
        <v>15</v>
      </c>
      <c r="T319" s="1" t="s">
        <v>16</v>
      </c>
      <c r="U319" s="1"/>
      <c r="V319" s="1"/>
      <c r="W319" s="1"/>
    </row>
    <row r="320" spans="1:23" x14ac:dyDescent="0.25">
      <c r="A320">
        <v>319</v>
      </c>
      <c r="B320">
        <v>1</v>
      </c>
      <c r="C320" t="str">
        <f>IF(Titanic_Dataset[[#This Row],[Survived]]=1,"Survived","Died")</f>
        <v>Survived</v>
      </c>
      <c r="D320">
        <v>1</v>
      </c>
      <c r="E320" t="str">
        <f>IF(Titanic_Dataset[[#This Row],[Pclass]]=1,"1st",IF(Titanic_Dataset[[#This Row],[Pclass]]=2,"2nd",IF(Titanic_Dataset[[#This Row],[Pclass]]=3,"3rd")))</f>
        <v>1st</v>
      </c>
      <c r="F320" s="1" t="s">
        <v>678</v>
      </c>
      <c r="G320" s="1" t="str">
        <f>TRIM(MID(Titanic_Dataset[[#This Row],[Name]],
FIND(",",Titanic_Dataset[[#This Row],[Name]])+2,
FIND(".",Titanic_Dataset[[#This Row],[Name]],FIND(",",Titanic_Dataset[[#This Row],[Name]]))-FIND(",",Titanic_Dataset[[#This Row],[Name]])-1))</f>
        <v>Miss.</v>
      </c>
      <c r="H320" s="1" t="s">
        <v>18</v>
      </c>
      <c r="I320">
        <v>31</v>
      </c>
      <c r="J320" t="str">
        <f>IF(Titanic_Dataset[[#This Row],[Age]]&lt;12,"0-11",
IF(Titanic_Dataset[[#This Row],[Age]]&lt;20,"12-19",
IF(Titanic_Dataset[[#This Row],[Age]]&lt;30,"20-29",
IF(Titanic_Dataset[[#This Row],[Age]]&lt;40,"30-39",
IF(Titanic_Dataset[[#This Row],[Age]]&lt;50,"40-49",
IF(Titanic_Dataset[[#This Row],[Age]]&lt;60,"50-59",
IF(Titanic_Dataset[[#This Row],[Age]]&lt;70,"60-69",)))))))</f>
        <v>30-39</v>
      </c>
      <c r="K320">
        <v>0</v>
      </c>
      <c r="L320">
        <v>2</v>
      </c>
      <c r="M320">
        <f>Titanic_Dataset[[#This Row],[Parch]]+Titanic_Dataset[[#This Row],[SibSp]]</f>
        <v>2</v>
      </c>
      <c r="N320" s="1" t="s">
        <v>679</v>
      </c>
      <c r="O320">
        <v>164.86670000000001</v>
      </c>
      <c r="P320">
        <f>IF(Titanic_Dataset[[#This Row],[Survived]]=1,Titanic_Dataset[[#This Row],[Fare]],NA())</f>
        <v>164.86670000000001</v>
      </c>
      <c r="Q320" t="e">
        <f>IF(Titanic_Dataset[[#This Row],[Survived]]=0,Titanic_Dataset[[#This Row],[Fare]],NA())</f>
        <v>#N/A</v>
      </c>
      <c r="R320" t="str">
        <f>VLOOKUP(Titanic_Dataset[[#This Row],[Fare]],Table2[],2,TRUE)</f>
        <v>very hiegh</v>
      </c>
      <c r="S320" s="1" t="s">
        <v>680</v>
      </c>
      <c r="T320" s="1" t="s">
        <v>16</v>
      </c>
      <c r="U320" s="1"/>
      <c r="V320" s="1"/>
      <c r="W320" s="1"/>
    </row>
    <row r="321" spans="1:23" x14ac:dyDescent="0.25">
      <c r="A321">
        <v>320</v>
      </c>
      <c r="B321">
        <v>1</v>
      </c>
      <c r="C321" t="str">
        <f>IF(Titanic_Dataset[[#This Row],[Survived]]=1,"Survived","Died")</f>
        <v>Survived</v>
      </c>
      <c r="D321">
        <v>1</v>
      </c>
      <c r="E321" t="str">
        <f>IF(Titanic_Dataset[[#This Row],[Pclass]]=1,"1st",IF(Titanic_Dataset[[#This Row],[Pclass]]=2,"2nd",IF(Titanic_Dataset[[#This Row],[Pclass]]=3,"3rd")))</f>
        <v>1st</v>
      </c>
      <c r="F321" s="1" t="s">
        <v>681</v>
      </c>
      <c r="G321" s="1" t="str">
        <f>TRIM(MID(Titanic_Dataset[[#This Row],[Name]],
FIND(",",Titanic_Dataset[[#This Row],[Name]])+2,
FIND(".",Titanic_Dataset[[#This Row],[Name]],FIND(",",Titanic_Dataset[[#This Row],[Name]]))-FIND(",",Titanic_Dataset[[#This Row],[Name]])-1))</f>
        <v>Mrs.</v>
      </c>
      <c r="H321" s="1" t="s">
        <v>18</v>
      </c>
      <c r="I321">
        <v>40</v>
      </c>
      <c r="J321" t="str">
        <f>IF(Titanic_Dataset[[#This Row],[Age]]&lt;12,"0-11",
IF(Titanic_Dataset[[#This Row],[Age]]&lt;20,"12-19",
IF(Titanic_Dataset[[#This Row],[Age]]&lt;30,"20-29",
IF(Titanic_Dataset[[#This Row],[Age]]&lt;40,"30-39",
IF(Titanic_Dataset[[#This Row],[Age]]&lt;50,"40-49",
IF(Titanic_Dataset[[#This Row],[Age]]&lt;60,"50-59",
IF(Titanic_Dataset[[#This Row],[Age]]&lt;70,"60-69",)))))))</f>
        <v>40-49</v>
      </c>
      <c r="K321">
        <v>1</v>
      </c>
      <c r="L321">
        <v>1</v>
      </c>
      <c r="M321">
        <f>Titanic_Dataset[[#This Row],[Parch]]+Titanic_Dataset[[#This Row],[SibSp]]</f>
        <v>2</v>
      </c>
      <c r="N321" s="1" t="s">
        <v>682</v>
      </c>
      <c r="O321">
        <v>134.5</v>
      </c>
      <c r="P321">
        <f>IF(Titanic_Dataset[[#This Row],[Survived]]=1,Titanic_Dataset[[#This Row],[Fare]],NA())</f>
        <v>134.5</v>
      </c>
      <c r="Q321" t="e">
        <f>IF(Titanic_Dataset[[#This Row],[Survived]]=0,Titanic_Dataset[[#This Row],[Fare]],NA())</f>
        <v>#N/A</v>
      </c>
      <c r="R321" t="str">
        <f>VLOOKUP(Titanic_Dataset[[#This Row],[Fare]],Table2[],2,TRUE)</f>
        <v>very hiegh</v>
      </c>
      <c r="S321" s="1" t="s">
        <v>683</v>
      </c>
      <c r="T321" s="1" t="s">
        <v>21</v>
      </c>
      <c r="U321" s="1"/>
      <c r="V321" s="1"/>
      <c r="W321" s="1"/>
    </row>
    <row r="322" spans="1:23" x14ac:dyDescent="0.25">
      <c r="A322">
        <v>321</v>
      </c>
      <c r="B322">
        <v>0</v>
      </c>
      <c r="C322" t="str">
        <f>IF(Titanic_Dataset[[#This Row],[Survived]]=1,"Survived","Died")</f>
        <v>Died</v>
      </c>
      <c r="D322">
        <v>3</v>
      </c>
      <c r="E322" t="str">
        <f>IF(Titanic_Dataset[[#This Row],[Pclass]]=1,"1st",IF(Titanic_Dataset[[#This Row],[Pclass]]=2,"2nd",IF(Titanic_Dataset[[#This Row],[Pclass]]=3,"3rd")))</f>
        <v>3rd</v>
      </c>
      <c r="F322" s="1" t="s">
        <v>684</v>
      </c>
      <c r="G322" s="1" t="str">
        <f>TRIM(MID(Titanic_Dataset[[#This Row],[Name]],
FIND(",",Titanic_Dataset[[#This Row],[Name]])+2,
FIND(".",Titanic_Dataset[[#This Row],[Name]],FIND(",",Titanic_Dataset[[#This Row],[Name]]))-FIND(",",Titanic_Dataset[[#This Row],[Name]])-1))</f>
        <v>Mr.</v>
      </c>
      <c r="H322" s="1" t="s">
        <v>13</v>
      </c>
      <c r="I322">
        <v>22</v>
      </c>
      <c r="J32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22">
        <v>0</v>
      </c>
      <c r="L322">
        <v>0</v>
      </c>
      <c r="M322">
        <f>Titanic_Dataset[[#This Row],[Parch]]+Titanic_Dataset[[#This Row],[SibSp]]</f>
        <v>0</v>
      </c>
      <c r="N322" s="1" t="s">
        <v>685</v>
      </c>
      <c r="O322">
        <v>7.25</v>
      </c>
      <c r="P322" t="e">
        <f>IF(Titanic_Dataset[[#This Row],[Survived]]=1,Titanic_Dataset[[#This Row],[Fare]],NA())</f>
        <v>#N/A</v>
      </c>
      <c r="Q322">
        <f>IF(Titanic_Dataset[[#This Row],[Survived]]=0,Titanic_Dataset[[#This Row],[Fare]],NA())</f>
        <v>7.25</v>
      </c>
      <c r="R322" t="str">
        <f>VLOOKUP(Titanic_Dataset[[#This Row],[Fare]],Table2[],2,TRUE)</f>
        <v>low</v>
      </c>
      <c r="S322" s="1" t="s">
        <v>15</v>
      </c>
      <c r="T322" s="1" t="s">
        <v>16</v>
      </c>
      <c r="U322" s="1"/>
      <c r="V322" s="1"/>
      <c r="W322" s="1"/>
    </row>
    <row r="323" spans="1:23" x14ac:dyDescent="0.25">
      <c r="A323">
        <v>322</v>
      </c>
      <c r="B323">
        <v>0</v>
      </c>
      <c r="C323" t="str">
        <f>IF(Titanic_Dataset[[#This Row],[Survived]]=1,"Survived","Died")</f>
        <v>Died</v>
      </c>
      <c r="D323">
        <v>3</v>
      </c>
      <c r="E323" t="str">
        <f>IF(Titanic_Dataset[[#This Row],[Pclass]]=1,"1st",IF(Titanic_Dataset[[#This Row],[Pclass]]=2,"2nd",IF(Titanic_Dataset[[#This Row],[Pclass]]=3,"3rd")))</f>
        <v>3rd</v>
      </c>
      <c r="F323" s="1" t="s">
        <v>686</v>
      </c>
      <c r="G323" s="1" t="str">
        <f>TRIM(MID(Titanic_Dataset[[#This Row],[Name]],
FIND(",",Titanic_Dataset[[#This Row],[Name]])+2,
FIND(".",Titanic_Dataset[[#This Row],[Name]],FIND(",",Titanic_Dataset[[#This Row],[Name]]))-FIND(",",Titanic_Dataset[[#This Row],[Name]])-1))</f>
        <v>Mr.</v>
      </c>
      <c r="H323" s="1" t="s">
        <v>13</v>
      </c>
      <c r="I323">
        <v>27</v>
      </c>
      <c r="J32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23">
        <v>0</v>
      </c>
      <c r="L323">
        <v>0</v>
      </c>
      <c r="M323">
        <f>Titanic_Dataset[[#This Row],[Parch]]+Titanic_Dataset[[#This Row],[SibSp]]</f>
        <v>0</v>
      </c>
      <c r="N323" s="1" t="s">
        <v>687</v>
      </c>
      <c r="O323">
        <v>7.8958000000000004</v>
      </c>
      <c r="P323" t="e">
        <f>IF(Titanic_Dataset[[#This Row],[Survived]]=1,Titanic_Dataset[[#This Row],[Fare]],NA())</f>
        <v>#N/A</v>
      </c>
      <c r="Q323">
        <f>IF(Titanic_Dataset[[#This Row],[Survived]]=0,Titanic_Dataset[[#This Row],[Fare]],NA())</f>
        <v>7.8958000000000004</v>
      </c>
      <c r="R323" t="str">
        <f>VLOOKUP(Titanic_Dataset[[#This Row],[Fare]],Table2[],2,TRUE)</f>
        <v>low</v>
      </c>
      <c r="S323" s="1" t="s">
        <v>15</v>
      </c>
      <c r="T323" s="1" t="s">
        <v>16</v>
      </c>
      <c r="U323" s="1"/>
      <c r="V323" s="1"/>
      <c r="W323" s="1"/>
    </row>
    <row r="324" spans="1:23" x14ac:dyDescent="0.25">
      <c r="A324">
        <v>323</v>
      </c>
      <c r="B324">
        <v>1</v>
      </c>
      <c r="C324" t="str">
        <f>IF(Titanic_Dataset[[#This Row],[Survived]]=1,"Survived","Died")</f>
        <v>Survived</v>
      </c>
      <c r="D324">
        <v>2</v>
      </c>
      <c r="E324" t="str">
        <f>IF(Titanic_Dataset[[#This Row],[Pclass]]=1,"1st",IF(Titanic_Dataset[[#This Row],[Pclass]]=2,"2nd",IF(Titanic_Dataset[[#This Row],[Pclass]]=3,"3rd")))</f>
        <v>2nd</v>
      </c>
      <c r="F324" s="1" t="s">
        <v>688</v>
      </c>
      <c r="G324" s="1" t="str">
        <f>TRIM(MID(Titanic_Dataset[[#This Row],[Name]],
FIND(",",Titanic_Dataset[[#This Row],[Name]])+2,
FIND(".",Titanic_Dataset[[#This Row],[Name]],FIND(",",Titanic_Dataset[[#This Row],[Name]]))-FIND(",",Titanic_Dataset[[#This Row],[Name]])-1))</f>
        <v>Miss.</v>
      </c>
      <c r="H324" s="1" t="s">
        <v>18</v>
      </c>
      <c r="I324">
        <v>30</v>
      </c>
      <c r="J324" t="str">
        <f>IF(Titanic_Dataset[[#This Row],[Age]]&lt;12,"0-11",
IF(Titanic_Dataset[[#This Row],[Age]]&lt;20,"12-19",
IF(Titanic_Dataset[[#This Row],[Age]]&lt;30,"20-29",
IF(Titanic_Dataset[[#This Row],[Age]]&lt;40,"30-39",
IF(Titanic_Dataset[[#This Row],[Age]]&lt;50,"40-49",
IF(Titanic_Dataset[[#This Row],[Age]]&lt;60,"50-59",
IF(Titanic_Dataset[[#This Row],[Age]]&lt;70,"60-69",)))))))</f>
        <v>30-39</v>
      </c>
      <c r="K324">
        <v>0</v>
      </c>
      <c r="L324">
        <v>0</v>
      </c>
      <c r="M324">
        <f>Titanic_Dataset[[#This Row],[Parch]]+Titanic_Dataset[[#This Row],[SibSp]]</f>
        <v>0</v>
      </c>
      <c r="N324" s="1" t="s">
        <v>689</v>
      </c>
      <c r="O324">
        <v>12.35</v>
      </c>
      <c r="P324">
        <f>IF(Titanic_Dataset[[#This Row],[Survived]]=1,Titanic_Dataset[[#This Row],[Fare]],NA())</f>
        <v>12.35</v>
      </c>
      <c r="Q324" t="e">
        <f>IF(Titanic_Dataset[[#This Row],[Survived]]=0,Titanic_Dataset[[#This Row],[Fare]],NA())</f>
        <v>#N/A</v>
      </c>
      <c r="R324" t="str">
        <f>VLOOKUP(Titanic_Dataset[[#This Row],[Fare]],Table2[],2,TRUE)</f>
        <v>medium</v>
      </c>
      <c r="S324" s="1" t="s">
        <v>15</v>
      </c>
      <c r="T324" s="1" t="s">
        <v>31</v>
      </c>
      <c r="U324" s="1"/>
      <c r="V324" s="1"/>
      <c r="W324" s="1"/>
    </row>
    <row r="325" spans="1:23" x14ac:dyDescent="0.25">
      <c r="A325">
        <v>324</v>
      </c>
      <c r="B325">
        <v>1</v>
      </c>
      <c r="C325" t="str">
        <f>IF(Titanic_Dataset[[#This Row],[Survived]]=1,"Survived","Died")</f>
        <v>Survived</v>
      </c>
      <c r="D325">
        <v>2</v>
      </c>
      <c r="E325" t="str">
        <f>IF(Titanic_Dataset[[#This Row],[Pclass]]=1,"1st",IF(Titanic_Dataset[[#This Row],[Pclass]]=2,"2nd",IF(Titanic_Dataset[[#This Row],[Pclass]]=3,"3rd")))</f>
        <v>2nd</v>
      </c>
      <c r="F325" s="1" t="s">
        <v>690</v>
      </c>
      <c r="G325" s="1" t="str">
        <f>TRIM(MID(Titanic_Dataset[[#This Row],[Name]],
FIND(",",Titanic_Dataset[[#This Row],[Name]])+2,
FIND(".",Titanic_Dataset[[#This Row],[Name]],FIND(",",Titanic_Dataset[[#This Row],[Name]]))-FIND(",",Titanic_Dataset[[#This Row],[Name]])-1))</f>
        <v>Mrs.</v>
      </c>
      <c r="H325" s="1" t="s">
        <v>18</v>
      </c>
      <c r="I325">
        <v>22</v>
      </c>
      <c r="J32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25">
        <v>1</v>
      </c>
      <c r="L325">
        <v>1</v>
      </c>
      <c r="M325">
        <f>Titanic_Dataset[[#This Row],[Parch]]+Titanic_Dataset[[#This Row],[SibSp]]</f>
        <v>2</v>
      </c>
      <c r="N325" s="1" t="s">
        <v>189</v>
      </c>
      <c r="O325">
        <v>29</v>
      </c>
      <c r="P325">
        <f>IF(Titanic_Dataset[[#This Row],[Survived]]=1,Titanic_Dataset[[#This Row],[Fare]],NA())</f>
        <v>29</v>
      </c>
      <c r="Q325" t="e">
        <f>IF(Titanic_Dataset[[#This Row],[Survived]]=0,Titanic_Dataset[[#This Row],[Fare]],NA())</f>
        <v>#N/A</v>
      </c>
      <c r="R325" t="str">
        <f>VLOOKUP(Titanic_Dataset[[#This Row],[Fare]],Table2[],2,TRUE)</f>
        <v>high</v>
      </c>
      <c r="S325" s="1" t="s">
        <v>15</v>
      </c>
      <c r="T325" s="1" t="s">
        <v>16</v>
      </c>
      <c r="U325" s="1"/>
      <c r="V325" s="1"/>
      <c r="W325" s="1"/>
    </row>
    <row r="326" spans="1:23" x14ac:dyDescent="0.25">
      <c r="A326">
        <v>325</v>
      </c>
      <c r="B326">
        <v>0</v>
      </c>
      <c r="C326" t="str">
        <f>IF(Titanic_Dataset[[#This Row],[Survived]]=1,"Survived","Died")</f>
        <v>Died</v>
      </c>
      <c r="D326">
        <v>3</v>
      </c>
      <c r="E326" t="str">
        <f>IF(Titanic_Dataset[[#This Row],[Pclass]]=1,"1st",IF(Titanic_Dataset[[#This Row],[Pclass]]=2,"2nd",IF(Titanic_Dataset[[#This Row],[Pclass]]=3,"3rd")))</f>
        <v>3rd</v>
      </c>
      <c r="F326" s="1" t="s">
        <v>691</v>
      </c>
      <c r="G326" s="1" t="str">
        <f>TRIM(MID(Titanic_Dataset[[#This Row],[Name]],
FIND(",",Titanic_Dataset[[#This Row],[Name]])+2,
FIND(".",Titanic_Dataset[[#This Row],[Name]],FIND(",",Titanic_Dataset[[#This Row],[Name]]))-FIND(",",Titanic_Dataset[[#This Row],[Name]])-1))</f>
        <v>Mr.</v>
      </c>
      <c r="H326" s="1" t="s">
        <v>13</v>
      </c>
      <c r="I326">
        <v>28</v>
      </c>
      <c r="J32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26">
        <v>8</v>
      </c>
      <c r="L326">
        <v>2</v>
      </c>
      <c r="M326">
        <f>Titanic_Dataset[[#This Row],[Parch]]+Titanic_Dataset[[#This Row],[SibSp]]</f>
        <v>10</v>
      </c>
      <c r="N326" s="1" t="s">
        <v>354</v>
      </c>
      <c r="O326">
        <v>69.55</v>
      </c>
      <c r="P326" t="e">
        <f>IF(Titanic_Dataset[[#This Row],[Survived]]=1,Titanic_Dataset[[#This Row],[Fare]],NA())</f>
        <v>#N/A</v>
      </c>
      <c r="Q326">
        <f>IF(Titanic_Dataset[[#This Row],[Survived]]=0,Titanic_Dataset[[#This Row],[Fare]],NA())</f>
        <v>69.55</v>
      </c>
      <c r="R326" t="str">
        <f>VLOOKUP(Titanic_Dataset[[#This Row],[Fare]],Table2[],2,TRUE)</f>
        <v>very hiegh</v>
      </c>
      <c r="S326" s="1" t="s">
        <v>15</v>
      </c>
      <c r="T326" s="1" t="s">
        <v>16</v>
      </c>
      <c r="U326" s="1"/>
      <c r="V326" s="1"/>
      <c r="W326" s="1"/>
    </row>
    <row r="327" spans="1:23" x14ac:dyDescent="0.25">
      <c r="A327">
        <v>326</v>
      </c>
      <c r="B327">
        <v>1</v>
      </c>
      <c r="C327" t="str">
        <f>IF(Titanic_Dataset[[#This Row],[Survived]]=1,"Survived","Died")</f>
        <v>Survived</v>
      </c>
      <c r="D327">
        <v>1</v>
      </c>
      <c r="E327" t="str">
        <f>IF(Titanic_Dataset[[#This Row],[Pclass]]=1,"1st",IF(Titanic_Dataset[[#This Row],[Pclass]]=2,"2nd",IF(Titanic_Dataset[[#This Row],[Pclass]]=3,"3rd")))</f>
        <v>1st</v>
      </c>
      <c r="F327" s="1" t="s">
        <v>692</v>
      </c>
      <c r="G327" s="1" t="str">
        <f>TRIM(MID(Titanic_Dataset[[#This Row],[Name]],
FIND(",",Titanic_Dataset[[#This Row],[Name]])+2,
FIND(".",Titanic_Dataset[[#This Row],[Name]],FIND(",",Titanic_Dataset[[#This Row],[Name]]))-FIND(",",Titanic_Dataset[[#This Row],[Name]])-1))</f>
        <v>Miss.</v>
      </c>
      <c r="H327" s="1" t="s">
        <v>18</v>
      </c>
      <c r="I327">
        <v>36</v>
      </c>
      <c r="J327" t="str">
        <f>IF(Titanic_Dataset[[#This Row],[Age]]&lt;12,"0-11",
IF(Titanic_Dataset[[#This Row],[Age]]&lt;20,"12-19",
IF(Titanic_Dataset[[#This Row],[Age]]&lt;30,"20-29",
IF(Titanic_Dataset[[#This Row],[Age]]&lt;40,"30-39",
IF(Titanic_Dataset[[#This Row],[Age]]&lt;50,"40-49",
IF(Titanic_Dataset[[#This Row],[Age]]&lt;60,"50-59",
IF(Titanic_Dataset[[#This Row],[Age]]&lt;70,"60-69",)))))))</f>
        <v>30-39</v>
      </c>
      <c r="K327">
        <v>0</v>
      </c>
      <c r="L327">
        <v>0</v>
      </c>
      <c r="M327">
        <f>Titanic_Dataset[[#This Row],[Parch]]+Titanic_Dataset[[#This Row],[SibSp]]</f>
        <v>0</v>
      </c>
      <c r="N327" s="1" t="s">
        <v>575</v>
      </c>
      <c r="O327">
        <v>135.63329999999999</v>
      </c>
      <c r="P327">
        <f>IF(Titanic_Dataset[[#This Row],[Survived]]=1,Titanic_Dataset[[#This Row],[Fare]],NA())</f>
        <v>135.63329999999999</v>
      </c>
      <c r="Q327" t="e">
        <f>IF(Titanic_Dataset[[#This Row],[Survived]]=0,Titanic_Dataset[[#This Row],[Fare]],NA())</f>
        <v>#N/A</v>
      </c>
      <c r="R327" t="str">
        <f>VLOOKUP(Titanic_Dataset[[#This Row],[Fare]],Table2[],2,TRUE)</f>
        <v>very hiegh</v>
      </c>
      <c r="S327" s="1" t="s">
        <v>693</v>
      </c>
      <c r="T327" s="1" t="s">
        <v>21</v>
      </c>
      <c r="U327" s="1"/>
      <c r="V327" s="1"/>
      <c r="W327" s="1"/>
    </row>
    <row r="328" spans="1:23" x14ac:dyDescent="0.25">
      <c r="A328">
        <v>327</v>
      </c>
      <c r="B328">
        <v>0</v>
      </c>
      <c r="C328" t="str">
        <f>IF(Titanic_Dataset[[#This Row],[Survived]]=1,"Survived","Died")</f>
        <v>Died</v>
      </c>
      <c r="D328">
        <v>3</v>
      </c>
      <c r="E328" t="str">
        <f>IF(Titanic_Dataset[[#This Row],[Pclass]]=1,"1st",IF(Titanic_Dataset[[#This Row],[Pclass]]=2,"2nd",IF(Titanic_Dataset[[#This Row],[Pclass]]=3,"3rd")))</f>
        <v>3rd</v>
      </c>
      <c r="F328" s="1" t="s">
        <v>694</v>
      </c>
      <c r="G328" s="1" t="str">
        <f>TRIM(MID(Titanic_Dataset[[#This Row],[Name]],
FIND(",",Titanic_Dataset[[#This Row],[Name]])+2,
FIND(".",Titanic_Dataset[[#This Row],[Name]],FIND(",",Titanic_Dataset[[#This Row],[Name]]))-FIND(",",Titanic_Dataset[[#This Row],[Name]])-1))</f>
        <v>Mr.</v>
      </c>
      <c r="H328" s="1" t="s">
        <v>13</v>
      </c>
      <c r="I328">
        <v>61</v>
      </c>
      <c r="J328" t="str">
        <f>IF(Titanic_Dataset[[#This Row],[Age]]&lt;12,"0-11",
IF(Titanic_Dataset[[#This Row],[Age]]&lt;20,"12-19",
IF(Titanic_Dataset[[#This Row],[Age]]&lt;30,"20-29",
IF(Titanic_Dataset[[#This Row],[Age]]&lt;40,"30-39",
IF(Titanic_Dataset[[#This Row],[Age]]&lt;50,"40-49",
IF(Titanic_Dataset[[#This Row],[Age]]&lt;60,"50-59",
IF(Titanic_Dataset[[#This Row],[Age]]&lt;70,"60-69",)))))))</f>
        <v>60-69</v>
      </c>
      <c r="K328">
        <v>0</v>
      </c>
      <c r="L328">
        <v>0</v>
      </c>
      <c r="M328">
        <f>Titanic_Dataset[[#This Row],[Parch]]+Titanic_Dataset[[#This Row],[SibSp]]</f>
        <v>0</v>
      </c>
      <c r="N328" s="1" t="s">
        <v>695</v>
      </c>
      <c r="O328">
        <v>6.2374999999999998</v>
      </c>
      <c r="P328" t="e">
        <f>IF(Titanic_Dataset[[#This Row],[Survived]]=1,Titanic_Dataset[[#This Row],[Fare]],NA())</f>
        <v>#N/A</v>
      </c>
      <c r="Q328">
        <f>IF(Titanic_Dataset[[#This Row],[Survived]]=0,Titanic_Dataset[[#This Row],[Fare]],NA())</f>
        <v>6.2374999999999998</v>
      </c>
      <c r="R328" t="str">
        <f>VLOOKUP(Titanic_Dataset[[#This Row],[Fare]],Table2[],2,TRUE)</f>
        <v>low</v>
      </c>
      <c r="S328" s="1" t="s">
        <v>15</v>
      </c>
      <c r="T328" s="1" t="s">
        <v>16</v>
      </c>
      <c r="U328" s="1"/>
      <c r="V328" s="1"/>
      <c r="W328" s="1"/>
    </row>
    <row r="329" spans="1:23" x14ac:dyDescent="0.25">
      <c r="A329">
        <v>328</v>
      </c>
      <c r="B329">
        <v>1</v>
      </c>
      <c r="C329" t="str">
        <f>IF(Titanic_Dataset[[#This Row],[Survived]]=1,"Survived","Died")</f>
        <v>Survived</v>
      </c>
      <c r="D329">
        <v>2</v>
      </c>
      <c r="E329" t="str">
        <f>IF(Titanic_Dataset[[#This Row],[Pclass]]=1,"1st",IF(Titanic_Dataset[[#This Row],[Pclass]]=2,"2nd",IF(Titanic_Dataset[[#This Row],[Pclass]]=3,"3rd")))</f>
        <v>2nd</v>
      </c>
      <c r="F329" s="1" t="s">
        <v>696</v>
      </c>
      <c r="G329" s="1" t="str">
        <f>TRIM(MID(Titanic_Dataset[[#This Row],[Name]],
FIND(",",Titanic_Dataset[[#This Row],[Name]])+2,
FIND(".",Titanic_Dataset[[#This Row],[Name]],FIND(",",Titanic_Dataset[[#This Row],[Name]]))-FIND(",",Titanic_Dataset[[#This Row],[Name]])-1))</f>
        <v>Mrs.</v>
      </c>
      <c r="H329" s="1" t="s">
        <v>18</v>
      </c>
      <c r="I329">
        <v>36</v>
      </c>
      <c r="J329" t="str">
        <f>IF(Titanic_Dataset[[#This Row],[Age]]&lt;12,"0-11",
IF(Titanic_Dataset[[#This Row],[Age]]&lt;20,"12-19",
IF(Titanic_Dataset[[#This Row],[Age]]&lt;30,"20-29",
IF(Titanic_Dataset[[#This Row],[Age]]&lt;40,"30-39",
IF(Titanic_Dataset[[#This Row],[Age]]&lt;50,"40-49",
IF(Titanic_Dataset[[#This Row],[Age]]&lt;60,"50-59",
IF(Titanic_Dataset[[#This Row],[Age]]&lt;70,"60-69",)))))))</f>
        <v>30-39</v>
      </c>
      <c r="K329">
        <v>0</v>
      </c>
      <c r="L329">
        <v>0</v>
      </c>
      <c r="M329">
        <f>Titanic_Dataset[[#This Row],[Parch]]+Titanic_Dataset[[#This Row],[SibSp]]</f>
        <v>0</v>
      </c>
      <c r="N329" s="1" t="s">
        <v>697</v>
      </c>
      <c r="O329">
        <v>13</v>
      </c>
      <c r="P329">
        <f>IF(Titanic_Dataset[[#This Row],[Survived]]=1,Titanic_Dataset[[#This Row],[Fare]],NA())</f>
        <v>13</v>
      </c>
      <c r="Q329" t="e">
        <f>IF(Titanic_Dataset[[#This Row],[Survived]]=0,Titanic_Dataset[[#This Row],[Fare]],NA())</f>
        <v>#N/A</v>
      </c>
      <c r="R329" t="str">
        <f>VLOOKUP(Titanic_Dataset[[#This Row],[Fare]],Table2[],2,TRUE)</f>
        <v>medium</v>
      </c>
      <c r="S329" s="1" t="s">
        <v>625</v>
      </c>
      <c r="T329" s="1" t="s">
        <v>16</v>
      </c>
      <c r="U329" s="1"/>
      <c r="V329" s="1"/>
      <c r="W329" s="1"/>
    </row>
    <row r="330" spans="1:23" x14ac:dyDescent="0.25">
      <c r="A330">
        <v>329</v>
      </c>
      <c r="B330">
        <v>1</v>
      </c>
      <c r="C330" t="str">
        <f>IF(Titanic_Dataset[[#This Row],[Survived]]=1,"Survived","Died")</f>
        <v>Survived</v>
      </c>
      <c r="D330">
        <v>3</v>
      </c>
      <c r="E330" t="str">
        <f>IF(Titanic_Dataset[[#This Row],[Pclass]]=1,"1st",IF(Titanic_Dataset[[#This Row],[Pclass]]=2,"2nd",IF(Titanic_Dataset[[#This Row],[Pclass]]=3,"3rd")))</f>
        <v>3rd</v>
      </c>
      <c r="F330" s="1" t="s">
        <v>698</v>
      </c>
      <c r="G330" s="1" t="str">
        <f>TRIM(MID(Titanic_Dataset[[#This Row],[Name]],
FIND(",",Titanic_Dataset[[#This Row],[Name]])+2,
FIND(".",Titanic_Dataset[[#This Row],[Name]],FIND(",",Titanic_Dataset[[#This Row],[Name]]))-FIND(",",Titanic_Dataset[[#This Row],[Name]])-1))</f>
        <v>Mrs.</v>
      </c>
      <c r="H330" s="1" t="s">
        <v>18</v>
      </c>
      <c r="I330">
        <v>31</v>
      </c>
      <c r="J330" t="str">
        <f>IF(Titanic_Dataset[[#This Row],[Age]]&lt;12,"0-11",
IF(Titanic_Dataset[[#This Row],[Age]]&lt;20,"12-19",
IF(Titanic_Dataset[[#This Row],[Age]]&lt;30,"20-29",
IF(Titanic_Dataset[[#This Row],[Age]]&lt;40,"30-39",
IF(Titanic_Dataset[[#This Row],[Age]]&lt;50,"40-49",
IF(Titanic_Dataset[[#This Row],[Age]]&lt;60,"50-59",
IF(Titanic_Dataset[[#This Row],[Age]]&lt;70,"60-69",)))))))</f>
        <v>30-39</v>
      </c>
      <c r="K330">
        <v>1</v>
      </c>
      <c r="L330">
        <v>1</v>
      </c>
      <c r="M330">
        <f>Titanic_Dataset[[#This Row],[Parch]]+Titanic_Dataset[[#This Row],[SibSp]]</f>
        <v>2</v>
      </c>
      <c r="N330" s="1" t="s">
        <v>365</v>
      </c>
      <c r="O330">
        <v>20.524999999999999</v>
      </c>
      <c r="P330">
        <f>IF(Titanic_Dataset[[#This Row],[Survived]]=1,Titanic_Dataset[[#This Row],[Fare]],NA())</f>
        <v>20.524999999999999</v>
      </c>
      <c r="Q330" t="e">
        <f>IF(Titanic_Dataset[[#This Row],[Survived]]=0,Titanic_Dataset[[#This Row],[Fare]],NA())</f>
        <v>#N/A</v>
      </c>
      <c r="R330" t="str">
        <f>VLOOKUP(Titanic_Dataset[[#This Row],[Fare]],Table2[],2,TRUE)</f>
        <v>high</v>
      </c>
      <c r="S330" s="1" t="s">
        <v>15</v>
      </c>
      <c r="T330" s="1" t="s">
        <v>16</v>
      </c>
      <c r="U330" s="1"/>
      <c r="V330" s="1"/>
      <c r="W330" s="1"/>
    </row>
    <row r="331" spans="1:23" x14ac:dyDescent="0.25">
      <c r="A331">
        <v>330</v>
      </c>
      <c r="B331">
        <v>1</v>
      </c>
      <c r="C331" t="str">
        <f>IF(Titanic_Dataset[[#This Row],[Survived]]=1,"Survived","Died")</f>
        <v>Survived</v>
      </c>
      <c r="D331">
        <v>1</v>
      </c>
      <c r="E331" t="str">
        <f>IF(Titanic_Dataset[[#This Row],[Pclass]]=1,"1st",IF(Titanic_Dataset[[#This Row],[Pclass]]=2,"2nd",IF(Titanic_Dataset[[#This Row],[Pclass]]=3,"3rd")))</f>
        <v>1st</v>
      </c>
      <c r="F331" s="1" t="s">
        <v>699</v>
      </c>
      <c r="G331" s="1" t="str">
        <f>TRIM(MID(Titanic_Dataset[[#This Row],[Name]],
FIND(",",Titanic_Dataset[[#This Row],[Name]])+2,
FIND(".",Titanic_Dataset[[#This Row],[Name]],FIND(",",Titanic_Dataset[[#This Row],[Name]]))-FIND(",",Titanic_Dataset[[#This Row],[Name]])-1))</f>
        <v>Miss.</v>
      </c>
      <c r="H331" s="1" t="s">
        <v>18</v>
      </c>
      <c r="I331">
        <v>16</v>
      </c>
      <c r="J331" t="str">
        <f>IF(Titanic_Dataset[[#This Row],[Age]]&lt;12,"0-11",
IF(Titanic_Dataset[[#This Row],[Age]]&lt;20,"12-19",
IF(Titanic_Dataset[[#This Row],[Age]]&lt;30,"20-29",
IF(Titanic_Dataset[[#This Row],[Age]]&lt;40,"30-39",
IF(Titanic_Dataset[[#This Row],[Age]]&lt;50,"40-49",
IF(Titanic_Dataset[[#This Row],[Age]]&lt;60,"50-59",
IF(Titanic_Dataset[[#This Row],[Age]]&lt;70,"60-69",)))))))</f>
        <v>12-19</v>
      </c>
      <c r="K331">
        <v>0</v>
      </c>
      <c r="L331">
        <v>1</v>
      </c>
      <c r="M331">
        <f>Titanic_Dataset[[#This Row],[Parch]]+Titanic_Dataset[[#This Row],[SibSp]]</f>
        <v>1</v>
      </c>
      <c r="N331" s="1" t="s">
        <v>700</v>
      </c>
      <c r="O331">
        <v>57.979199999999999</v>
      </c>
      <c r="P331">
        <f>IF(Titanic_Dataset[[#This Row],[Survived]]=1,Titanic_Dataset[[#This Row],[Fare]],NA())</f>
        <v>57.979199999999999</v>
      </c>
      <c r="Q331" t="e">
        <f>IF(Titanic_Dataset[[#This Row],[Survived]]=0,Titanic_Dataset[[#This Row],[Fare]],NA())</f>
        <v>#N/A</v>
      </c>
      <c r="R331" t="str">
        <f>VLOOKUP(Titanic_Dataset[[#This Row],[Fare]],Table2[],2,TRUE)</f>
        <v>very hiegh</v>
      </c>
      <c r="S331" s="1" t="s">
        <v>701</v>
      </c>
      <c r="T331" s="1" t="s">
        <v>21</v>
      </c>
      <c r="U331" s="1"/>
      <c r="V331" s="1"/>
      <c r="W331" s="1"/>
    </row>
    <row r="332" spans="1:23" x14ac:dyDescent="0.25">
      <c r="A332">
        <v>331</v>
      </c>
      <c r="B332">
        <v>1</v>
      </c>
      <c r="C332" t="str">
        <f>IF(Titanic_Dataset[[#This Row],[Survived]]=1,"Survived","Died")</f>
        <v>Survived</v>
      </c>
      <c r="D332">
        <v>3</v>
      </c>
      <c r="E332" t="str">
        <f>IF(Titanic_Dataset[[#This Row],[Pclass]]=1,"1st",IF(Titanic_Dataset[[#This Row],[Pclass]]=2,"2nd",IF(Titanic_Dataset[[#This Row],[Pclass]]=3,"3rd")))</f>
        <v>3rd</v>
      </c>
      <c r="F332" s="1" t="s">
        <v>702</v>
      </c>
      <c r="G332" s="1" t="str">
        <f>TRIM(MID(Titanic_Dataset[[#This Row],[Name]],
FIND(",",Titanic_Dataset[[#This Row],[Name]])+2,
FIND(".",Titanic_Dataset[[#This Row],[Name]],FIND(",",Titanic_Dataset[[#This Row],[Name]]))-FIND(",",Titanic_Dataset[[#This Row],[Name]])-1))</f>
        <v>Miss.</v>
      </c>
      <c r="H332" s="1" t="s">
        <v>18</v>
      </c>
      <c r="I332">
        <v>28</v>
      </c>
      <c r="J33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32">
        <v>2</v>
      </c>
      <c r="L332">
        <v>0</v>
      </c>
      <c r="M332">
        <f>Titanic_Dataset[[#This Row],[Parch]]+Titanic_Dataset[[#This Row],[SibSp]]</f>
        <v>2</v>
      </c>
      <c r="N332" s="1" t="s">
        <v>644</v>
      </c>
      <c r="O332">
        <v>23.25</v>
      </c>
      <c r="P332">
        <f>IF(Titanic_Dataset[[#This Row],[Survived]]=1,Titanic_Dataset[[#This Row],[Fare]],NA())</f>
        <v>23.25</v>
      </c>
      <c r="Q332" t="e">
        <f>IF(Titanic_Dataset[[#This Row],[Survived]]=0,Titanic_Dataset[[#This Row],[Fare]],NA())</f>
        <v>#N/A</v>
      </c>
      <c r="R332" t="str">
        <f>VLOOKUP(Titanic_Dataset[[#This Row],[Fare]],Table2[],2,TRUE)</f>
        <v>high</v>
      </c>
      <c r="S332" s="1" t="s">
        <v>15</v>
      </c>
      <c r="T332" s="1" t="s">
        <v>31</v>
      </c>
      <c r="U332" s="1"/>
      <c r="V332" s="1"/>
      <c r="W332" s="1"/>
    </row>
    <row r="333" spans="1:23" x14ac:dyDescent="0.25">
      <c r="A333">
        <v>332</v>
      </c>
      <c r="B333">
        <v>0</v>
      </c>
      <c r="C333" t="str">
        <f>IF(Titanic_Dataset[[#This Row],[Survived]]=1,"Survived","Died")</f>
        <v>Died</v>
      </c>
      <c r="D333">
        <v>1</v>
      </c>
      <c r="E333" t="str">
        <f>IF(Titanic_Dataset[[#This Row],[Pclass]]=1,"1st",IF(Titanic_Dataset[[#This Row],[Pclass]]=2,"2nd",IF(Titanic_Dataset[[#This Row],[Pclass]]=3,"3rd")))</f>
        <v>1st</v>
      </c>
      <c r="F333" s="1" t="s">
        <v>703</v>
      </c>
      <c r="G333" s="1" t="str">
        <f>TRIM(MID(Titanic_Dataset[[#This Row],[Name]],
FIND(",",Titanic_Dataset[[#This Row],[Name]])+2,
FIND(".",Titanic_Dataset[[#This Row],[Name]],FIND(",",Titanic_Dataset[[#This Row],[Name]]))-FIND(",",Titanic_Dataset[[#This Row],[Name]])-1))</f>
        <v>Mr.</v>
      </c>
      <c r="H333" s="1" t="s">
        <v>13</v>
      </c>
      <c r="I333">
        <v>45.5</v>
      </c>
      <c r="J333" t="str">
        <f>IF(Titanic_Dataset[[#This Row],[Age]]&lt;12,"0-11",
IF(Titanic_Dataset[[#This Row],[Age]]&lt;20,"12-19",
IF(Titanic_Dataset[[#This Row],[Age]]&lt;30,"20-29",
IF(Titanic_Dataset[[#This Row],[Age]]&lt;40,"30-39",
IF(Titanic_Dataset[[#This Row],[Age]]&lt;50,"40-49",
IF(Titanic_Dataset[[#This Row],[Age]]&lt;60,"50-59",
IF(Titanic_Dataset[[#This Row],[Age]]&lt;70,"60-69",)))))))</f>
        <v>40-49</v>
      </c>
      <c r="K333">
        <v>0</v>
      </c>
      <c r="L333">
        <v>0</v>
      </c>
      <c r="M333">
        <f>Titanic_Dataset[[#This Row],[Parch]]+Titanic_Dataset[[#This Row],[SibSp]]</f>
        <v>0</v>
      </c>
      <c r="N333" s="1" t="s">
        <v>704</v>
      </c>
      <c r="O333">
        <v>28.5</v>
      </c>
      <c r="P333" t="e">
        <f>IF(Titanic_Dataset[[#This Row],[Survived]]=1,Titanic_Dataset[[#This Row],[Fare]],NA())</f>
        <v>#N/A</v>
      </c>
      <c r="Q333">
        <f>IF(Titanic_Dataset[[#This Row],[Survived]]=0,Titanic_Dataset[[#This Row],[Fare]],NA())</f>
        <v>28.5</v>
      </c>
      <c r="R333" t="str">
        <f>VLOOKUP(Titanic_Dataset[[#This Row],[Fare]],Table2[],2,TRUE)</f>
        <v>high</v>
      </c>
      <c r="S333" s="1" t="s">
        <v>705</v>
      </c>
      <c r="T333" s="1" t="s">
        <v>16</v>
      </c>
      <c r="U333" s="1"/>
      <c r="V333" s="1"/>
      <c r="W333" s="1"/>
    </row>
    <row r="334" spans="1:23" x14ac:dyDescent="0.25">
      <c r="A334">
        <v>333</v>
      </c>
      <c r="B334">
        <v>0</v>
      </c>
      <c r="C334" t="str">
        <f>IF(Titanic_Dataset[[#This Row],[Survived]]=1,"Survived","Died")</f>
        <v>Died</v>
      </c>
      <c r="D334">
        <v>1</v>
      </c>
      <c r="E334" t="str">
        <f>IF(Titanic_Dataset[[#This Row],[Pclass]]=1,"1st",IF(Titanic_Dataset[[#This Row],[Pclass]]=2,"2nd",IF(Titanic_Dataset[[#This Row],[Pclass]]=3,"3rd")))</f>
        <v>1st</v>
      </c>
      <c r="F334" s="1" t="s">
        <v>706</v>
      </c>
      <c r="G334" s="1" t="str">
        <f>TRIM(MID(Titanic_Dataset[[#This Row],[Name]],
FIND(",",Titanic_Dataset[[#This Row],[Name]])+2,
FIND(".",Titanic_Dataset[[#This Row],[Name]],FIND(",",Titanic_Dataset[[#This Row],[Name]]))-FIND(",",Titanic_Dataset[[#This Row],[Name]])-1))</f>
        <v>Mr.</v>
      </c>
      <c r="H334" s="1" t="s">
        <v>13</v>
      </c>
      <c r="I334">
        <v>38</v>
      </c>
      <c r="J334" t="str">
        <f>IF(Titanic_Dataset[[#This Row],[Age]]&lt;12,"0-11",
IF(Titanic_Dataset[[#This Row],[Age]]&lt;20,"12-19",
IF(Titanic_Dataset[[#This Row],[Age]]&lt;30,"20-29",
IF(Titanic_Dataset[[#This Row],[Age]]&lt;40,"30-39",
IF(Titanic_Dataset[[#This Row],[Age]]&lt;50,"40-49",
IF(Titanic_Dataset[[#This Row],[Age]]&lt;60,"50-59",
IF(Titanic_Dataset[[#This Row],[Age]]&lt;70,"60-69",)))))))</f>
        <v>30-39</v>
      </c>
      <c r="K334">
        <v>0</v>
      </c>
      <c r="L334">
        <v>1</v>
      </c>
      <c r="M334">
        <f>Titanic_Dataset[[#This Row],[Parch]]+Titanic_Dataset[[#This Row],[SibSp]]</f>
        <v>1</v>
      </c>
      <c r="N334" s="1" t="s">
        <v>572</v>
      </c>
      <c r="O334">
        <v>153.46250000000001</v>
      </c>
      <c r="P334" t="e">
        <f>IF(Titanic_Dataset[[#This Row],[Survived]]=1,Titanic_Dataset[[#This Row],[Fare]],NA())</f>
        <v>#N/A</v>
      </c>
      <c r="Q334">
        <f>IF(Titanic_Dataset[[#This Row],[Survived]]=0,Titanic_Dataset[[#This Row],[Fare]],NA())</f>
        <v>153.46250000000001</v>
      </c>
      <c r="R334" t="str">
        <f>VLOOKUP(Titanic_Dataset[[#This Row],[Fare]],Table2[],2,TRUE)</f>
        <v>very hiegh</v>
      </c>
      <c r="S334" s="1" t="s">
        <v>707</v>
      </c>
      <c r="T334" s="1" t="s">
        <v>16</v>
      </c>
      <c r="U334" s="1"/>
      <c r="V334" s="1"/>
      <c r="W334" s="1"/>
    </row>
    <row r="335" spans="1:23" x14ac:dyDescent="0.25">
      <c r="A335">
        <v>334</v>
      </c>
      <c r="B335">
        <v>0</v>
      </c>
      <c r="C335" t="str">
        <f>IF(Titanic_Dataset[[#This Row],[Survived]]=1,"Survived","Died")</f>
        <v>Died</v>
      </c>
      <c r="D335">
        <v>3</v>
      </c>
      <c r="E335" t="str">
        <f>IF(Titanic_Dataset[[#This Row],[Pclass]]=1,"1st",IF(Titanic_Dataset[[#This Row],[Pclass]]=2,"2nd",IF(Titanic_Dataset[[#This Row],[Pclass]]=3,"3rd")))</f>
        <v>3rd</v>
      </c>
      <c r="F335" s="1" t="s">
        <v>708</v>
      </c>
      <c r="G335" s="1" t="str">
        <f>TRIM(MID(Titanic_Dataset[[#This Row],[Name]],
FIND(",",Titanic_Dataset[[#This Row],[Name]])+2,
FIND(".",Titanic_Dataset[[#This Row],[Name]],FIND(",",Titanic_Dataset[[#This Row],[Name]]))-FIND(",",Titanic_Dataset[[#This Row],[Name]])-1))</f>
        <v>Mr.</v>
      </c>
      <c r="H335" s="1" t="s">
        <v>13</v>
      </c>
      <c r="I335">
        <v>16</v>
      </c>
      <c r="J335" t="str">
        <f>IF(Titanic_Dataset[[#This Row],[Age]]&lt;12,"0-11",
IF(Titanic_Dataset[[#This Row],[Age]]&lt;20,"12-19",
IF(Titanic_Dataset[[#This Row],[Age]]&lt;30,"20-29",
IF(Titanic_Dataset[[#This Row],[Age]]&lt;40,"30-39",
IF(Titanic_Dataset[[#This Row],[Age]]&lt;50,"40-49",
IF(Titanic_Dataset[[#This Row],[Age]]&lt;60,"50-59",
IF(Titanic_Dataset[[#This Row],[Age]]&lt;70,"60-69",)))))))</f>
        <v>12-19</v>
      </c>
      <c r="K335">
        <v>2</v>
      </c>
      <c r="L335">
        <v>0</v>
      </c>
      <c r="M335">
        <f>Titanic_Dataset[[#This Row],[Parch]]+Titanic_Dataset[[#This Row],[SibSp]]</f>
        <v>2</v>
      </c>
      <c r="N335" s="1" t="s">
        <v>103</v>
      </c>
      <c r="O335">
        <v>18</v>
      </c>
      <c r="P335" t="e">
        <f>IF(Titanic_Dataset[[#This Row],[Survived]]=1,Titanic_Dataset[[#This Row],[Fare]],NA())</f>
        <v>#N/A</v>
      </c>
      <c r="Q335">
        <f>IF(Titanic_Dataset[[#This Row],[Survived]]=0,Titanic_Dataset[[#This Row],[Fare]],NA())</f>
        <v>18</v>
      </c>
      <c r="R335" t="str">
        <f>VLOOKUP(Titanic_Dataset[[#This Row],[Fare]],Table2[],2,TRUE)</f>
        <v>high</v>
      </c>
      <c r="S335" s="1" t="s">
        <v>15</v>
      </c>
      <c r="T335" s="1" t="s">
        <v>16</v>
      </c>
      <c r="U335" s="1"/>
      <c r="V335" s="1"/>
      <c r="W335" s="1"/>
    </row>
    <row r="336" spans="1:23" x14ac:dyDescent="0.25">
      <c r="A336">
        <v>335</v>
      </c>
      <c r="B336">
        <v>1</v>
      </c>
      <c r="C336" t="str">
        <f>IF(Titanic_Dataset[[#This Row],[Survived]]=1,"Survived","Died")</f>
        <v>Survived</v>
      </c>
      <c r="D336">
        <v>1</v>
      </c>
      <c r="E336" t="str">
        <f>IF(Titanic_Dataset[[#This Row],[Pclass]]=1,"1st",IF(Titanic_Dataset[[#This Row],[Pclass]]=2,"2nd",IF(Titanic_Dataset[[#This Row],[Pclass]]=3,"3rd")))</f>
        <v>1st</v>
      </c>
      <c r="F336" s="1" t="s">
        <v>709</v>
      </c>
      <c r="G336" s="1" t="str">
        <f>TRIM(MID(Titanic_Dataset[[#This Row],[Name]],
FIND(",",Titanic_Dataset[[#This Row],[Name]])+2,
FIND(".",Titanic_Dataset[[#This Row],[Name]],FIND(",",Titanic_Dataset[[#This Row],[Name]]))-FIND(",",Titanic_Dataset[[#This Row],[Name]])-1))</f>
        <v>Mrs.</v>
      </c>
      <c r="H336" s="1" t="s">
        <v>18</v>
      </c>
      <c r="I336">
        <v>28</v>
      </c>
      <c r="J33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36">
        <v>1</v>
      </c>
      <c r="L336">
        <v>0</v>
      </c>
      <c r="M336">
        <f>Titanic_Dataset[[#This Row],[Parch]]+Titanic_Dataset[[#This Row],[SibSp]]</f>
        <v>1</v>
      </c>
      <c r="N336" s="1" t="s">
        <v>710</v>
      </c>
      <c r="O336">
        <v>133.65</v>
      </c>
      <c r="P336">
        <f>IF(Titanic_Dataset[[#This Row],[Survived]]=1,Titanic_Dataset[[#This Row],[Fare]],NA())</f>
        <v>133.65</v>
      </c>
      <c r="Q336" t="e">
        <f>IF(Titanic_Dataset[[#This Row],[Survived]]=0,Titanic_Dataset[[#This Row],[Fare]],NA())</f>
        <v>#N/A</v>
      </c>
      <c r="R336" t="str">
        <f>VLOOKUP(Titanic_Dataset[[#This Row],[Fare]],Table2[],2,TRUE)</f>
        <v>very hiegh</v>
      </c>
      <c r="S336" s="1" t="s">
        <v>15</v>
      </c>
      <c r="T336" s="1" t="s">
        <v>16</v>
      </c>
      <c r="U336" s="1"/>
      <c r="V336" s="1"/>
      <c r="W336" s="1"/>
    </row>
    <row r="337" spans="1:23" x14ac:dyDescent="0.25">
      <c r="A337">
        <v>336</v>
      </c>
      <c r="B337">
        <v>0</v>
      </c>
      <c r="C337" t="str">
        <f>IF(Titanic_Dataset[[#This Row],[Survived]]=1,"Survived","Died")</f>
        <v>Died</v>
      </c>
      <c r="D337">
        <v>3</v>
      </c>
      <c r="E337" t="str">
        <f>IF(Titanic_Dataset[[#This Row],[Pclass]]=1,"1st",IF(Titanic_Dataset[[#This Row],[Pclass]]=2,"2nd",IF(Titanic_Dataset[[#This Row],[Pclass]]=3,"3rd")))</f>
        <v>3rd</v>
      </c>
      <c r="F337" s="1" t="s">
        <v>711</v>
      </c>
      <c r="G337" s="1" t="str">
        <f>TRIM(MID(Titanic_Dataset[[#This Row],[Name]],
FIND(",",Titanic_Dataset[[#This Row],[Name]])+2,
FIND(".",Titanic_Dataset[[#This Row],[Name]],FIND(",",Titanic_Dataset[[#This Row],[Name]]))-FIND(",",Titanic_Dataset[[#This Row],[Name]])-1))</f>
        <v>Mr.</v>
      </c>
      <c r="H337" s="1" t="s">
        <v>13</v>
      </c>
      <c r="I337">
        <v>28</v>
      </c>
      <c r="J33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37">
        <v>0</v>
      </c>
      <c r="L337">
        <v>0</v>
      </c>
      <c r="M337">
        <f>Titanic_Dataset[[#This Row],[Parch]]+Titanic_Dataset[[#This Row],[SibSp]]</f>
        <v>0</v>
      </c>
      <c r="N337" s="1" t="s">
        <v>712</v>
      </c>
      <c r="O337">
        <v>7.8958000000000004</v>
      </c>
      <c r="P337" t="e">
        <f>IF(Titanic_Dataset[[#This Row],[Survived]]=1,Titanic_Dataset[[#This Row],[Fare]],NA())</f>
        <v>#N/A</v>
      </c>
      <c r="Q337">
        <f>IF(Titanic_Dataset[[#This Row],[Survived]]=0,Titanic_Dataset[[#This Row],[Fare]],NA())</f>
        <v>7.8958000000000004</v>
      </c>
      <c r="R337" t="str">
        <f>VLOOKUP(Titanic_Dataset[[#This Row],[Fare]],Table2[],2,TRUE)</f>
        <v>low</v>
      </c>
      <c r="S337" s="1" t="s">
        <v>15</v>
      </c>
      <c r="T337" s="1" t="s">
        <v>16</v>
      </c>
      <c r="U337" s="1"/>
      <c r="V337" s="1"/>
      <c r="W337" s="1"/>
    </row>
    <row r="338" spans="1:23" x14ac:dyDescent="0.25">
      <c r="A338">
        <v>337</v>
      </c>
      <c r="B338">
        <v>0</v>
      </c>
      <c r="C338" t="str">
        <f>IF(Titanic_Dataset[[#This Row],[Survived]]=1,"Survived","Died")</f>
        <v>Died</v>
      </c>
      <c r="D338">
        <v>1</v>
      </c>
      <c r="E338" t="str">
        <f>IF(Titanic_Dataset[[#This Row],[Pclass]]=1,"1st",IF(Titanic_Dataset[[#This Row],[Pclass]]=2,"2nd",IF(Titanic_Dataset[[#This Row],[Pclass]]=3,"3rd")))</f>
        <v>1st</v>
      </c>
      <c r="F338" s="1" t="s">
        <v>713</v>
      </c>
      <c r="G338" s="1" t="str">
        <f>TRIM(MID(Titanic_Dataset[[#This Row],[Name]],
FIND(",",Titanic_Dataset[[#This Row],[Name]])+2,
FIND(".",Titanic_Dataset[[#This Row],[Name]],FIND(",",Titanic_Dataset[[#This Row],[Name]]))-FIND(",",Titanic_Dataset[[#This Row],[Name]])-1))</f>
        <v>Mr.</v>
      </c>
      <c r="H338" s="1" t="s">
        <v>13</v>
      </c>
      <c r="I338">
        <v>29</v>
      </c>
      <c r="J33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38">
        <v>1</v>
      </c>
      <c r="L338">
        <v>0</v>
      </c>
      <c r="M338">
        <f>Titanic_Dataset[[#This Row],[Parch]]+Titanic_Dataset[[#This Row],[SibSp]]</f>
        <v>1</v>
      </c>
      <c r="N338" s="1" t="s">
        <v>337</v>
      </c>
      <c r="O338">
        <v>66.599999999999994</v>
      </c>
      <c r="P338" t="e">
        <f>IF(Titanic_Dataset[[#This Row],[Survived]]=1,Titanic_Dataset[[#This Row],[Fare]],NA())</f>
        <v>#N/A</v>
      </c>
      <c r="Q338">
        <f>IF(Titanic_Dataset[[#This Row],[Survived]]=0,Titanic_Dataset[[#This Row],[Fare]],NA())</f>
        <v>66.599999999999994</v>
      </c>
      <c r="R338" t="str">
        <f>VLOOKUP(Titanic_Dataset[[#This Row],[Fare]],Table2[],2,TRUE)</f>
        <v>very hiegh</v>
      </c>
      <c r="S338" s="1" t="s">
        <v>338</v>
      </c>
      <c r="T338" s="1" t="s">
        <v>16</v>
      </c>
      <c r="U338" s="1"/>
      <c r="V338" s="1"/>
      <c r="W338" s="1"/>
    </row>
    <row r="339" spans="1:23" x14ac:dyDescent="0.25">
      <c r="A339">
        <v>338</v>
      </c>
      <c r="B339">
        <v>1</v>
      </c>
      <c r="C339" t="str">
        <f>IF(Titanic_Dataset[[#This Row],[Survived]]=1,"Survived","Died")</f>
        <v>Survived</v>
      </c>
      <c r="D339">
        <v>1</v>
      </c>
      <c r="E339" t="str">
        <f>IF(Titanic_Dataset[[#This Row],[Pclass]]=1,"1st",IF(Titanic_Dataset[[#This Row],[Pclass]]=2,"2nd",IF(Titanic_Dataset[[#This Row],[Pclass]]=3,"3rd")))</f>
        <v>1st</v>
      </c>
      <c r="F339" s="1" t="s">
        <v>714</v>
      </c>
      <c r="G339" s="1" t="str">
        <f>TRIM(MID(Titanic_Dataset[[#This Row],[Name]],
FIND(",",Titanic_Dataset[[#This Row],[Name]])+2,
FIND(".",Titanic_Dataset[[#This Row],[Name]],FIND(",",Titanic_Dataset[[#This Row],[Name]]))-FIND(",",Titanic_Dataset[[#This Row],[Name]])-1))</f>
        <v>Miss.</v>
      </c>
      <c r="H339" s="1" t="s">
        <v>18</v>
      </c>
      <c r="I339">
        <v>41</v>
      </c>
      <c r="J339" t="str">
        <f>IF(Titanic_Dataset[[#This Row],[Age]]&lt;12,"0-11",
IF(Titanic_Dataset[[#This Row],[Age]]&lt;20,"12-19",
IF(Titanic_Dataset[[#This Row],[Age]]&lt;30,"20-29",
IF(Titanic_Dataset[[#This Row],[Age]]&lt;40,"30-39",
IF(Titanic_Dataset[[#This Row],[Age]]&lt;50,"40-49",
IF(Titanic_Dataset[[#This Row],[Age]]&lt;60,"50-59",
IF(Titanic_Dataset[[#This Row],[Age]]&lt;70,"60-69",)))))))</f>
        <v>40-49</v>
      </c>
      <c r="K339">
        <v>0</v>
      </c>
      <c r="L339">
        <v>0</v>
      </c>
      <c r="M339">
        <f>Titanic_Dataset[[#This Row],[Parch]]+Titanic_Dataset[[#This Row],[SibSp]]</f>
        <v>0</v>
      </c>
      <c r="N339" s="1" t="s">
        <v>682</v>
      </c>
      <c r="O339">
        <v>134.5</v>
      </c>
      <c r="P339">
        <f>IF(Titanic_Dataset[[#This Row],[Survived]]=1,Titanic_Dataset[[#This Row],[Fare]],NA())</f>
        <v>134.5</v>
      </c>
      <c r="Q339" t="e">
        <f>IF(Titanic_Dataset[[#This Row],[Survived]]=0,Titanic_Dataset[[#This Row],[Fare]],NA())</f>
        <v>#N/A</v>
      </c>
      <c r="R339" t="str">
        <f>VLOOKUP(Titanic_Dataset[[#This Row],[Fare]],Table2[],2,TRUE)</f>
        <v>very hiegh</v>
      </c>
      <c r="S339" s="1" t="s">
        <v>715</v>
      </c>
      <c r="T339" s="1" t="s">
        <v>21</v>
      </c>
      <c r="U339" s="1"/>
      <c r="V339" s="1"/>
      <c r="W339" s="1"/>
    </row>
    <row r="340" spans="1:23" x14ac:dyDescent="0.25">
      <c r="A340">
        <v>339</v>
      </c>
      <c r="B340">
        <v>1</v>
      </c>
      <c r="C340" t="str">
        <f>IF(Titanic_Dataset[[#This Row],[Survived]]=1,"Survived","Died")</f>
        <v>Survived</v>
      </c>
      <c r="D340">
        <v>3</v>
      </c>
      <c r="E340" t="str">
        <f>IF(Titanic_Dataset[[#This Row],[Pclass]]=1,"1st",IF(Titanic_Dataset[[#This Row],[Pclass]]=2,"2nd",IF(Titanic_Dataset[[#This Row],[Pclass]]=3,"3rd")))</f>
        <v>3rd</v>
      </c>
      <c r="F340" s="1" t="s">
        <v>716</v>
      </c>
      <c r="G340" s="1" t="str">
        <f>TRIM(MID(Titanic_Dataset[[#This Row],[Name]],
FIND(",",Titanic_Dataset[[#This Row],[Name]])+2,
FIND(".",Titanic_Dataset[[#This Row],[Name]],FIND(",",Titanic_Dataset[[#This Row],[Name]]))-FIND(",",Titanic_Dataset[[#This Row],[Name]])-1))</f>
        <v>Mr.</v>
      </c>
      <c r="H340" s="1" t="s">
        <v>13</v>
      </c>
      <c r="I340">
        <v>45</v>
      </c>
      <c r="J340" t="str">
        <f>IF(Titanic_Dataset[[#This Row],[Age]]&lt;12,"0-11",
IF(Titanic_Dataset[[#This Row],[Age]]&lt;20,"12-19",
IF(Titanic_Dataset[[#This Row],[Age]]&lt;30,"20-29",
IF(Titanic_Dataset[[#This Row],[Age]]&lt;40,"30-39",
IF(Titanic_Dataset[[#This Row],[Age]]&lt;50,"40-49",
IF(Titanic_Dataset[[#This Row],[Age]]&lt;60,"50-59",
IF(Titanic_Dataset[[#This Row],[Age]]&lt;70,"60-69",)))))))</f>
        <v>40-49</v>
      </c>
      <c r="K340">
        <v>0</v>
      </c>
      <c r="L340">
        <v>0</v>
      </c>
      <c r="M340">
        <f>Titanic_Dataset[[#This Row],[Parch]]+Titanic_Dataset[[#This Row],[SibSp]]</f>
        <v>0</v>
      </c>
      <c r="N340" s="1" t="s">
        <v>717</v>
      </c>
      <c r="O340">
        <v>8.0500000000000007</v>
      </c>
      <c r="P340">
        <f>IF(Titanic_Dataset[[#This Row],[Survived]]=1,Titanic_Dataset[[#This Row],[Fare]],NA())</f>
        <v>8.0500000000000007</v>
      </c>
      <c r="Q340" t="e">
        <f>IF(Titanic_Dataset[[#This Row],[Survived]]=0,Titanic_Dataset[[#This Row],[Fare]],NA())</f>
        <v>#N/A</v>
      </c>
      <c r="R340" t="str">
        <f>VLOOKUP(Titanic_Dataset[[#This Row],[Fare]],Table2[],2,TRUE)</f>
        <v>medium</v>
      </c>
      <c r="S340" s="1" t="s">
        <v>15</v>
      </c>
      <c r="T340" s="1" t="s">
        <v>16</v>
      </c>
      <c r="U340" s="1"/>
      <c r="V340" s="1"/>
      <c r="W340" s="1"/>
    </row>
    <row r="341" spans="1:23" x14ac:dyDescent="0.25">
      <c r="A341">
        <v>340</v>
      </c>
      <c r="B341">
        <v>0</v>
      </c>
      <c r="C341" t="str">
        <f>IF(Titanic_Dataset[[#This Row],[Survived]]=1,"Survived","Died")</f>
        <v>Died</v>
      </c>
      <c r="D341">
        <v>1</v>
      </c>
      <c r="E341" t="str">
        <f>IF(Titanic_Dataset[[#This Row],[Pclass]]=1,"1st",IF(Titanic_Dataset[[#This Row],[Pclass]]=2,"2nd",IF(Titanic_Dataset[[#This Row],[Pclass]]=3,"3rd")))</f>
        <v>1st</v>
      </c>
      <c r="F341" s="1" t="s">
        <v>718</v>
      </c>
      <c r="G341" s="1" t="str">
        <f>TRIM(MID(Titanic_Dataset[[#This Row],[Name]],
FIND(",",Titanic_Dataset[[#This Row],[Name]])+2,
FIND(".",Titanic_Dataset[[#This Row],[Name]],FIND(",",Titanic_Dataset[[#This Row],[Name]]))-FIND(",",Titanic_Dataset[[#This Row],[Name]])-1))</f>
        <v>Mr.</v>
      </c>
      <c r="H341" s="1" t="s">
        <v>13</v>
      </c>
      <c r="I341">
        <v>45</v>
      </c>
      <c r="J341" t="str">
        <f>IF(Titanic_Dataset[[#This Row],[Age]]&lt;12,"0-11",
IF(Titanic_Dataset[[#This Row],[Age]]&lt;20,"12-19",
IF(Titanic_Dataset[[#This Row],[Age]]&lt;30,"20-29",
IF(Titanic_Dataset[[#This Row],[Age]]&lt;40,"30-39",
IF(Titanic_Dataset[[#This Row],[Age]]&lt;50,"40-49",
IF(Titanic_Dataset[[#This Row],[Age]]&lt;60,"50-59",
IF(Titanic_Dataset[[#This Row],[Age]]&lt;70,"60-69",)))))))</f>
        <v>40-49</v>
      </c>
      <c r="K341">
        <v>0</v>
      </c>
      <c r="L341">
        <v>0</v>
      </c>
      <c r="M341">
        <f>Titanic_Dataset[[#This Row],[Parch]]+Titanic_Dataset[[#This Row],[SibSp]]</f>
        <v>0</v>
      </c>
      <c r="N341" s="1" t="s">
        <v>719</v>
      </c>
      <c r="O341">
        <v>35.5</v>
      </c>
      <c r="P341" t="e">
        <f>IF(Titanic_Dataset[[#This Row],[Survived]]=1,Titanic_Dataset[[#This Row],[Fare]],NA())</f>
        <v>#N/A</v>
      </c>
      <c r="Q341">
        <f>IF(Titanic_Dataset[[#This Row],[Survived]]=0,Titanic_Dataset[[#This Row],[Fare]],NA())</f>
        <v>35.5</v>
      </c>
      <c r="R341" t="str">
        <f>VLOOKUP(Titanic_Dataset[[#This Row],[Fare]],Table2[],2,TRUE)</f>
        <v>very hiegh</v>
      </c>
      <c r="S341" s="1" t="s">
        <v>720</v>
      </c>
      <c r="T341" s="1" t="s">
        <v>16</v>
      </c>
      <c r="U341" s="1"/>
      <c r="V341" s="1"/>
      <c r="W341" s="1"/>
    </row>
    <row r="342" spans="1:23" x14ac:dyDescent="0.25">
      <c r="A342">
        <v>341</v>
      </c>
      <c r="B342">
        <v>1</v>
      </c>
      <c r="C342" t="str">
        <f>IF(Titanic_Dataset[[#This Row],[Survived]]=1,"Survived","Died")</f>
        <v>Survived</v>
      </c>
      <c r="D342">
        <v>2</v>
      </c>
      <c r="E342" t="str">
        <f>IF(Titanic_Dataset[[#This Row],[Pclass]]=1,"1st",IF(Titanic_Dataset[[#This Row],[Pclass]]=2,"2nd",IF(Titanic_Dataset[[#This Row],[Pclass]]=3,"3rd")))</f>
        <v>2nd</v>
      </c>
      <c r="F342" s="1" t="s">
        <v>721</v>
      </c>
      <c r="G342" s="1" t="str">
        <f>TRIM(MID(Titanic_Dataset[[#This Row],[Name]],
FIND(",",Titanic_Dataset[[#This Row],[Name]])+2,
FIND(".",Titanic_Dataset[[#This Row],[Name]],FIND(",",Titanic_Dataset[[#This Row],[Name]]))-FIND(",",Titanic_Dataset[[#This Row],[Name]])-1))</f>
        <v>Master.</v>
      </c>
      <c r="H342" s="1" t="s">
        <v>13</v>
      </c>
      <c r="I342">
        <v>2</v>
      </c>
      <c r="J342" t="str">
        <f>IF(Titanic_Dataset[[#This Row],[Age]]&lt;12,"0-11",
IF(Titanic_Dataset[[#This Row],[Age]]&lt;20,"12-19",
IF(Titanic_Dataset[[#This Row],[Age]]&lt;30,"20-29",
IF(Titanic_Dataset[[#This Row],[Age]]&lt;40,"30-39",
IF(Titanic_Dataset[[#This Row],[Age]]&lt;50,"40-49",
IF(Titanic_Dataset[[#This Row],[Age]]&lt;60,"50-59",
IF(Titanic_Dataset[[#This Row],[Age]]&lt;70,"60-69",)))))))</f>
        <v>0-11</v>
      </c>
      <c r="K342">
        <v>1</v>
      </c>
      <c r="L342">
        <v>1</v>
      </c>
      <c r="M342">
        <f>Titanic_Dataset[[#This Row],[Parch]]+Titanic_Dataset[[#This Row],[SibSp]]</f>
        <v>2</v>
      </c>
      <c r="N342" s="1" t="s">
        <v>330</v>
      </c>
      <c r="O342">
        <v>26</v>
      </c>
      <c r="P342">
        <f>IF(Titanic_Dataset[[#This Row],[Survived]]=1,Titanic_Dataset[[#This Row],[Fare]],NA())</f>
        <v>26</v>
      </c>
      <c r="Q342" t="e">
        <f>IF(Titanic_Dataset[[#This Row],[Survived]]=0,Titanic_Dataset[[#This Row],[Fare]],NA())</f>
        <v>#N/A</v>
      </c>
      <c r="R342" t="str">
        <f>VLOOKUP(Titanic_Dataset[[#This Row],[Fare]],Table2[],2,TRUE)</f>
        <v>high</v>
      </c>
      <c r="S342" s="1" t="s">
        <v>331</v>
      </c>
      <c r="T342" s="1" t="s">
        <v>16</v>
      </c>
      <c r="U342" s="1"/>
      <c r="V342" s="1"/>
      <c r="W342" s="1"/>
    </row>
    <row r="343" spans="1:23" x14ac:dyDescent="0.25">
      <c r="A343">
        <v>342</v>
      </c>
      <c r="B343">
        <v>1</v>
      </c>
      <c r="C343" t="str">
        <f>IF(Titanic_Dataset[[#This Row],[Survived]]=1,"Survived","Died")</f>
        <v>Survived</v>
      </c>
      <c r="D343">
        <v>1</v>
      </c>
      <c r="E343" t="str">
        <f>IF(Titanic_Dataset[[#This Row],[Pclass]]=1,"1st",IF(Titanic_Dataset[[#This Row],[Pclass]]=2,"2nd",IF(Titanic_Dataset[[#This Row],[Pclass]]=3,"3rd")))</f>
        <v>1st</v>
      </c>
      <c r="F343" s="1" t="s">
        <v>722</v>
      </c>
      <c r="G343" s="1" t="str">
        <f>TRIM(MID(Titanic_Dataset[[#This Row],[Name]],
FIND(",",Titanic_Dataset[[#This Row],[Name]])+2,
FIND(".",Titanic_Dataset[[#This Row],[Name]],FIND(",",Titanic_Dataset[[#This Row],[Name]]))-FIND(",",Titanic_Dataset[[#This Row],[Name]])-1))</f>
        <v>Miss.</v>
      </c>
      <c r="H343" s="1" t="s">
        <v>18</v>
      </c>
      <c r="I343">
        <v>24</v>
      </c>
      <c r="J34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43">
        <v>3</v>
      </c>
      <c r="L343">
        <v>2</v>
      </c>
      <c r="M343">
        <f>Titanic_Dataset[[#This Row],[Parch]]+Titanic_Dataset[[#This Row],[SibSp]]</f>
        <v>5</v>
      </c>
      <c r="N343" s="1" t="s">
        <v>79</v>
      </c>
      <c r="O343">
        <v>263</v>
      </c>
      <c r="P343">
        <f>IF(Titanic_Dataset[[#This Row],[Survived]]=1,Titanic_Dataset[[#This Row],[Fare]],NA())</f>
        <v>263</v>
      </c>
      <c r="Q343" t="e">
        <f>IF(Titanic_Dataset[[#This Row],[Survived]]=0,Titanic_Dataset[[#This Row],[Fare]],NA())</f>
        <v>#N/A</v>
      </c>
      <c r="R343" t="str">
        <f>VLOOKUP(Titanic_Dataset[[#This Row],[Fare]],Table2[],2,TRUE)</f>
        <v>very hiegh</v>
      </c>
      <c r="S343" s="1" t="s">
        <v>80</v>
      </c>
      <c r="T343" s="1" t="s">
        <v>16</v>
      </c>
      <c r="U343" s="1"/>
      <c r="V343" s="1"/>
      <c r="W343" s="1"/>
    </row>
    <row r="344" spans="1:23" x14ac:dyDescent="0.25">
      <c r="A344">
        <v>343</v>
      </c>
      <c r="B344">
        <v>0</v>
      </c>
      <c r="C344" t="str">
        <f>IF(Titanic_Dataset[[#This Row],[Survived]]=1,"Survived","Died")</f>
        <v>Died</v>
      </c>
      <c r="D344">
        <v>2</v>
      </c>
      <c r="E344" t="str">
        <f>IF(Titanic_Dataset[[#This Row],[Pclass]]=1,"1st",IF(Titanic_Dataset[[#This Row],[Pclass]]=2,"2nd",IF(Titanic_Dataset[[#This Row],[Pclass]]=3,"3rd")))</f>
        <v>2nd</v>
      </c>
      <c r="F344" s="1" t="s">
        <v>723</v>
      </c>
      <c r="G344" s="1" t="str">
        <f>TRIM(MID(Titanic_Dataset[[#This Row],[Name]],
FIND(",",Titanic_Dataset[[#This Row],[Name]])+2,
FIND(".",Titanic_Dataset[[#This Row],[Name]],FIND(",",Titanic_Dataset[[#This Row],[Name]]))-FIND(",",Titanic_Dataset[[#This Row],[Name]])-1))</f>
        <v>Mr.</v>
      </c>
      <c r="H344" s="1" t="s">
        <v>13</v>
      </c>
      <c r="I344">
        <v>28</v>
      </c>
      <c r="J34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44">
        <v>0</v>
      </c>
      <c r="L344">
        <v>0</v>
      </c>
      <c r="M344">
        <f>Titanic_Dataset[[#This Row],[Parch]]+Titanic_Dataset[[#This Row],[SibSp]]</f>
        <v>0</v>
      </c>
      <c r="N344" s="1" t="s">
        <v>724</v>
      </c>
      <c r="O344">
        <v>13</v>
      </c>
      <c r="P344" t="e">
        <f>IF(Titanic_Dataset[[#This Row],[Survived]]=1,Titanic_Dataset[[#This Row],[Fare]],NA())</f>
        <v>#N/A</v>
      </c>
      <c r="Q344">
        <f>IF(Titanic_Dataset[[#This Row],[Survived]]=0,Titanic_Dataset[[#This Row],[Fare]],NA())</f>
        <v>13</v>
      </c>
      <c r="R344" t="str">
        <f>VLOOKUP(Titanic_Dataset[[#This Row],[Fare]],Table2[],2,TRUE)</f>
        <v>medium</v>
      </c>
      <c r="S344" s="1" t="s">
        <v>15</v>
      </c>
      <c r="T344" s="1" t="s">
        <v>16</v>
      </c>
      <c r="U344" s="1"/>
      <c r="V344" s="1"/>
      <c r="W344" s="1"/>
    </row>
    <row r="345" spans="1:23" x14ac:dyDescent="0.25">
      <c r="A345">
        <v>344</v>
      </c>
      <c r="B345">
        <v>0</v>
      </c>
      <c r="C345" t="str">
        <f>IF(Titanic_Dataset[[#This Row],[Survived]]=1,"Survived","Died")</f>
        <v>Died</v>
      </c>
      <c r="D345">
        <v>2</v>
      </c>
      <c r="E345" t="str">
        <f>IF(Titanic_Dataset[[#This Row],[Pclass]]=1,"1st",IF(Titanic_Dataset[[#This Row],[Pclass]]=2,"2nd",IF(Titanic_Dataset[[#This Row],[Pclass]]=3,"3rd")))</f>
        <v>2nd</v>
      </c>
      <c r="F345" s="1" t="s">
        <v>725</v>
      </c>
      <c r="G345" s="1" t="str">
        <f>TRIM(MID(Titanic_Dataset[[#This Row],[Name]],
FIND(",",Titanic_Dataset[[#This Row],[Name]])+2,
FIND(".",Titanic_Dataset[[#This Row],[Name]],FIND(",",Titanic_Dataset[[#This Row],[Name]]))-FIND(",",Titanic_Dataset[[#This Row],[Name]])-1))</f>
        <v>Mr.</v>
      </c>
      <c r="H345" s="1" t="s">
        <v>13</v>
      </c>
      <c r="I345">
        <v>25</v>
      </c>
      <c r="J34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45">
        <v>0</v>
      </c>
      <c r="L345">
        <v>0</v>
      </c>
      <c r="M345">
        <f>Titanic_Dataset[[#This Row],[Parch]]+Titanic_Dataset[[#This Row],[SibSp]]</f>
        <v>0</v>
      </c>
      <c r="N345" s="1" t="s">
        <v>726</v>
      </c>
      <c r="O345">
        <v>13</v>
      </c>
      <c r="P345" t="e">
        <f>IF(Titanic_Dataset[[#This Row],[Survived]]=1,Titanic_Dataset[[#This Row],[Fare]],NA())</f>
        <v>#N/A</v>
      </c>
      <c r="Q345">
        <f>IF(Titanic_Dataset[[#This Row],[Survived]]=0,Titanic_Dataset[[#This Row],[Fare]],NA())</f>
        <v>13</v>
      </c>
      <c r="R345" t="str">
        <f>VLOOKUP(Titanic_Dataset[[#This Row],[Fare]],Table2[],2,TRUE)</f>
        <v>medium</v>
      </c>
      <c r="S345" s="1" t="s">
        <v>15</v>
      </c>
      <c r="T345" s="1" t="s">
        <v>16</v>
      </c>
      <c r="U345" s="1"/>
      <c r="V345" s="1"/>
      <c r="W345" s="1"/>
    </row>
    <row r="346" spans="1:23" x14ac:dyDescent="0.25">
      <c r="A346">
        <v>345</v>
      </c>
      <c r="B346">
        <v>0</v>
      </c>
      <c r="C346" t="str">
        <f>IF(Titanic_Dataset[[#This Row],[Survived]]=1,"Survived","Died")</f>
        <v>Died</v>
      </c>
      <c r="D346">
        <v>2</v>
      </c>
      <c r="E346" t="str">
        <f>IF(Titanic_Dataset[[#This Row],[Pclass]]=1,"1st",IF(Titanic_Dataset[[#This Row],[Pclass]]=2,"2nd",IF(Titanic_Dataset[[#This Row],[Pclass]]=3,"3rd")))</f>
        <v>2nd</v>
      </c>
      <c r="F346" s="1" t="s">
        <v>727</v>
      </c>
      <c r="G346" s="1" t="str">
        <f>TRIM(MID(Titanic_Dataset[[#This Row],[Name]],
FIND(",",Titanic_Dataset[[#This Row],[Name]])+2,
FIND(".",Titanic_Dataset[[#This Row],[Name]],FIND(",",Titanic_Dataset[[#This Row],[Name]]))-FIND(",",Titanic_Dataset[[#This Row],[Name]])-1))</f>
        <v>Mr.</v>
      </c>
      <c r="H346" s="1" t="s">
        <v>13</v>
      </c>
      <c r="I346">
        <v>36</v>
      </c>
      <c r="J346" t="str">
        <f>IF(Titanic_Dataset[[#This Row],[Age]]&lt;12,"0-11",
IF(Titanic_Dataset[[#This Row],[Age]]&lt;20,"12-19",
IF(Titanic_Dataset[[#This Row],[Age]]&lt;30,"20-29",
IF(Titanic_Dataset[[#This Row],[Age]]&lt;40,"30-39",
IF(Titanic_Dataset[[#This Row],[Age]]&lt;50,"40-49",
IF(Titanic_Dataset[[#This Row],[Age]]&lt;60,"50-59",
IF(Titanic_Dataset[[#This Row],[Age]]&lt;70,"60-69",)))))))</f>
        <v>30-39</v>
      </c>
      <c r="K346">
        <v>0</v>
      </c>
      <c r="L346">
        <v>0</v>
      </c>
      <c r="M346">
        <f>Titanic_Dataset[[#This Row],[Parch]]+Titanic_Dataset[[#This Row],[SibSp]]</f>
        <v>0</v>
      </c>
      <c r="N346" s="1" t="s">
        <v>728</v>
      </c>
      <c r="O346">
        <v>13</v>
      </c>
      <c r="P346" t="e">
        <f>IF(Titanic_Dataset[[#This Row],[Survived]]=1,Titanic_Dataset[[#This Row],[Fare]],NA())</f>
        <v>#N/A</v>
      </c>
      <c r="Q346">
        <f>IF(Titanic_Dataset[[#This Row],[Survived]]=0,Titanic_Dataset[[#This Row],[Fare]],NA())</f>
        <v>13</v>
      </c>
      <c r="R346" t="str">
        <f>VLOOKUP(Titanic_Dataset[[#This Row],[Fare]],Table2[],2,TRUE)</f>
        <v>medium</v>
      </c>
      <c r="S346" s="1" t="s">
        <v>15</v>
      </c>
      <c r="T346" s="1" t="s">
        <v>16</v>
      </c>
      <c r="U346" s="1"/>
      <c r="V346" s="1"/>
      <c r="W346" s="1"/>
    </row>
    <row r="347" spans="1:23" x14ac:dyDescent="0.25">
      <c r="A347">
        <v>346</v>
      </c>
      <c r="B347">
        <v>1</v>
      </c>
      <c r="C347" t="str">
        <f>IF(Titanic_Dataset[[#This Row],[Survived]]=1,"Survived","Died")</f>
        <v>Survived</v>
      </c>
      <c r="D347">
        <v>2</v>
      </c>
      <c r="E347" t="str">
        <f>IF(Titanic_Dataset[[#This Row],[Pclass]]=1,"1st",IF(Titanic_Dataset[[#This Row],[Pclass]]=2,"2nd",IF(Titanic_Dataset[[#This Row],[Pclass]]=3,"3rd")))</f>
        <v>2nd</v>
      </c>
      <c r="F347" s="1" t="s">
        <v>729</v>
      </c>
      <c r="G347" s="1" t="str">
        <f>TRIM(MID(Titanic_Dataset[[#This Row],[Name]],
FIND(",",Titanic_Dataset[[#This Row],[Name]])+2,
FIND(".",Titanic_Dataset[[#This Row],[Name]],FIND(",",Titanic_Dataset[[#This Row],[Name]]))-FIND(",",Titanic_Dataset[[#This Row],[Name]])-1))</f>
        <v>Miss.</v>
      </c>
      <c r="H347" s="1" t="s">
        <v>18</v>
      </c>
      <c r="I347">
        <v>24</v>
      </c>
      <c r="J34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47">
        <v>0</v>
      </c>
      <c r="L347">
        <v>0</v>
      </c>
      <c r="M347">
        <f>Titanic_Dataset[[#This Row],[Parch]]+Titanic_Dataset[[#This Row],[SibSp]]</f>
        <v>0</v>
      </c>
      <c r="N347" s="1" t="s">
        <v>730</v>
      </c>
      <c r="O347">
        <v>13</v>
      </c>
      <c r="P347">
        <f>IF(Titanic_Dataset[[#This Row],[Survived]]=1,Titanic_Dataset[[#This Row],[Fare]],NA())</f>
        <v>13</v>
      </c>
      <c r="Q347" t="e">
        <f>IF(Titanic_Dataset[[#This Row],[Survived]]=0,Titanic_Dataset[[#This Row],[Fare]],NA())</f>
        <v>#N/A</v>
      </c>
      <c r="R347" t="str">
        <f>VLOOKUP(Titanic_Dataset[[#This Row],[Fare]],Table2[],2,TRUE)</f>
        <v>medium</v>
      </c>
      <c r="S347" s="1" t="s">
        <v>165</v>
      </c>
      <c r="T347" s="1" t="s">
        <v>16</v>
      </c>
      <c r="U347" s="1"/>
      <c r="V347" s="1"/>
      <c r="W347" s="1"/>
    </row>
    <row r="348" spans="1:23" x14ac:dyDescent="0.25">
      <c r="A348">
        <v>347</v>
      </c>
      <c r="B348">
        <v>1</v>
      </c>
      <c r="C348" t="str">
        <f>IF(Titanic_Dataset[[#This Row],[Survived]]=1,"Survived","Died")</f>
        <v>Survived</v>
      </c>
      <c r="D348">
        <v>2</v>
      </c>
      <c r="E348" t="str">
        <f>IF(Titanic_Dataset[[#This Row],[Pclass]]=1,"1st",IF(Titanic_Dataset[[#This Row],[Pclass]]=2,"2nd",IF(Titanic_Dataset[[#This Row],[Pclass]]=3,"3rd")))</f>
        <v>2nd</v>
      </c>
      <c r="F348" s="1" t="s">
        <v>731</v>
      </c>
      <c r="G348" s="1" t="str">
        <f>TRIM(MID(Titanic_Dataset[[#This Row],[Name]],
FIND(",",Titanic_Dataset[[#This Row],[Name]])+2,
FIND(".",Titanic_Dataset[[#This Row],[Name]],FIND(",",Titanic_Dataset[[#This Row],[Name]]))-FIND(",",Titanic_Dataset[[#This Row],[Name]])-1))</f>
        <v>Miss.</v>
      </c>
      <c r="H348" s="1" t="s">
        <v>18</v>
      </c>
      <c r="I348">
        <v>40</v>
      </c>
      <c r="J348" t="str">
        <f>IF(Titanic_Dataset[[#This Row],[Age]]&lt;12,"0-11",
IF(Titanic_Dataset[[#This Row],[Age]]&lt;20,"12-19",
IF(Titanic_Dataset[[#This Row],[Age]]&lt;30,"20-29",
IF(Titanic_Dataset[[#This Row],[Age]]&lt;40,"30-39",
IF(Titanic_Dataset[[#This Row],[Age]]&lt;50,"40-49",
IF(Titanic_Dataset[[#This Row],[Age]]&lt;60,"50-59",
IF(Titanic_Dataset[[#This Row],[Age]]&lt;70,"60-69",)))))))</f>
        <v>40-49</v>
      </c>
      <c r="K348">
        <v>0</v>
      </c>
      <c r="L348">
        <v>0</v>
      </c>
      <c r="M348">
        <f>Titanic_Dataset[[#This Row],[Parch]]+Titanic_Dataset[[#This Row],[SibSp]]</f>
        <v>0</v>
      </c>
      <c r="N348" s="1" t="s">
        <v>732</v>
      </c>
      <c r="O348">
        <v>13</v>
      </c>
      <c r="P348">
        <f>IF(Titanic_Dataset[[#This Row],[Survived]]=1,Titanic_Dataset[[#This Row],[Fare]],NA())</f>
        <v>13</v>
      </c>
      <c r="Q348" t="e">
        <f>IF(Titanic_Dataset[[#This Row],[Survived]]=0,Titanic_Dataset[[#This Row],[Fare]],NA())</f>
        <v>#N/A</v>
      </c>
      <c r="R348" t="str">
        <f>VLOOKUP(Titanic_Dataset[[#This Row],[Fare]],Table2[],2,TRUE)</f>
        <v>medium</v>
      </c>
      <c r="S348" s="1" t="s">
        <v>15</v>
      </c>
      <c r="T348" s="1" t="s">
        <v>16</v>
      </c>
      <c r="U348" s="1"/>
      <c r="V348" s="1"/>
      <c r="W348" s="1"/>
    </row>
    <row r="349" spans="1:23" x14ac:dyDescent="0.25">
      <c r="A349">
        <v>348</v>
      </c>
      <c r="B349">
        <v>1</v>
      </c>
      <c r="C349" t="str">
        <f>IF(Titanic_Dataset[[#This Row],[Survived]]=1,"Survived","Died")</f>
        <v>Survived</v>
      </c>
      <c r="D349">
        <v>3</v>
      </c>
      <c r="E349" t="str">
        <f>IF(Titanic_Dataset[[#This Row],[Pclass]]=1,"1st",IF(Titanic_Dataset[[#This Row],[Pclass]]=2,"2nd",IF(Titanic_Dataset[[#This Row],[Pclass]]=3,"3rd")))</f>
        <v>3rd</v>
      </c>
      <c r="F349" s="1" t="s">
        <v>733</v>
      </c>
      <c r="G349" s="1" t="str">
        <f>TRIM(MID(Titanic_Dataset[[#This Row],[Name]],
FIND(",",Titanic_Dataset[[#This Row],[Name]])+2,
FIND(".",Titanic_Dataset[[#This Row],[Name]],FIND(",",Titanic_Dataset[[#This Row],[Name]]))-FIND(",",Titanic_Dataset[[#This Row],[Name]])-1))</f>
        <v>Mrs.</v>
      </c>
      <c r="H349" s="1" t="s">
        <v>18</v>
      </c>
      <c r="I349">
        <v>28</v>
      </c>
      <c r="J34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49">
        <v>1</v>
      </c>
      <c r="L349">
        <v>0</v>
      </c>
      <c r="M349">
        <f>Titanic_Dataset[[#This Row],[Parch]]+Titanic_Dataset[[#This Row],[SibSp]]</f>
        <v>1</v>
      </c>
      <c r="N349" s="1" t="s">
        <v>734</v>
      </c>
      <c r="O349">
        <v>16.100000000000001</v>
      </c>
      <c r="P349">
        <f>IF(Titanic_Dataset[[#This Row],[Survived]]=1,Titanic_Dataset[[#This Row],[Fare]],NA())</f>
        <v>16.100000000000001</v>
      </c>
      <c r="Q349" t="e">
        <f>IF(Titanic_Dataset[[#This Row],[Survived]]=0,Titanic_Dataset[[#This Row],[Fare]],NA())</f>
        <v>#N/A</v>
      </c>
      <c r="R349" t="str">
        <f>VLOOKUP(Titanic_Dataset[[#This Row],[Fare]],Table2[],2,TRUE)</f>
        <v>high</v>
      </c>
      <c r="S349" s="1" t="s">
        <v>15</v>
      </c>
      <c r="T349" s="1" t="s">
        <v>16</v>
      </c>
      <c r="U349" s="1"/>
      <c r="V349" s="1"/>
      <c r="W349" s="1"/>
    </row>
    <row r="350" spans="1:23" x14ac:dyDescent="0.25">
      <c r="A350">
        <v>349</v>
      </c>
      <c r="B350">
        <v>1</v>
      </c>
      <c r="C350" t="str">
        <f>IF(Titanic_Dataset[[#This Row],[Survived]]=1,"Survived","Died")</f>
        <v>Survived</v>
      </c>
      <c r="D350">
        <v>3</v>
      </c>
      <c r="E350" t="str">
        <f>IF(Titanic_Dataset[[#This Row],[Pclass]]=1,"1st",IF(Titanic_Dataset[[#This Row],[Pclass]]=2,"2nd",IF(Titanic_Dataset[[#This Row],[Pclass]]=3,"3rd")))</f>
        <v>3rd</v>
      </c>
      <c r="F350" s="1" t="s">
        <v>735</v>
      </c>
      <c r="G350" s="1" t="str">
        <f>TRIM(MID(Titanic_Dataset[[#This Row],[Name]],
FIND(",",Titanic_Dataset[[#This Row],[Name]])+2,
FIND(".",Titanic_Dataset[[#This Row],[Name]],FIND(",",Titanic_Dataset[[#This Row],[Name]]))-FIND(",",Titanic_Dataset[[#This Row],[Name]])-1))</f>
        <v>Master.</v>
      </c>
      <c r="H350" s="1" t="s">
        <v>13</v>
      </c>
      <c r="I350">
        <v>3</v>
      </c>
      <c r="J350" t="str">
        <f>IF(Titanic_Dataset[[#This Row],[Age]]&lt;12,"0-11",
IF(Titanic_Dataset[[#This Row],[Age]]&lt;20,"12-19",
IF(Titanic_Dataset[[#This Row],[Age]]&lt;30,"20-29",
IF(Titanic_Dataset[[#This Row],[Age]]&lt;40,"30-39",
IF(Titanic_Dataset[[#This Row],[Age]]&lt;50,"40-49",
IF(Titanic_Dataset[[#This Row],[Age]]&lt;60,"50-59",
IF(Titanic_Dataset[[#This Row],[Age]]&lt;70,"60-69",)))))))</f>
        <v>0-11</v>
      </c>
      <c r="K350">
        <v>1</v>
      </c>
      <c r="L350">
        <v>1</v>
      </c>
      <c r="M350">
        <f>Titanic_Dataset[[#This Row],[Parch]]+Titanic_Dataset[[#This Row],[SibSp]]</f>
        <v>2</v>
      </c>
      <c r="N350" s="1" t="s">
        <v>736</v>
      </c>
      <c r="O350">
        <v>15.9</v>
      </c>
      <c r="P350">
        <f>IF(Titanic_Dataset[[#This Row],[Survived]]=1,Titanic_Dataset[[#This Row],[Fare]],NA())</f>
        <v>15.9</v>
      </c>
      <c r="Q350" t="e">
        <f>IF(Titanic_Dataset[[#This Row],[Survived]]=0,Titanic_Dataset[[#This Row],[Fare]],NA())</f>
        <v>#N/A</v>
      </c>
      <c r="R350" t="str">
        <f>VLOOKUP(Titanic_Dataset[[#This Row],[Fare]],Table2[],2,TRUE)</f>
        <v>high</v>
      </c>
      <c r="S350" s="1" t="s">
        <v>15</v>
      </c>
      <c r="T350" s="1" t="s">
        <v>16</v>
      </c>
      <c r="U350" s="1"/>
      <c r="V350" s="1"/>
      <c r="W350" s="1"/>
    </row>
    <row r="351" spans="1:23" x14ac:dyDescent="0.25">
      <c r="A351">
        <v>350</v>
      </c>
      <c r="B351">
        <v>0</v>
      </c>
      <c r="C351" t="str">
        <f>IF(Titanic_Dataset[[#This Row],[Survived]]=1,"Survived","Died")</f>
        <v>Died</v>
      </c>
      <c r="D351">
        <v>3</v>
      </c>
      <c r="E351" t="str">
        <f>IF(Titanic_Dataset[[#This Row],[Pclass]]=1,"1st",IF(Titanic_Dataset[[#This Row],[Pclass]]=2,"2nd",IF(Titanic_Dataset[[#This Row],[Pclass]]=3,"3rd")))</f>
        <v>3rd</v>
      </c>
      <c r="F351" s="1" t="s">
        <v>737</v>
      </c>
      <c r="G351" s="1" t="str">
        <f>TRIM(MID(Titanic_Dataset[[#This Row],[Name]],
FIND(",",Titanic_Dataset[[#This Row],[Name]])+2,
FIND(".",Titanic_Dataset[[#This Row],[Name]],FIND(",",Titanic_Dataset[[#This Row],[Name]]))-FIND(",",Titanic_Dataset[[#This Row],[Name]])-1))</f>
        <v>Mr.</v>
      </c>
      <c r="H351" s="1" t="s">
        <v>13</v>
      </c>
      <c r="I351">
        <v>42</v>
      </c>
      <c r="J351" t="str">
        <f>IF(Titanic_Dataset[[#This Row],[Age]]&lt;12,"0-11",
IF(Titanic_Dataset[[#This Row],[Age]]&lt;20,"12-19",
IF(Titanic_Dataset[[#This Row],[Age]]&lt;30,"20-29",
IF(Titanic_Dataset[[#This Row],[Age]]&lt;40,"30-39",
IF(Titanic_Dataset[[#This Row],[Age]]&lt;50,"40-49",
IF(Titanic_Dataset[[#This Row],[Age]]&lt;60,"50-59",
IF(Titanic_Dataset[[#This Row],[Age]]&lt;70,"60-69",)))))))</f>
        <v>40-49</v>
      </c>
      <c r="K351">
        <v>0</v>
      </c>
      <c r="L351">
        <v>0</v>
      </c>
      <c r="M351">
        <f>Titanic_Dataset[[#This Row],[Parch]]+Titanic_Dataset[[#This Row],[SibSp]]</f>
        <v>0</v>
      </c>
      <c r="N351" s="1" t="s">
        <v>738</v>
      </c>
      <c r="O351">
        <v>8.6624999999999996</v>
      </c>
      <c r="P351" t="e">
        <f>IF(Titanic_Dataset[[#This Row],[Survived]]=1,Titanic_Dataset[[#This Row],[Fare]],NA())</f>
        <v>#N/A</v>
      </c>
      <c r="Q351">
        <f>IF(Titanic_Dataset[[#This Row],[Survived]]=0,Titanic_Dataset[[#This Row],[Fare]],NA())</f>
        <v>8.6624999999999996</v>
      </c>
      <c r="R351" t="str">
        <f>VLOOKUP(Titanic_Dataset[[#This Row],[Fare]],Table2[],2,TRUE)</f>
        <v>medium</v>
      </c>
      <c r="S351" s="1" t="s">
        <v>15</v>
      </c>
      <c r="T351" s="1" t="s">
        <v>16</v>
      </c>
      <c r="U351" s="1"/>
      <c r="V351" s="1"/>
      <c r="W351" s="1"/>
    </row>
    <row r="352" spans="1:23" x14ac:dyDescent="0.25">
      <c r="A352">
        <v>351</v>
      </c>
      <c r="B352">
        <v>0</v>
      </c>
      <c r="C352" t="str">
        <f>IF(Titanic_Dataset[[#This Row],[Survived]]=1,"Survived","Died")</f>
        <v>Died</v>
      </c>
      <c r="D352">
        <v>3</v>
      </c>
      <c r="E352" t="str">
        <f>IF(Titanic_Dataset[[#This Row],[Pclass]]=1,"1st",IF(Titanic_Dataset[[#This Row],[Pclass]]=2,"2nd",IF(Titanic_Dataset[[#This Row],[Pclass]]=3,"3rd")))</f>
        <v>3rd</v>
      </c>
      <c r="F352" s="1" t="s">
        <v>739</v>
      </c>
      <c r="G352" s="1" t="str">
        <f>TRIM(MID(Titanic_Dataset[[#This Row],[Name]],
FIND(",",Titanic_Dataset[[#This Row],[Name]])+2,
FIND(".",Titanic_Dataset[[#This Row],[Name]],FIND(",",Titanic_Dataset[[#This Row],[Name]]))-FIND(",",Titanic_Dataset[[#This Row],[Name]])-1))</f>
        <v>Mr.</v>
      </c>
      <c r="H352" s="1" t="s">
        <v>13</v>
      </c>
      <c r="I352">
        <v>23</v>
      </c>
      <c r="J35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52">
        <v>0</v>
      </c>
      <c r="L352">
        <v>0</v>
      </c>
      <c r="M352">
        <f>Titanic_Dataset[[#This Row],[Parch]]+Titanic_Dataset[[#This Row],[SibSp]]</f>
        <v>0</v>
      </c>
      <c r="N352" s="1" t="s">
        <v>740</v>
      </c>
      <c r="O352">
        <v>9.2249999999999996</v>
      </c>
      <c r="P352" t="e">
        <f>IF(Titanic_Dataset[[#This Row],[Survived]]=1,Titanic_Dataset[[#This Row],[Fare]],NA())</f>
        <v>#N/A</v>
      </c>
      <c r="Q352">
        <f>IF(Titanic_Dataset[[#This Row],[Survived]]=0,Titanic_Dataset[[#This Row],[Fare]],NA())</f>
        <v>9.2249999999999996</v>
      </c>
      <c r="R352" t="str">
        <f>VLOOKUP(Titanic_Dataset[[#This Row],[Fare]],Table2[],2,TRUE)</f>
        <v>medium</v>
      </c>
      <c r="S352" s="1" t="s">
        <v>15</v>
      </c>
      <c r="T352" s="1" t="s">
        <v>16</v>
      </c>
      <c r="U352" s="1"/>
      <c r="V352" s="1"/>
      <c r="W352" s="1"/>
    </row>
    <row r="353" spans="1:23" x14ac:dyDescent="0.25">
      <c r="A353">
        <v>352</v>
      </c>
      <c r="B353">
        <v>0</v>
      </c>
      <c r="C353" t="str">
        <f>IF(Titanic_Dataset[[#This Row],[Survived]]=1,"Survived","Died")</f>
        <v>Died</v>
      </c>
      <c r="D353">
        <v>1</v>
      </c>
      <c r="E353" t="str">
        <f>IF(Titanic_Dataset[[#This Row],[Pclass]]=1,"1st",IF(Titanic_Dataset[[#This Row],[Pclass]]=2,"2nd",IF(Titanic_Dataset[[#This Row],[Pclass]]=3,"3rd")))</f>
        <v>1st</v>
      </c>
      <c r="F353" s="1" t="s">
        <v>741</v>
      </c>
      <c r="G353" s="1" t="str">
        <f>TRIM(MID(Titanic_Dataset[[#This Row],[Name]],
FIND(",",Titanic_Dataset[[#This Row],[Name]])+2,
FIND(".",Titanic_Dataset[[#This Row],[Name]],FIND(",",Titanic_Dataset[[#This Row],[Name]]))-FIND(",",Titanic_Dataset[[#This Row],[Name]])-1))</f>
        <v>Mr.</v>
      </c>
      <c r="H353" s="1" t="s">
        <v>13</v>
      </c>
      <c r="I353">
        <v>28</v>
      </c>
      <c r="J35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53">
        <v>0</v>
      </c>
      <c r="L353">
        <v>0</v>
      </c>
      <c r="M353">
        <f>Titanic_Dataset[[#This Row],[Parch]]+Titanic_Dataset[[#This Row],[SibSp]]</f>
        <v>0</v>
      </c>
      <c r="N353" s="1" t="s">
        <v>742</v>
      </c>
      <c r="O353">
        <v>35</v>
      </c>
      <c r="P353" t="e">
        <f>IF(Titanic_Dataset[[#This Row],[Survived]]=1,Titanic_Dataset[[#This Row],[Fare]],NA())</f>
        <v>#N/A</v>
      </c>
      <c r="Q353">
        <f>IF(Titanic_Dataset[[#This Row],[Survived]]=0,Titanic_Dataset[[#This Row],[Fare]],NA())</f>
        <v>35</v>
      </c>
      <c r="R353" t="str">
        <f>VLOOKUP(Titanic_Dataset[[#This Row],[Fare]],Table2[],2,TRUE)</f>
        <v>very hiegh</v>
      </c>
      <c r="S353" s="1" t="s">
        <v>743</v>
      </c>
      <c r="T353" s="1" t="s">
        <v>16</v>
      </c>
      <c r="U353" s="1"/>
      <c r="V353" s="1"/>
      <c r="W353" s="1"/>
    </row>
    <row r="354" spans="1:23" x14ac:dyDescent="0.25">
      <c r="A354">
        <v>353</v>
      </c>
      <c r="B354">
        <v>0</v>
      </c>
      <c r="C354" t="str">
        <f>IF(Titanic_Dataset[[#This Row],[Survived]]=1,"Survived","Died")</f>
        <v>Died</v>
      </c>
      <c r="D354">
        <v>3</v>
      </c>
      <c r="E354" t="str">
        <f>IF(Titanic_Dataset[[#This Row],[Pclass]]=1,"1st",IF(Titanic_Dataset[[#This Row],[Pclass]]=2,"2nd",IF(Titanic_Dataset[[#This Row],[Pclass]]=3,"3rd")))</f>
        <v>3rd</v>
      </c>
      <c r="F354" s="1" t="s">
        <v>744</v>
      </c>
      <c r="G354" s="1" t="str">
        <f>TRIM(MID(Titanic_Dataset[[#This Row],[Name]],
FIND(",",Titanic_Dataset[[#This Row],[Name]])+2,
FIND(".",Titanic_Dataset[[#This Row],[Name]],FIND(",",Titanic_Dataset[[#This Row],[Name]]))-FIND(",",Titanic_Dataset[[#This Row],[Name]])-1))</f>
        <v>Mr.</v>
      </c>
      <c r="H354" s="1" t="s">
        <v>13</v>
      </c>
      <c r="I354">
        <v>15</v>
      </c>
      <c r="J354" t="str">
        <f>IF(Titanic_Dataset[[#This Row],[Age]]&lt;12,"0-11",
IF(Titanic_Dataset[[#This Row],[Age]]&lt;20,"12-19",
IF(Titanic_Dataset[[#This Row],[Age]]&lt;30,"20-29",
IF(Titanic_Dataset[[#This Row],[Age]]&lt;40,"30-39",
IF(Titanic_Dataset[[#This Row],[Age]]&lt;50,"40-49",
IF(Titanic_Dataset[[#This Row],[Age]]&lt;60,"50-59",
IF(Titanic_Dataset[[#This Row],[Age]]&lt;70,"60-69",)))))))</f>
        <v>12-19</v>
      </c>
      <c r="K354">
        <v>1</v>
      </c>
      <c r="L354">
        <v>1</v>
      </c>
      <c r="M354">
        <f>Titanic_Dataset[[#This Row],[Parch]]+Titanic_Dataset[[#This Row],[SibSp]]</f>
        <v>2</v>
      </c>
      <c r="N354" s="1" t="s">
        <v>745</v>
      </c>
      <c r="O354">
        <v>7.2291999999999996</v>
      </c>
      <c r="P354" t="e">
        <f>IF(Titanic_Dataset[[#This Row],[Survived]]=1,Titanic_Dataset[[#This Row],[Fare]],NA())</f>
        <v>#N/A</v>
      </c>
      <c r="Q354">
        <f>IF(Titanic_Dataset[[#This Row],[Survived]]=0,Titanic_Dataset[[#This Row],[Fare]],NA())</f>
        <v>7.2291999999999996</v>
      </c>
      <c r="R354" t="str">
        <f>VLOOKUP(Titanic_Dataset[[#This Row],[Fare]],Table2[],2,TRUE)</f>
        <v>low</v>
      </c>
      <c r="S354" s="1" t="s">
        <v>15</v>
      </c>
      <c r="T354" s="1" t="s">
        <v>21</v>
      </c>
      <c r="U354" s="1"/>
      <c r="V354" s="1"/>
      <c r="W354" s="1"/>
    </row>
    <row r="355" spans="1:23" x14ac:dyDescent="0.25">
      <c r="A355">
        <v>354</v>
      </c>
      <c r="B355">
        <v>0</v>
      </c>
      <c r="C355" t="str">
        <f>IF(Titanic_Dataset[[#This Row],[Survived]]=1,"Survived","Died")</f>
        <v>Died</v>
      </c>
      <c r="D355">
        <v>3</v>
      </c>
      <c r="E355" t="str">
        <f>IF(Titanic_Dataset[[#This Row],[Pclass]]=1,"1st",IF(Titanic_Dataset[[#This Row],[Pclass]]=2,"2nd",IF(Titanic_Dataset[[#This Row],[Pclass]]=3,"3rd")))</f>
        <v>3rd</v>
      </c>
      <c r="F355" s="1" t="s">
        <v>746</v>
      </c>
      <c r="G355" s="1" t="str">
        <f>TRIM(MID(Titanic_Dataset[[#This Row],[Name]],
FIND(",",Titanic_Dataset[[#This Row],[Name]])+2,
FIND(".",Titanic_Dataset[[#This Row],[Name]],FIND(",",Titanic_Dataset[[#This Row],[Name]]))-FIND(",",Titanic_Dataset[[#This Row],[Name]])-1))</f>
        <v>Mr.</v>
      </c>
      <c r="H355" s="1" t="s">
        <v>13</v>
      </c>
      <c r="I355">
        <v>25</v>
      </c>
      <c r="J35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55">
        <v>1</v>
      </c>
      <c r="L355">
        <v>0</v>
      </c>
      <c r="M355">
        <f>Titanic_Dataset[[#This Row],[Parch]]+Titanic_Dataset[[#This Row],[SibSp]]</f>
        <v>1</v>
      </c>
      <c r="N355" s="1" t="s">
        <v>125</v>
      </c>
      <c r="O355">
        <v>17.8</v>
      </c>
      <c r="P355" t="e">
        <f>IF(Titanic_Dataset[[#This Row],[Survived]]=1,Titanic_Dataset[[#This Row],[Fare]],NA())</f>
        <v>#N/A</v>
      </c>
      <c r="Q355">
        <f>IF(Titanic_Dataset[[#This Row],[Survived]]=0,Titanic_Dataset[[#This Row],[Fare]],NA())</f>
        <v>17.8</v>
      </c>
      <c r="R355" t="str">
        <f>VLOOKUP(Titanic_Dataset[[#This Row],[Fare]],Table2[],2,TRUE)</f>
        <v>high</v>
      </c>
      <c r="S355" s="1" t="s">
        <v>15</v>
      </c>
      <c r="T355" s="1" t="s">
        <v>16</v>
      </c>
      <c r="U355" s="1"/>
      <c r="V355" s="1"/>
      <c r="W355" s="1"/>
    </row>
    <row r="356" spans="1:23" x14ac:dyDescent="0.25">
      <c r="A356">
        <v>355</v>
      </c>
      <c r="B356">
        <v>0</v>
      </c>
      <c r="C356" t="str">
        <f>IF(Titanic_Dataset[[#This Row],[Survived]]=1,"Survived","Died")</f>
        <v>Died</v>
      </c>
      <c r="D356">
        <v>3</v>
      </c>
      <c r="E356" t="str">
        <f>IF(Titanic_Dataset[[#This Row],[Pclass]]=1,"1st",IF(Titanic_Dataset[[#This Row],[Pclass]]=2,"2nd",IF(Titanic_Dataset[[#This Row],[Pclass]]=3,"3rd")))</f>
        <v>3rd</v>
      </c>
      <c r="F356" s="1" t="s">
        <v>747</v>
      </c>
      <c r="G356" s="1" t="str">
        <f>TRIM(MID(Titanic_Dataset[[#This Row],[Name]],
FIND(",",Titanic_Dataset[[#This Row],[Name]])+2,
FIND(".",Titanic_Dataset[[#This Row],[Name]],FIND(",",Titanic_Dataset[[#This Row],[Name]]))-FIND(",",Titanic_Dataset[[#This Row],[Name]])-1))</f>
        <v>Mr.</v>
      </c>
      <c r="H356" s="1" t="s">
        <v>13</v>
      </c>
      <c r="I356">
        <v>28</v>
      </c>
      <c r="J35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56">
        <v>0</v>
      </c>
      <c r="L356">
        <v>0</v>
      </c>
      <c r="M356">
        <f>Titanic_Dataset[[#This Row],[Parch]]+Titanic_Dataset[[#This Row],[SibSp]]</f>
        <v>0</v>
      </c>
      <c r="N356" s="1" t="s">
        <v>748</v>
      </c>
      <c r="O356">
        <v>7.2249999999999996</v>
      </c>
      <c r="P356" t="e">
        <f>IF(Titanic_Dataset[[#This Row],[Survived]]=1,Titanic_Dataset[[#This Row],[Fare]],NA())</f>
        <v>#N/A</v>
      </c>
      <c r="Q356">
        <f>IF(Titanic_Dataset[[#This Row],[Survived]]=0,Titanic_Dataset[[#This Row],[Fare]],NA())</f>
        <v>7.2249999999999996</v>
      </c>
      <c r="R356" t="str">
        <f>VLOOKUP(Titanic_Dataset[[#This Row],[Fare]],Table2[],2,TRUE)</f>
        <v>low</v>
      </c>
      <c r="S356" s="1" t="s">
        <v>15</v>
      </c>
      <c r="T356" s="1" t="s">
        <v>21</v>
      </c>
      <c r="U356" s="1"/>
      <c r="V356" s="1"/>
      <c r="W356" s="1"/>
    </row>
    <row r="357" spans="1:23" x14ac:dyDescent="0.25">
      <c r="A357">
        <v>356</v>
      </c>
      <c r="B357">
        <v>0</v>
      </c>
      <c r="C357" t="str">
        <f>IF(Titanic_Dataset[[#This Row],[Survived]]=1,"Survived","Died")</f>
        <v>Died</v>
      </c>
      <c r="D357">
        <v>3</v>
      </c>
      <c r="E357" t="str">
        <f>IF(Titanic_Dataset[[#This Row],[Pclass]]=1,"1st",IF(Titanic_Dataset[[#This Row],[Pclass]]=2,"2nd",IF(Titanic_Dataset[[#This Row],[Pclass]]=3,"3rd")))</f>
        <v>3rd</v>
      </c>
      <c r="F357" s="1" t="s">
        <v>749</v>
      </c>
      <c r="G357" s="1" t="str">
        <f>TRIM(MID(Titanic_Dataset[[#This Row],[Name]],
FIND(",",Titanic_Dataset[[#This Row],[Name]])+2,
FIND(".",Titanic_Dataset[[#This Row],[Name]],FIND(",",Titanic_Dataset[[#This Row],[Name]]))-FIND(",",Titanic_Dataset[[#This Row],[Name]])-1))</f>
        <v>Mr.</v>
      </c>
      <c r="H357" s="1" t="s">
        <v>13</v>
      </c>
      <c r="I357">
        <v>28</v>
      </c>
      <c r="J35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57">
        <v>0</v>
      </c>
      <c r="L357">
        <v>0</v>
      </c>
      <c r="M357">
        <f>Titanic_Dataset[[#This Row],[Parch]]+Titanic_Dataset[[#This Row],[SibSp]]</f>
        <v>0</v>
      </c>
      <c r="N357" s="1" t="s">
        <v>750</v>
      </c>
      <c r="O357">
        <v>9.5</v>
      </c>
      <c r="P357" t="e">
        <f>IF(Titanic_Dataset[[#This Row],[Survived]]=1,Titanic_Dataset[[#This Row],[Fare]],NA())</f>
        <v>#N/A</v>
      </c>
      <c r="Q357">
        <f>IF(Titanic_Dataset[[#This Row],[Survived]]=0,Titanic_Dataset[[#This Row],[Fare]],NA())</f>
        <v>9.5</v>
      </c>
      <c r="R357" t="str">
        <f>VLOOKUP(Titanic_Dataset[[#This Row],[Fare]],Table2[],2,TRUE)</f>
        <v>medium</v>
      </c>
      <c r="S357" s="1" t="s">
        <v>15</v>
      </c>
      <c r="T357" s="1" t="s">
        <v>16</v>
      </c>
      <c r="U357" s="1"/>
      <c r="V357" s="1"/>
      <c r="W357" s="1"/>
    </row>
    <row r="358" spans="1:23" x14ac:dyDescent="0.25">
      <c r="A358">
        <v>357</v>
      </c>
      <c r="B358">
        <v>1</v>
      </c>
      <c r="C358" t="str">
        <f>IF(Titanic_Dataset[[#This Row],[Survived]]=1,"Survived","Died")</f>
        <v>Survived</v>
      </c>
      <c r="D358">
        <v>1</v>
      </c>
      <c r="E358" t="str">
        <f>IF(Titanic_Dataset[[#This Row],[Pclass]]=1,"1st",IF(Titanic_Dataset[[#This Row],[Pclass]]=2,"2nd",IF(Titanic_Dataset[[#This Row],[Pclass]]=3,"3rd")))</f>
        <v>1st</v>
      </c>
      <c r="F358" s="1" t="s">
        <v>751</v>
      </c>
      <c r="G358" s="1" t="str">
        <f>TRIM(MID(Titanic_Dataset[[#This Row],[Name]],
FIND(",",Titanic_Dataset[[#This Row],[Name]])+2,
FIND(".",Titanic_Dataset[[#This Row],[Name]],FIND(",",Titanic_Dataset[[#This Row],[Name]]))-FIND(",",Titanic_Dataset[[#This Row],[Name]])-1))</f>
        <v>Miss.</v>
      </c>
      <c r="H358" s="1" t="s">
        <v>18</v>
      </c>
      <c r="I358">
        <v>22</v>
      </c>
      <c r="J35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58">
        <v>0</v>
      </c>
      <c r="L358">
        <v>1</v>
      </c>
      <c r="M358">
        <f>Titanic_Dataset[[#This Row],[Parch]]+Titanic_Dataset[[#This Row],[SibSp]]</f>
        <v>1</v>
      </c>
      <c r="N358" s="1" t="s">
        <v>367</v>
      </c>
      <c r="O358">
        <v>55</v>
      </c>
      <c r="P358">
        <f>IF(Titanic_Dataset[[#This Row],[Survived]]=1,Titanic_Dataset[[#This Row],[Fare]],NA())</f>
        <v>55</v>
      </c>
      <c r="Q358" t="e">
        <f>IF(Titanic_Dataset[[#This Row],[Survived]]=0,Titanic_Dataset[[#This Row],[Fare]],NA())</f>
        <v>#N/A</v>
      </c>
      <c r="R358" t="str">
        <f>VLOOKUP(Titanic_Dataset[[#This Row],[Fare]],Table2[],2,TRUE)</f>
        <v>very hiegh</v>
      </c>
      <c r="S358" s="1" t="s">
        <v>368</v>
      </c>
      <c r="T358" s="1" t="s">
        <v>16</v>
      </c>
      <c r="U358" s="1"/>
      <c r="V358" s="1"/>
      <c r="W358" s="1"/>
    </row>
    <row r="359" spans="1:23" x14ac:dyDescent="0.25">
      <c r="A359">
        <v>358</v>
      </c>
      <c r="B359">
        <v>0</v>
      </c>
      <c r="C359" t="str">
        <f>IF(Titanic_Dataset[[#This Row],[Survived]]=1,"Survived","Died")</f>
        <v>Died</v>
      </c>
      <c r="D359">
        <v>2</v>
      </c>
      <c r="E359" t="str">
        <f>IF(Titanic_Dataset[[#This Row],[Pclass]]=1,"1st",IF(Titanic_Dataset[[#This Row],[Pclass]]=2,"2nd",IF(Titanic_Dataset[[#This Row],[Pclass]]=3,"3rd")))</f>
        <v>2nd</v>
      </c>
      <c r="F359" s="1" t="s">
        <v>752</v>
      </c>
      <c r="G359" s="1" t="str">
        <f>TRIM(MID(Titanic_Dataset[[#This Row],[Name]],
FIND(",",Titanic_Dataset[[#This Row],[Name]])+2,
FIND(".",Titanic_Dataset[[#This Row],[Name]],FIND(",",Titanic_Dataset[[#This Row],[Name]]))-FIND(",",Titanic_Dataset[[#This Row],[Name]])-1))</f>
        <v>Miss.</v>
      </c>
      <c r="H359" s="1" t="s">
        <v>18</v>
      </c>
      <c r="I359">
        <v>38</v>
      </c>
      <c r="J359" t="str">
        <f>IF(Titanic_Dataset[[#This Row],[Age]]&lt;12,"0-11",
IF(Titanic_Dataset[[#This Row],[Age]]&lt;20,"12-19",
IF(Titanic_Dataset[[#This Row],[Age]]&lt;30,"20-29",
IF(Titanic_Dataset[[#This Row],[Age]]&lt;40,"30-39",
IF(Titanic_Dataset[[#This Row],[Age]]&lt;50,"40-49",
IF(Titanic_Dataset[[#This Row],[Age]]&lt;60,"50-59",
IF(Titanic_Dataset[[#This Row],[Age]]&lt;70,"60-69",)))))))</f>
        <v>30-39</v>
      </c>
      <c r="K359">
        <v>0</v>
      </c>
      <c r="L359">
        <v>0</v>
      </c>
      <c r="M359">
        <f>Titanic_Dataset[[#This Row],[Parch]]+Titanic_Dataset[[#This Row],[SibSp]]</f>
        <v>0</v>
      </c>
      <c r="N359" s="1" t="s">
        <v>753</v>
      </c>
      <c r="O359">
        <v>13</v>
      </c>
      <c r="P359" t="e">
        <f>IF(Titanic_Dataset[[#This Row],[Survived]]=1,Titanic_Dataset[[#This Row],[Fare]],NA())</f>
        <v>#N/A</v>
      </c>
      <c r="Q359">
        <f>IF(Titanic_Dataset[[#This Row],[Survived]]=0,Titanic_Dataset[[#This Row],[Fare]],NA())</f>
        <v>13</v>
      </c>
      <c r="R359" t="str">
        <f>VLOOKUP(Titanic_Dataset[[#This Row],[Fare]],Table2[],2,TRUE)</f>
        <v>medium</v>
      </c>
      <c r="S359" s="1" t="s">
        <v>15</v>
      </c>
      <c r="T359" s="1" t="s">
        <v>16</v>
      </c>
      <c r="U359" s="1"/>
      <c r="V359" s="1"/>
      <c r="W359" s="1"/>
    </row>
    <row r="360" spans="1:23" x14ac:dyDescent="0.25">
      <c r="A360">
        <v>359</v>
      </c>
      <c r="B360">
        <v>1</v>
      </c>
      <c r="C360" t="str">
        <f>IF(Titanic_Dataset[[#This Row],[Survived]]=1,"Survived","Died")</f>
        <v>Survived</v>
      </c>
      <c r="D360">
        <v>3</v>
      </c>
      <c r="E360" t="str">
        <f>IF(Titanic_Dataset[[#This Row],[Pclass]]=1,"1st",IF(Titanic_Dataset[[#This Row],[Pclass]]=2,"2nd",IF(Titanic_Dataset[[#This Row],[Pclass]]=3,"3rd")))</f>
        <v>3rd</v>
      </c>
      <c r="F360" s="1" t="s">
        <v>754</v>
      </c>
      <c r="G360" s="1" t="str">
        <f>TRIM(MID(Titanic_Dataset[[#This Row],[Name]],
FIND(",",Titanic_Dataset[[#This Row],[Name]])+2,
FIND(".",Titanic_Dataset[[#This Row],[Name]],FIND(",",Titanic_Dataset[[#This Row],[Name]]))-FIND(",",Titanic_Dataset[[#This Row],[Name]])-1))</f>
        <v>Miss.</v>
      </c>
      <c r="H360" s="1" t="s">
        <v>18</v>
      </c>
      <c r="I360">
        <v>28</v>
      </c>
      <c r="J36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60">
        <v>0</v>
      </c>
      <c r="L360">
        <v>0</v>
      </c>
      <c r="M360">
        <f>Titanic_Dataset[[#This Row],[Parch]]+Titanic_Dataset[[#This Row],[SibSp]]</f>
        <v>0</v>
      </c>
      <c r="N360" s="1" t="s">
        <v>755</v>
      </c>
      <c r="O360">
        <v>7.8792</v>
      </c>
      <c r="P360">
        <f>IF(Titanic_Dataset[[#This Row],[Survived]]=1,Titanic_Dataset[[#This Row],[Fare]],NA())</f>
        <v>7.8792</v>
      </c>
      <c r="Q360" t="e">
        <f>IF(Titanic_Dataset[[#This Row],[Survived]]=0,Titanic_Dataset[[#This Row],[Fare]],NA())</f>
        <v>#N/A</v>
      </c>
      <c r="R360" t="str">
        <f>VLOOKUP(Titanic_Dataset[[#This Row],[Fare]],Table2[],2,TRUE)</f>
        <v>low</v>
      </c>
      <c r="S360" s="1" t="s">
        <v>15</v>
      </c>
      <c r="T360" s="1" t="s">
        <v>31</v>
      </c>
      <c r="U360" s="1"/>
      <c r="V360" s="1"/>
      <c r="W360" s="1"/>
    </row>
    <row r="361" spans="1:23" x14ac:dyDescent="0.25">
      <c r="A361">
        <v>360</v>
      </c>
      <c r="B361">
        <v>1</v>
      </c>
      <c r="C361" t="str">
        <f>IF(Titanic_Dataset[[#This Row],[Survived]]=1,"Survived","Died")</f>
        <v>Survived</v>
      </c>
      <c r="D361">
        <v>3</v>
      </c>
      <c r="E361" t="str">
        <f>IF(Titanic_Dataset[[#This Row],[Pclass]]=1,"1st",IF(Titanic_Dataset[[#This Row],[Pclass]]=2,"2nd",IF(Titanic_Dataset[[#This Row],[Pclass]]=3,"3rd")))</f>
        <v>3rd</v>
      </c>
      <c r="F361" s="1" t="s">
        <v>756</v>
      </c>
      <c r="G361" s="1" t="str">
        <f>TRIM(MID(Titanic_Dataset[[#This Row],[Name]],
FIND(",",Titanic_Dataset[[#This Row],[Name]])+2,
FIND(".",Titanic_Dataset[[#This Row],[Name]],FIND(",",Titanic_Dataset[[#This Row],[Name]]))-FIND(",",Titanic_Dataset[[#This Row],[Name]])-1))</f>
        <v>Miss.</v>
      </c>
      <c r="H361" s="1" t="s">
        <v>18</v>
      </c>
      <c r="I361">
        <v>28</v>
      </c>
      <c r="J36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61">
        <v>0</v>
      </c>
      <c r="L361">
        <v>0</v>
      </c>
      <c r="M361">
        <f>Titanic_Dataset[[#This Row],[Parch]]+Titanic_Dataset[[#This Row],[SibSp]]</f>
        <v>0</v>
      </c>
      <c r="N361" s="1" t="s">
        <v>757</v>
      </c>
      <c r="O361">
        <v>7.8792</v>
      </c>
      <c r="P361">
        <f>IF(Titanic_Dataset[[#This Row],[Survived]]=1,Titanic_Dataset[[#This Row],[Fare]],NA())</f>
        <v>7.8792</v>
      </c>
      <c r="Q361" t="e">
        <f>IF(Titanic_Dataset[[#This Row],[Survived]]=0,Titanic_Dataset[[#This Row],[Fare]],NA())</f>
        <v>#N/A</v>
      </c>
      <c r="R361" t="str">
        <f>VLOOKUP(Titanic_Dataset[[#This Row],[Fare]],Table2[],2,TRUE)</f>
        <v>low</v>
      </c>
      <c r="S361" s="1" t="s">
        <v>15</v>
      </c>
      <c r="T361" s="1" t="s">
        <v>31</v>
      </c>
      <c r="U361" s="1"/>
      <c r="V361" s="1"/>
      <c r="W361" s="1"/>
    </row>
    <row r="362" spans="1:23" x14ac:dyDescent="0.25">
      <c r="A362">
        <v>361</v>
      </c>
      <c r="B362">
        <v>0</v>
      </c>
      <c r="C362" t="str">
        <f>IF(Titanic_Dataset[[#This Row],[Survived]]=1,"Survived","Died")</f>
        <v>Died</v>
      </c>
      <c r="D362">
        <v>3</v>
      </c>
      <c r="E362" t="str">
        <f>IF(Titanic_Dataset[[#This Row],[Pclass]]=1,"1st",IF(Titanic_Dataset[[#This Row],[Pclass]]=2,"2nd",IF(Titanic_Dataset[[#This Row],[Pclass]]=3,"3rd")))</f>
        <v>3rd</v>
      </c>
      <c r="F362" s="1" t="s">
        <v>758</v>
      </c>
      <c r="G362" s="1" t="str">
        <f>TRIM(MID(Titanic_Dataset[[#This Row],[Name]],
FIND(",",Titanic_Dataset[[#This Row],[Name]])+2,
FIND(".",Titanic_Dataset[[#This Row],[Name]],FIND(",",Titanic_Dataset[[#This Row],[Name]]))-FIND(",",Titanic_Dataset[[#This Row],[Name]])-1))</f>
        <v>Mr.</v>
      </c>
      <c r="H362" s="1" t="s">
        <v>13</v>
      </c>
      <c r="I362">
        <v>40</v>
      </c>
      <c r="J362" t="str">
        <f>IF(Titanic_Dataset[[#This Row],[Age]]&lt;12,"0-11",
IF(Titanic_Dataset[[#This Row],[Age]]&lt;20,"12-19",
IF(Titanic_Dataset[[#This Row],[Age]]&lt;30,"20-29",
IF(Titanic_Dataset[[#This Row],[Age]]&lt;40,"30-39",
IF(Titanic_Dataset[[#This Row],[Age]]&lt;50,"40-49",
IF(Titanic_Dataset[[#This Row],[Age]]&lt;60,"50-59",
IF(Titanic_Dataset[[#This Row],[Age]]&lt;70,"60-69",)))))))</f>
        <v>40-49</v>
      </c>
      <c r="K362">
        <v>1</v>
      </c>
      <c r="L362">
        <v>4</v>
      </c>
      <c r="M362">
        <f>Titanic_Dataset[[#This Row],[Parch]]+Titanic_Dataset[[#This Row],[SibSp]]</f>
        <v>5</v>
      </c>
      <c r="N362" s="1" t="s">
        <v>158</v>
      </c>
      <c r="O362">
        <v>27.9</v>
      </c>
      <c r="P362" t="e">
        <f>IF(Titanic_Dataset[[#This Row],[Survived]]=1,Titanic_Dataset[[#This Row],[Fare]],NA())</f>
        <v>#N/A</v>
      </c>
      <c r="Q362">
        <f>IF(Titanic_Dataset[[#This Row],[Survived]]=0,Titanic_Dataset[[#This Row],[Fare]],NA())</f>
        <v>27.9</v>
      </c>
      <c r="R362" t="str">
        <f>VLOOKUP(Titanic_Dataset[[#This Row],[Fare]],Table2[],2,TRUE)</f>
        <v>high</v>
      </c>
      <c r="S362" s="1" t="s">
        <v>15</v>
      </c>
      <c r="T362" s="1" t="s">
        <v>16</v>
      </c>
      <c r="U362" s="1"/>
      <c r="V362" s="1"/>
      <c r="W362" s="1"/>
    </row>
    <row r="363" spans="1:23" x14ac:dyDescent="0.25">
      <c r="A363">
        <v>362</v>
      </c>
      <c r="B363">
        <v>0</v>
      </c>
      <c r="C363" t="str">
        <f>IF(Titanic_Dataset[[#This Row],[Survived]]=1,"Survived","Died")</f>
        <v>Died</v>
      </c>
      <c r="D363">
        <v>2</v>
      </c>
      <c r="E363" t="str">
        <f>IF(Titanic_Dataset[[#This Row],[Pclass]]=1,"1st",IF(Titanic_Dataset[[#This Row],[Pclass]]=2,"2nd",IF(Titanic_Dataset[[#This Row],[Pclass]]=3,"3rd")))</f>
        <v>2nd</v>
      </c>
      <c r="F363" s="1" t="s">
        <v>759</v>
      </c>
      <c r="G363" s="1" t="str">
        <f>TRIM(MID(Titanic_Dataset[[#This Row],[Name]],
FIND(",",Titanic_Dataset[[#This Row],[Name]])+2,
FIND(".",Titanic_Dataset[[#This Row],[Name]],FIND(",",Titanic_Dataset[[#This Row],[Name]]))-FIND(",",Titanic_Dataset[[#This Row],[Name]])-1))</f>
        <v>Mr.</v>
      </c>
      <c r="H363" s="1" t="s">
        <v>13</v>
      </c>
      <c r="I363">
        <v>29</v>
      </c>
      <c r="J36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63">
        <v>1</v>
      </c>
      <c r="L363">
        <v>0</v>
      </c>
      <c r="M363">
        <f>Titanic_Dataset[[#This Row],[Parch]]+Titanic_Dataset[[#This Row],[SibSp]]</f>
        <v>1</v>
      </c>
      <c r="N363" s="1" t="s">
        <v>760</v>
      </c>
      <c r="O363">
        <v>27.720800000000001</v>
      </c>
      <c r="P363" t="e">
        <f>IF(Titanic_Dataset[[#This Row],[Survived]]=1,Titanic_Dataset[[#This Row],[Fare]],NA())</f>
        <v>#N/A</v>
      </c>
      <c r="Q363">
        <f>IF(Titanic_Dataset[[#This Row],[Survived]]=0,Titanic_Dataset[[#This Row],[Fare]],NA())</f>
        <v>27.720800000000001</v>
      </c>
      <c r="R363" t="str">
        <f>VLOOKUP(Titanic_Dataset[[#This Row],[Fare]],Table2[],2,TRUE)</f>
        <v>high</v>
      </c>
      <c r="S363" s="1" t="s">
        <v>15</v>
      </c>
      <c r="T363" s="1" t="s">
        <v>21</v>
      </c>
      <c r="U363" s="1"/>
      <c r="V363" s="1"/>
      <c r="W363" s="1"/>
    </row>
    <row r="364" spans="1:23" x14ac:dyDescent="0.25">
      <c r="A364">
        <v>363</v>
      </c>
      <c r="B364">
        <v>0</v>
      </c>
      <c r="C364" t="str">
        <f>IF(Titanic_Dataset[[#This Row],[Survived]]=1,"Survived","Died")</f>
        <v>Died</v>
      </c>
      <c r="D364">
        <v>3</v>
      </c>
      <c r="E364" t="str">
        <f>IF(Titanic_Dataset[[#This Row],[Pclass]]=1,"1st",IF(Titanic_Dataset[[#This Row],[Pclass]]=2,"2nd",IF(Titanic_Dataset[[#This Row],[Pclass]]=3,"3rd")))</f>
        <v>3rd</v>
      </c>
      <c r="F364" s="1" t="s">
        <v>761</v>
      </c>
      <c r="G364" s="1" t="str">
        <f>TRIM(MID(Titanic_Dataset[[#This Row],[Name]],
FIND(",",Titanic_Dataset[[#This Row],[Name]])+2,
FIND(".",Titanic_Dataset[[#This Row],[Name]],FIND(",",Titanic_Dataset[[#This Row],[Name]]))-FIND(",",Titanic_Dataset[[#This Row],[Name]])-1))</f>
        <v>Mrs.</v>
      </c>
      <c r="H364" s="1" t="s">
        <v>18</v>
      </c>
      <c r="I364">
        <v>45</v>
      </c>
      <c r="J364" t="str">
        <f>IF(Titanic_Dataset[[#This Row],[Age]]&lt;12,"0-11",
IF(Titanic_Dataset[[#This Row],[Age]]&lt;20,"12-19",
IF(Titanic_Dataset[[#This Row],[Age]]&lt;30,"20-29",
IF(Titanic_Dataset[[#This Row],[Age]]&lt;40,"30-39",
IF(Titanic_Dataset[[#This Row],[Age]]&lt;50,"40-49",
IF(Titanic_Dataset[[#This Row],[Age]]&lt;60,"50-59",
IF(Titanic_Dataset[[#This Row],[Age]]&lt;70,"60-69",)))))))</f>
        <v>40-49</v>
      </c>
      <c r="K364">
        <v>0</v>
      </c>
      <c r="L364">
        <v>1</v>
      </c>
      <c r="M364">
        <f>Titanic_Dataset[[#This Row],[Parch]]+Titanic_Dataset[[#This Row],[SibSp]]</f>
        <v>1</v>
      </c>
      <c r="N364" s="1" t="s">
        <v>762</v>
      </c>
      <c r="O364">
        <v>14.4542</v>
      </c>
      <c r="P364" t="e">
        <f>IF(Titanic_Dataset[[#This Row],[Survived]]=1,Titanic_Dataset[[#This Row],[Fare]],NA())</f>
        <v>#N/A</v>
      </c>
      <c r="Q364">
        <f>IF(Titanic_Dataset[[#This Row],[Survived]]=0,Titanic_Dataset[[#This Row],[Fare]],NA())</f>
        <v>14.4542</v>
      </c>
      <c r="R364" t="str">
        <f>VLOOKUP(Titanic_Dataset[[#This Row],[Fare]],Table2[],2,TRUE)</f>
        <v>medium</v>
      </c>
      <c r="S364" s="1" t="s">
        <v>15</v>
      </c>
      <c r="T364" s="1" t="s">
        <v>21</v>
      </c>
      <c r="U364" s="1"/>
      <c r="V364" s="1"/>
      <c r="W364" s="1"/>
    </row>
    <row r="365" spans="1:23" x14ac:dyDescent="0.25">
      <c r="A365">
        <v>364</v>
      </c>
      <c r="B365">
        <v>0</v>
      </c>
      <c r="C365" t="str">
        <f>IF(Titanic_Dataset[[#This Row],[Survived]]=1,"Survived","Died")</f>
        <v>Died</v>
      </c>
      <c r="D365">
        <v>3</v>
      </c>
      <c r="E365" t="str">
        <f>IF(Titanic_Dataset[[#This Row],[Pclass]]=1,"1st",IF(Titanic_Dataset[[#This Row],[Pclass]]=2,"2nd",IF(Titanic_Dataset[[#This Row],[Pclass]]=3,"3rd")))</f>
        <v>3rd</v>
      </c>
      <c r="F365" s="1" t="s">
        <v>763</v>
      </c>
      <c r="G365" s="1" t="str">
        <f>TRIM(MID(Titanic_Dataset[[#This Row],[Name]],
FIND(",",Titanic_Dataset[[#This Row],[Name]])+2,
FIND(".",Titanic_Dataset[[#This Row],[Name]],FIND(",",Titanic_Dataset[[#This Row],[Name]]))-FIND(",",Titanic_Dataset[[#This Row],[Name]])-1))</f>
        <v>Mr.</v>
      </c>
      <c r="H365" s="1" t="s">
        <v>13</v>
      </c>
      <c r="I365">
        <v>35</v>
      </c>
      <c r="J365" t="str">
        <f>IF(Titanic_Dataset[[#This Row],[Age]]&lt;12,"0-11",
IF(Titanic_Dataset[[#This Row],[Age]]&lt;20,"12-19",
IF(Titanic_Dataset[[#This Row],[Age]]&lt;30,"20-29",
IF(Titanic_Dataset[[#This Row],[Age]]&lt;40,"30-39",
IF(Titanic_Dataset[[#This Row],[Age]]&lt;50,"40-49",
IF(Titanic_Dataset[[#This Row],[Age]]&lt;60,"50-59",
IF(Titanic_Dataset[[#This Row],[Age]]&lt;70,"60-69",)))))))</f>
        <v>30-39</v>
      </c>
      <c r="K365">
        <v>0</v>
      </c>
      <c r="L365">
        <v>0</v>
      </c>
      <c r="M365">
        <f>Titanic_Dataset[[#This Row],[Parch]]+Titanic_Dataset[[#This Row],[SibSp]]</f>
        <v>0</v>
      </c>
      <c r="N365" s="1" t="s">
        <v>764</v>
      </c>
      <c r="O365">
        <v>7.05</v>
      </c>
      <c r="P365" t="e">
        <f>IF(Titanic_Dataset[[#This Row],[Survived]]=1,Titanic_Dataset[[#This Row],[Fare]],NA())</f>
        <v>#N/A</v>
      </c>
      <c r="Q365">
        <f>IF(Titanic_Dataset[[#This Row],[Survived]]=0,Titanic_Dataset[[#This Row],[Fare]],NA())</f>
        <v>7.05</v>
      </c>
      <c r="R365" t="str">
        <f>VLOOKUP(Titanic_Dataset[[#This Row],[Fare]],Table2[],2,TRUE)</f>
        <v>low</v>
      </c>
      <c r="S365" s="1" t="s">
        <v>15</v>
      </c>
      <c r="T365" s="1" t="s">
        <v>16</v>
      </c>
      <c r="U365" s="1"/>
      <c r="V365" s="1"/>
      <c r="W365" s="1"/>
    </row>
    <row r="366" spans="1:23" x14ac:dyDescent="0.25">
      <c r="A366">
        <v>365</v>
      </c>
      <c r="B366">
        <v>0</v>
      </c>
      <c r="C366" t="str">
        <f>IF(Titanic_Dataset[[#This Row],[Survived]]=1,"Survived","Died")</f>
        <v>Died</v>
      </c>
      <c r="D366">
        <v>3</v>
      </c>
      <c r="E366" t="str">
        <f>IF(Titanic_Dataset[[#This Row],[Pclass]]=1,"1st",IF(Titanic_Dataset[[#This Row],[Pclass]]=2,"2nd",IF(Titanic_Dataset[[#This Row],[Pclass]]=3,"3rd")))</f>
        <v>3rd</v>
      </c>
      <c r="F366" s="1" t="s">
        <v>765</v>
      </c>
      <c r="G366" s="1" t="str">
        <f>TRIM(MID(Titanic_Dataset[[#This Row],[Name]],
FIND(",",Titanic_Dataset[[#This Row],[Name]])+2,
FIND(".",Titanic_Dataset[[#This Row],[Name]],FIND(",",Titanic_Dataset[[#This Row],[Name]]))-FIND(",",Titanic_Dataset[[#This Row],[Name]])-1))</f>
        <v>Mr.</v>
      </c>
      <c r="H366" s="1" t="s">
        <v>13</v>
      </c>
      <c r="I366">
        <v>28</v>
      </c>
      <c r="J36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66">
        <v>1</v>
      </c>
      <c r="L366">
        <v>0</v>
      </c>
      <c r="M366">
        <f>Titanic_Dataset[[#This Row],[Parch]]+Titanic_Dataset[[#This Row],[SibSp]]</f>
        <v>1</v>
      </c>
      <c r="N366" s="1" t="s">
        <v>407</v>
      </c>
      <c r="O366">
        <v>15.5</v>
      </c>
      <c r="P366" t="e">
        <f>IF(Titanic_Dataset[[#This Row],[Survived]]=1,Titanic_Dataset[[#This Row],[Fare]],NA())</f>
        <v>#N/A</v>
      </c>
      <c r="Q366">
        <f>IF(Titanic_Dataset[[#This Row],[Survived]]=0,Titanic_Dataset[[#This Row],[Fare]],NA())</f>
        <v>15.5</v>
      </c>
      <c r="R366" t="str">
        <f>VLOOKUP(Titanic_Dataset[[#This Row],[Fare]],Table2[],2,TRUE)</f>
        <v>high</v>
      </c>
      <c r="S366" s="1" t="s">
        <v>15</v>
      </c>
      <c r="T366" s="1" t="s">
        <v>31</v>
      </c>
      <c r="U366" s="1"/>
      <c r="V366" s="1"/>
      <c r="W366" s="1"/>
    </row>
    <row r="367" spans="1:23" x14ac:dyDescent="0.25">
      <c r="A367">
        <v>366</v>
      </c>
      <c r="B367">
        <v>0</v>
      </c>
      <c r="C367" t="str">
        <f>IF(Titanic_Dataset[[#This Row],[Survived]]=1,"Survived","Died")</f>
        <v>Died</v>
      </c>
      <c r="D367">
        <v>3</v>
      </c>
      <c r="E367" t="str">
        <f>IF(Titanic_Dataset[[#This Row],[Pclass]]=1,"1st",IF(Titanic_Dataset[[#This Row],[Pclass]]=2,"2nd",IF(Titanic_Dataset[[#This Row],[Pclass]]=3,"3rd")))</f>
        <v>3rd</v>
      </c>
      <c r="F367" s="1" t="s">
        <v>766</v>
      </c>
      <c r="G367" s="1" t="str">
        <f>TRIM(MID(Titanic_Dataset[[#This Row],[Name]],
FIND(",",Titanic_Dataset[[#This Row],[Name]])+2,
FIND(".",Titanic_Dataset[[#This Row],[Name]],FIND(",",Titanic_Dataset[[#This Row],[Name]]))-FIND(",",Titanic_Dataset[[#This Row],[Name]])-1))</f>
        <v>Mr.</v>
      </c>
      <c r="H367" s="1" t="s">
        <v>13</v>
      </c>
      <c r="I367">
        <v>30</v>
      </c>
      <c r="J367" t="str">
        <f>IF(Titanic_Dataset[[#This Row],[Age]]&lt;12,"0-11",
IF(Titanic_Dataset[[#This Row],[Age]]&lt;20,"12-19",
IF(Titanic_Dataset[[#This Row],[Age]]&lt;30,"20-29",
IF(Titanic_Dataset[[#This Row],[Age]]&lt;40,"30-39",
IF(Titanic_Dataset[[#This Row],[Age]]&lt;50,"40-49",
IF(Titanic_Dataset[[#This Row],[Age]]&lt;60,"50-59",
IF(Titanic_Dataset[[#This Row],[Age]]&lt;70,"60-69",)))))))</f>
        <v>30-39</v>
      </c>
      <c r="K367">
        <v>0</v>
      </c>
      <c r="L367">
        <v>0</v>
      </c>
      <c r="M367">
        <f>Titanic_Dataset[[#This Row],[Parch]]+Titanic_Dataset[[#This Row],[SibSp]]</f>
        <v>0</v>
      </c>
      <c r="N367" s="1" t="s">
        <v>767</v>
      </c>
      <c r="O367">
        <v>7.25</v>
      </c>
      <c r="P367" t="e">
        <f>IF(Titanic_Dataset[[#This Row],[Survived]]=1,Titanic_Dataset[[#This Row],[Fare]],NA())</f>
        <v>#N/A</v>
      </c>
      <c r="Q367">
        <f>IF(Titanic_Dataset[[#This Row],[Survived]]=0,Titanic_Dataset[[#This Row],[Fare]],NA())</f>
        <v>7.25</v>
      </c>
      <c r="R367" t="str">
        <f>VLOOKUP(Titanic_Dataset[[#This Row],[Fare]],Table2[],2,TRUE)</f>
        <v>low</v>
      </c>
      <c r="S367" s="1" t="s">
        <v>15</v>
      </c>
      <c r="T367" s="1" t="s">
        <v>16</v>
      </c>
      <c r="U367" s="1"/>
      <c r="V367" s="1"/>
      <c r="W367" s="1"/>
    </row>
    <row r="368" spans="1:23" x14ac:dyDescent="0.25">
      <c r="A368">
        <v>367</v>
      </c>
      <c r="B368">
        <v>1</v>
      </c>
      <c r="C368" t="str">
        <f>IF(Titanic_Dataset[[#This Row],[Survived]]=1,"Survived","Died")</f>
        <v>Survived</v>
      </c>
      <c r="D368">
        <v>1</v>
      </c>
      <c r="E368" t="str">
        <f>IF(Titanic_Dataset[[#This Row],[Pclass]]=1,"1st",IF(Titanic_Dataset[[#This Row],[Pclass]]=2,"2nd",IF(Titanic_Dataset[[#This Row],[Pclass]]=3,"3rd")))</f>
        <v>1st</v>
      </c>
      <c r="F368" s="1" t="s">
        <v>768</v>
      </c>
      <c r="G368" s="1" t="str">
        <f>TRIM(MID(Titanic_Dataset[[#This Row],[Name]],
FIND(",",Titanic_Dataset[[#This Row],[Name]])+2,
FIND(".",Titanic_Dataset[[#This Row],[Name]],FIND(",",Titanic_Dataset[[#This Row],[Name]]))-FIND(",",Titanic_Dataset[[#This Row],[Name]])-1))</f>
        <v>Mrs.</v>
      </c>
      <c r="H368" s="1" t="s">
        <v>18</v>
      </c>
      <c r="I368">
        <v>60</v>
      </c>
      <c r="J368" t="str">
        <f>IF(Titanic_Dataset[[#This Row],[Age]]&lt;12,"0-11",
IF(Titanic_Dataset[[#This Row],[Age]]&lt;20,"12-19",
IF(Titanic_Dataset[[#This Row],[Age]]&lt;30,"20-29",
IF(Titanic_Dataset[[#This Row],[Age]]&lt;40,"30-39",
IF(Titanic_Dataset[[#This Row],[Age]]&lt;50,"40-49",
IF(Titanic_Dataset[[#This Row],[Age]]&lt;60,"50-59",
IF(Titanic_Dataset[[#This Row],[Age]]&lt;70,"60-69",)))))))</f>
        <v>60-69</v>
      </c>
      <c r="K368">
        <v>1</v>
      </c>
      <c r="L368">
        <v>0</v>
      </c>
      <c r="M368">
        <f>Titanic_Dataset[[#This Row],[Parch]]+Titanic_Dataset[[#This Row],[SibSp]]</f>
        <v>1</v>
      </c>
      <c r="N368" s="1" t="s">
        <v>769</v>
      </c>
      <c r="O368">
        <v>75.25</v>
      </c>
      <c r="P368">
        <f>IF(Titanic_Dataset[[#This Row],[Survived]]=1,Titanic_Dataset[[#This Row],[Fare]],NA())</f>
        <v>75.25</v>
      </c>
      <c r="Q368" t="e">
        <f>IF(Titanic_Dataset[[#This Row],[Survived]]=0,Titanic_Dataset[[#This Row],[Fare]],NA())</f>
        <v>#N/A</v>
      </c>
      <c r="R368" t="str">
        <f>VLOOKUP(Titanic_Dataset[[#This Row],[Fare]],Table2[],2,TRUE)</f>
        <v>very hiegh</v>
      </c>
      <c r="S368" s="1" t="s">
        <v>770</v>
      </c>
      <c r="T368" s="1" t="s">
        <v>21</v>
      </c>
      <c r="U368" s="1"/>
      <c r="V368" s="1"/>
      <c r="W368" s="1"/>
    </row>
    <row r="369" spans="1:23" x14ac:dyDescent="0.25">
      <c r="A369">
        <v>368</v>
      </c>
      <c r="B369">
        <v>1</v>
      </c>
      <c r="C369" t="str">
        <f>IF(Titanic_Dataset[[#This Row],[Survived]]=1,"Survived","Died")</f>
        <v>Survived</v>
      </c>
      <c r="D369">
        <v>3</v>
      </c>
      <c r="E369" t="str">
        <f>IF(Titanic_Dataset[[#This Row],[Pclass]]=1,"1st",IF(Titanic_Dataset[[#This Row],[Pclass]]=2,"2nd",IF(Titanic_Dataset[[#This Row],[Pclass]]=3,"3rd")))</f>
        <v>3rd</v>
      </c>
      <c r="F369" s="1" t="s">
        <v>771</v>
      </c>
      <c r="G369" s="1" t="str">
        <f>TRIM(MID(Titanic_Dataset[[#This Row],[Name]],
FIND(",",Titanic_Dataset[[#This Row],[Name]])+2,
FIND(".",Titanic_Dataset[[#This Row],[Name]],FIND(",",Titanic_Dataset[[#This Row],[Name]]))-FIND(",",Titanic_Dataset[[#This Row],[Name]])-1))</f>
        <v>Mrs.</v>
      </c>
      <c r="H369" s="1" t="s">
        <v>18</v>
      </c>
      <c r="I369">
        <v>28</v>
      </c>
      <c r="J36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69">
        <v>0</v>
      </c>
      <c r="L369">
        <v>0</v>
      </c>
      <c r="M369">
        <f>Titanic_Dataset[[#This Row],[Parch]]+Titanic_Dataset[[#This Row],[SibSp]]</f>
        <v>0</v>
      </c>
      <c r="N369" s="1" t="s">
        <v>772</v>
      </c>
      <c r="O369">
        <v>7.2291999999999996</v>
      </c>
      <c r="P369">
        <f>IF(Titanic_Dataset[[#This Row],[Survived]]=1,Titanic_Dataset[[#This Row],[Fare]],NA())</f>
        <v>7.2291999999999996</v>
      </c>
      <c r="Q369" t="e">
        <f>IF(Titanic_Dataset[[#This Row],[Survived]]=0,Titanic_Dataset[[#This Row],[Fare]],NA())</f>
        <v>#N/A</v>
      </c>
      <c r="R369" t="str">
        <f>VLOOKUP(Titanic_Dataset[[#This Row],[Fare]],Table2[],2,TRUE)</f>
        <v>low</v>
      </c>
      <c r="S369" s="1" t="s">
        <v>15</v>
      </c>
      <c r="T369" s="1" t="s">
        <v>21</v>
      </c>
      <c r="U369" s="1"/>
      <c r="V369" s="1"/>
      <c r="W369" s="1"/>
    </row>
    <row r="370" spans="1:23" x14ac:dyDescent="0.25">
      <c r="A370">
        <v>369</v>
      </c>
      <c r="B370">
        <v>1</v>
      </c>
      <c r="C370" t="str">
        <f>IF(Titanic_Dataset[[#This Row],[Survived]]=1,"Survived","Died")</f>
        <v>Survived</v>
      </c>
      <c r="D370">
        <v>3</v>
      </c>
      <c r="E370" t="str">
        <f>IF(Titanic_Dataset[[#This Row],[Pclass]]=1,"1st",IF(Titanic_Dataset[[#This Row],[Pclass]]=2,"2nd",IF(Titanic_Dataset[[#This Row],[Pclass]]=3,"3rd")))</f>
        <v>3rd</v>
      </c>
      <c r="F370" s="1" t="s">
        <v>773</v>
      </c>
      <c r="G370" s="1" t="str">
        <f>TRIM(MID(Titanic_Dataset[[#This Row],[Name]],
FIND(",",Titanic_Dataset[[#This Row],[Name]])+2,
FIND(".",Titanic_Dataset[[#This Row],[Name]],FIND(",",Titanic_Dataset[[#This Row],[Name]]))-FIND(",",Titanic_Dataset[[#This Row],[Name]])-1))</f>
        <v>Miss.</v>
      </c>
      <c r="H370" s="1" t="s">
        <v>18</v>
      </c>
      <c r="I370">
        <v>28</v>
      </c>
      <c r="J37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70">
        <v>0</v>
      </c>
      <c r="L370">
        <v>0</v>
      </c>
      <c r="M370">
        <f>Titanic_Dataset[[#This Row],[Parch]]+Titanic_Dataset[[#This Row],[SibSp]]</f>
        <v>0</v>
      </c>
      <c r="N370" s="1" t="s">
        <v>774</v>
      </c>
      <c r="O370">
        <v>7.75</v>
      </c>
      <c r="P370">
        <f>IF(Titanic_Dataset[[#This Row],[Survived]]=1,Titanic_Dataset[[#This Row],[Fare]],NA())</f>
        <v>7.75</v>
      </c>
      <c r="Q370" t="e">
        <f>IF(Titanic_Dataset[[#This Row],[Survived]]=0,Titanic_Dataset[[#This Row],[Fare]],NA())</f>
        <v>#N/A</v>
      </c>
      <c r="R370" t="str">
        <f>VLOOKUP(Titanic_Dataset[[#This Row],[Fare]],Table2[],2,TRUE)</f>
        <v>low</v>
      </c>
      <c r="S370" s="1" t="s">
        <v>15</v>
      </c>
      <c r="T370" s="1" t="s">
        <v>31</v>
      </c>
      <c r="U370" s="1"/>
      <c r="V370" s="1"/>
      <c r="W370" s="1"/>
    </row>
    <row r="371" spans="1:23" x14ac:dyDescent="0.25">
      <c r="A371">
        <v>370</v>
      </c>
      <c r="B371">
        <v>1</v>
      </c>
      <c r="C371" t="str">
        <f>IF(Titanic_Dataset[[#This Row],[Survived]]=1,"Survived","Died")</f>
        <v>Survived</v>
      </c>
      <c r="D371">
        <v>1</v>
      </c>
      <c r="E371" t="str">
        <f>IF(Titanic_Dataset[[#This Row],[Pclass]]=1,"1st",IF(Titanic_Dataset[[#This Row],[Pclass]]=2,"2nd",IF(Titanic_Dataset[[#This Row],[Pclass]]=3,"3rd")))</f>
        <v>1st</v>
      </c>
      <c r="F371" s="1" t="s">
        <v>775</v>
      </c>
      <c r="G371" s="1" t="str">
        <f>TRIM(MID(Titanic_Dataset[[#This Row],[Name]],
FIND(",",Titanic_Dataset[[#This Row],[Name]])+2,
FIND(".",Titanic_Dataset[[#This Row],[Name]],FIND(",",Titanic_Dataset[[#This Row],[Name]]))-FIND(",",Titanic_Dataset[[#This Row],[Name]])-1))</f>
        <v>Mme.</v>
      </c>
      <c r="H371" s="1" t="s">
        <v>18</v>
      </c>
      <c r="I371">
        <v>24</v>
      </c>
      <c r="J37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71">
        <v>0</v>
      </c>
      <c r="L371">
        <v>0</v>
      </c>
      <c r="M371">
        <f>Titanic_Dataset[[#This Row],[Parch]]+Titanic_Dataset[[#This Row],[SibSp]]</f>
        <v>0</v>
      </c>
      <c r="N371" s="1" t="s">
        <v>776</v>
      </c>
      <c r="O371">
        <v>69.3</v>
      </c>
      <c r="P371">
        <f>IF(Titanic_Dataset[[#This Row],[Survived]]=1,Titanic_Dataset[[#This Row],[Fare]],NA())</f>
        <v>69.3</v>
      </c>
      <c r="Q371" t="e">
        <f>IF(Titanic_Dataset[[#This Row],[Survived]]=0,Titanic_Dataset[[#This Row],[Fare]],NA())</f>
        <v>#N/A</v>
      </c>
      <c r="R371" t="str">
        <f>VLOOKUP(Titanic_Dataset[[#This Row],[Fare]],Table2[],2,TRUE)</f>
        <v>very hiegh</v>
      </c>
      <c r="S371" s="1" t="s">
        <v>777</v>
      </c>
      <c r="T371" s="1" t="s">
        <v>21</v>
      </c>
      <c r="U371" s="1"/>
      <c r="V371" s="1"/>
      <c r="W371" s="1"/>
    </row>
    <row r="372" spans="1:23" x14ac:dyDescent="0.25">
      <c r="A372">
        <v>371</v>
      </c>
      <c r="B372">
        <v>1</v>
      </c>
      <c r="C372" t="str">
        <f>IF(Titanic_Dataset[[#This Row],[Survived]]=1,"Survived","Died")</f>
        <v>Survived</v>
      </c>
      <c r="D372">
        <v>1</v>
      </c>
      <c r="E372" t="str">
        <f>IF(Titanic_Dataset[[#This Row],[Pclass]]=1,"1st",IF(Titanic_Dataset[[#This Row],[Pclass]]=2,"2nd",IF(Titanic_Dataset[[#This Row],[Pclass]]=3,"3rd")))</f>
        <v>1st</v>
      </c>
      <c r="F372" s="1" t="s">
        <v>778</v>
      </c>
      <c r="G372" s="1" t="str">
        <f>TRIM(MID(Titanic_Dataset[[#This Row],[Name]],
FIND(",",Titanic_Dataset[[#This Row],[Name]])+2,
FIND(".",Titanic_Dataset[[#This Row],[Name]],FIND(",",Titanic_Dataset[[#This Row],[Name]]))-FIND(",",Titanic_Dataset[[#This Row],[Name]])-1))</f>
        <v>Mr.</v>
      </c>
      <c r="H372" s="1" t="s">
        <v>13</v>
      </c>
      <c r="I372">
        <v>25</v>
      </c>
      <c r="J37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72">
        <v>1</v>
      </c>
      <c r="L372">
        <v>0</v>
      </c>
      <c r="M372">
        <f>Titanic_Dataset[[#This Row],[Parch]]+Titanic_Dataset[[#This Row],[SibSp]]</f>
        <v>1</v>
      </c>
      <c r="N372" s="1" t="s">
        <v>779</v>
      </c>
      <c r="O372">
        <v>55.441699999999997</v>
      </c>
      <c r="P372">
        <f>IF(Titanic_Dataset[[#This Row],[Survived]]=1,Titanic_Dataset[[#This Row],[Fare]],NA())</f>
        <v>55.441699999999997</v>
      </c>
      <c r="Q372" t="e">
        <f>IF(Titanic_Dataset[[#This Row],[Survived]]=0,Titanic_Dataset[[#This Row],[Fare]],NA())</f>
        <v>#N/A</v>
      </c>
      <c r="R372" t="str">
        <f>VLOOKUP(Titanic_Dataset[[#This Row],[Fare]],Table2[],2,TRUE)</f>
        <v>very hiegh</v>
      </c>
      <c r="S372" s="1" t="s">
        <v>780</v>
      </c>
      <c r="T372" s="1" t="s">
        <v>21</v>
      </c>
      <c r="U372" s="1"/>
      <c r="V372" s="1"/>
      <c r="W372" s="1"/>
    </row>
    <row r="373" spans="1:23" x14ac:dyDescent="0.25">
      <c r="A373">
        <v>372</v>
      </c>
      <c r="B373">
        <v>0</v>
      </c>
      <c r="C373" t="str">
        <f>IF(Titanic_Dataset[[#This Row],[Survived]]=1,"Survived","Died")</f>
        <v>Died</v>
      </c>
      <c r="D373">
        <v>3</v>
      </c>
      <c r="E373" t="str">
        <f>IF(Titanic_Dataset[[#This Row],[Pclass]]=1,"1st",IF(Titanic_Dataset[[#This Row],[Pclass]]=2,"2nd",IF(Titanic_Dataset[[#This Row],[Pclass]]=3,"3rd")))</f>
        <v>3rd</v>
      </c>
      <c r="F373" s="1" t="s">
        <v>781</v>
      </c>
      <c r="G373" s="1" t="str">
        <f>TRIM(MID(Titanic_Dataset[[#This Row],[Name]],
FIND(",",Titanic_Dataset[[#This Row],[Name]])+2,
FIND(".",Titanic_Dataset[[#This Row],[Name]],FIND(",",Titanic_Dataset[[#This Row],[Name]]))-FIND(",",Titanic_Dataset[[#This Row],[Name]])-1))</f>
        <v>Mr.</v>
      </c>
      <c r="H373" s="1" t="s">
        <v>13</v>
      </c>
      <c r="I373">
        <v>18</v>
      </c>
      <c r="J373" t="str">
        <f>IF(Titanic_Dataset[[#This Row],[Age]]&lt;12,"0-11",
IF(Titanic_Dataset[[#This Row],[Age]]&lt;20,"12-19",
IF(Titanic_Dataset[[#This Row],[Age]]&lt;30,"20-29",
IF(Titanic_Dataset[[#This Row],[Age]]&lt;40,"30-39",
IF(Titanic_Dataset[[#This Row],[Age]]&lt;50,"40-49",
IF(Titanic_Dataset[[#This Row],[Age]]&lt;60,"50-59",
IF(Titanic_Dataset[[#This Row],[Age]]&lt;70,"60-69",)))))))</f>
        <v>12-19</v>
      </c>
      <c r="K373">
        <v>1</v>
      </c>
      <c r="L373">
        <v>0</v>
      </c>
      <c r="M373">
        <f>Titanic_Dataset[[#This Row],[Parch]]+Titanic_Dataset[[#This Row],[SibSp]]</f>
        <v>1</v>
      </c>
      <c r="N373" s="1" t="s">
        <v>782</v>
      </c>
      <c r="O373">
        <v>6.4958</v>
      </c>
      <c r="P373" t="e">
        <f>IF(Titanic_Dataset[[#This Row],[Survived]]=1,Titanic_Dataset[[#This Row],[Fare]],NA())</f>
        <v>#N/A</v>
      </c>
      <c r="Q373">
        <f>IF(Titanic_Dataset[[#This Row],[Survived]]=0,Titanic_Dataset[[#This Row],[Fare]],NA())</f>
        <v>6.4958</v>
      </c>
      <c r="R373" t="str">
        <f>VLOOKUP(Titanic_Dataset[[#This Row],[Fare]],Table2[],2,TRUE)</f>
        <v>low</v>
      </c>
      <c r="S373" s="1" t="s">
        <v>15</v>
      </c>
      <c r="T373" s="1" t="s">
        <v>16</v>
      </c>
      <c r="U373" s="1"/>
      <c r="V373" s="1"/>
      <c r="W373" s="1"/>
    </row>
    <row r="374" spans="1:23" x14ac:dyDescent="0.25">
      <c r="A374">
        <v>373</v>
      </c>
      <c r="B374">
        <v>0</v>
      </c>
      <c r="C374" t="str">
        <f>IF(Titanic_Dataset[[#This Row],[Survived]]=1,"Survived","Died")</f>
        <v>Died</v>
      </c>
      <c r="D374">
        <v>3</v>
      </c>
      <c r="E374" t="str">
        <f>IF(Titanic_Dataset[[#This Row],[Pclass]]=1,"1st",IF(Titanic_Dataset[[#This Row],[Pclass]]=2,"2nd",IF(Titanic_Dataset[[#This Row],[Pclass]]=3,"3rd")))</f>
        <v>3rd</v>
      </c>
      <c r="F374" s="1" t="s">
        <v>783</v>
      </c>
      <c r="G374" s="1" t="str">
        <f>TRIM(MID(Titanic_Dataset[[#This Row],[Name]],
FIND(",",Titanic_Dataset[[#This Row],[Name]])+2,
FIND(".",Titanic_Dataset[[#This Row],[Name]],FIND(",",Titanic_Dataset[[#This Row],[Name]]))-FIND(",",Titanic_Dataset[[#This Row],[Name]])-1))</f>
        <v>Mr.</v>
      </c>
      <c r="H374" s="1" t="s">
        <v>13</v>
      </c>
      <c r="I374">
        <v>19</v>
      </c>
      <c r="J374" t="str">
        <f>IF(Titanic_Dataset[[#This Row],[Age]]&lt;12,"0-11",
IF(Titanic_Dataset[[#This Row],[Age]]&lt;20,"12-19",
IF(Titanic_Dataset[[#This Row],[Age]]&lt;30,"20-29",
IF(Titanic_Dataset[[#This Row],[Age]]&lt;40,"30-39",
IF(Titanic_Dataset[[#This Row],[Age]]&lt;50,"40-49",
IF(Titanic_Dataset[[#This Row],[Age]]&lt;60,"50-59",
IF(Titanic_Dataset[[#This Row],[Age]]&lt;70,"60-69",)))))))</f>
        <v>12-19</v>
      </c>
      <c r="K374">
        <v>0</v>
      </c>
      <c r="L374">
        <v>0</v>
      </c>
      <c r="M374">
        <f>Titanic_Dataset[[#This Row],[Parch]]+Titanic_Dataset[[#This Row],[SibSp]]</f>
        <v>0</v>
      </c>
      <c r="N374" s="1" t="s">
        <v>784</v>
      </c>
      <c r="O374">
        <v>8.0500000000000007</v>
      </c>
      <c r="P374" t="e">
        <f>IF(Titanic_Dataset[[#This Row],[Survived]]=1,Titanic_Dataset[[#This Row],[Fare]],NA())</f>
        <v>#N/A</v>
      </c>
      <c r="Q374">
        <f>IF(Titanic_Dataset[[#This Row],[Survived]]=0,Titanic_Dataset[[#This Row],[Fare]],NA())</f>
        <v>8.0500000000000007</v>
      </c>
      <c r="R374" t="str">
        <f>VLOOKUP(Titanic_Dataset[[#This Row],[Fare]],Table2[],2,TRUE)</f>
        <v>medium</v>
      </c>
      <c r="S374" s="1" t="s">
        <v>15</v>
      </c>
      <c r="T374" s="1" t="s">
        <v>16</v>
      </c>
      <c r="U374" s="1"/>
      <c r="V374" s="1"/>
      <c r="W374" s="1"/>
    </row>
    <row r="375" spans="1:23" x14ac:dyDescent="0.25">
      <c r="A375">
        <v>374</v>
      </c>
      <c r="B375">
        <v>0</v>
      </c>
      <c r="C375" t="str">
        <f>IF(Titanic_Dataset[[#This Row],[Survived]]=1,"Survived","Died")</f>
        <v>Died</v>
      </c>
      <c r="D375">
        <v>1</v>
      </c>
      <c r="E375" t="str">
        <f>IF(Titanic_Dataset[[#This Row],[Pclass]]=1,"1st",IF(Titanic_Dataset[[#This Row],[Pclass]]=2,"2nd",IF(Titanic_Dataset[[#This Row],[Pclass]]=3,"3rd")))</f>
        <v>1st</v>
      </c>
      <c r="F375" s="1" t="s">
        <v>785</v>
      </c>
      <c r="G375" s="1" t="str">
        <f>TRIM(MID(Titanic_Dataset[[#This Row],[Name]],
FIND(",",Titanic_Dataset[[#This Row],[Name]])+2,
FIND(".",Titanic_Dataset[[#This Row],[Name]],FIND(",",Titanic_Dataset[[#This Row],[Name]]))-FIND(",",Titanic_Dataset[[#This Row],[Name]])-1))</f>
        <v>Mr.</v>
      </c>
      <c r="H375" s="1" t="s">
        <v>13</v>
      </c>
      <c r="I375">
        <v>22</v>
      </c>
      <c r="J37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75">
        <v>0</v>
      </c>
      <c r="L375">
        <v>0</v>
      </c>
      <c r="M375">
        <f>Titanic_Dataset[[#This Row],[Parch]]+Titanic_Dataset[[#This Row],[SibSp]]</f>
        <v>0</v>
      </c>
      <c r="N375" s="1" t="s">
        <v>575</v>
      </c>
      <c r="O375">
        <v>135.63329999999999</v>
      </c>
      <c r="P375" t="e">
        <f>IF(Titanic_Dataset[[#This Row],[Survived]]=1,Titanic_Dataset[[#This Row],[Fare]],NA())</f>
        <v>#N/A</v>
      </c>
      <c r="Q375">
        <f>IF(Titanic_Dataset[[#This Row],[Survived]]=0,Titanic_Dataset[[#This Row],[Fare]],NA())</f>
        <v>135.63329999999999</v>
      </c>
      <c r="R375" t="str">
        <f>VLOOKUP(Titanic_Dataset[[#This Row],[Fare]],Table2[],2,TRUE)</f>
        <v>very hiegh</v>
      </c>
      <c r="S375" s="1" t="s">
        <v>15</v>
      </c>
      <c r="T375" s="1" t="s">
        <v>21</v>
      </c>
      <c r="U375" s="1"/>
      <c r="V375" s="1"/>
      <c r="W375" s="1"/>
    </row>
    <row r="376" spans="1:23" x14ac:dyDescent="0.25">
      <c r="A376">
        <v>375</v>
      </c>
      <c r="B376">
        <v>0</v>
      </c>
      <c r="C376" t="str">
        <f>IF(Titanic_Dataset[[#This Row],[Survived]]=1,"Survived","Died")</f>
        <v>Died</v>
      </c>
      <c r="D376">
        <v>3</v>
      </c>
      <c r="E376" t="str">
        <f>IF(Titanic_Dataset[[#This Row],[Pclass]]=1,"1st",IF(Titanic_Dataset[[#This Row],[Pclass]]=2,"2nd",IF(Titanic_Dataset[[#This Row],[Pclass]]=3,"3rd")))</f>
        <v>3rd</v>
      </c>
      <c r="F376" s="1" t="s">
        <v>786</v>
      </c>
      <c r="G376" s="1" t="str">
        <f>TRIM(MID(Titanic_Dataset[[#This Row],[Name]],
FIND(",",Titanic_Dataset[[#This Row],[Name]])+2,
FIND(".",Titanic_Dataset[[#This Row],[Name]],FIND(",",Titanic_Dataset[[#This Row],[Name]]))-FIND(",",Titanic_Dataset[[#This Row],[Name]])-1))</f>
        <v>Miss.</v>
      </c>
      <c r="H376" s="1" t="s">
        <v>18</v>
      </c>
      <c r="I376">
        <v>3</v>
      </c>
      <c r="J376" t="str">
        <f>IF(Titanic_Dataset[[#This Row],[Age]]&lt;12,"0-11",
IF(Titanic_Dataset[[#This Row],[Age]]&lt;20,"12-19",
IF(Titanic_Dataset[[#This Row],[Age]]&lt;30,"20-29",
IF(Titanic_Dataset[[#This Row],[Age]]&lt;40,"30-39",
IF(Titanic_Dataset[[#This Row],[Age]]&lt;50,"40-49",
IF(Titanic_Dataset[[#This Row],[Age]]&lt;60,"50-59",
IF(Titanic_Dataset[[#This Row],[Age]]&lt;70,"60-69",)))))))</f>
        <v>0-11</v>
      </c>
      <c r="K376">
        <v>3</v>
      </c>
      <c r="L376">
        <v>1</v>
      </c>
      <c r="M376">
        <f>Titanic_Dataset[[#This Row],[Parch]]+Titanic_Dataset[[#This Row],[SibSp]]</f>
        <v>4</v>
      </c>
      <c r="N376" s="1" t="s">
        <v>36</v>
      </c>
      <c r="O376">
        <v>21.074999999999999</v>
      </c>
      <c r="P376" t="e">
        <f>IF(Titanic_Dataset[[#This Row],[Survived]]=1,Titanic_Dataset[[#This Row],[Fare]],NA())</f>
        <v>#N/A</v>
      </c>
      <c r="Q376">
        <f>IF(Titanic_Dataset[[#This Row],[Survived]]=0,Titanic_Dataset[[#This Row],[Fare]],NA())</f>
        <v>21.074999999999999</v>
      </c>
      <c r="R376" t="str">
        <f>VLOOKUP(Titanic_Dataset[[#This Row],[Fare]],Table2[],2,TRUE)</f>
        <v>high</v>
      </c>
      <c r="S376" s="1" t="s">
        <v>15</v>
      </c>
      <c r="T376" s="1" t="s">
        <v>16</v>
      </c>
      <c r="U376" s="1"/>
      <c r="V376" s="1"/>
      <c r="W376" s="1"/>
    </row>
    <row r="377" spans="1:23" x14ac:dyDescent="0.25">
      <c r="A377">
        <v>376</v>
      </c>
      <c r="B377">
        <v>1</v>
      </c>
      <c r="C377" t="str">
        <f>IF(Titanic_Dataset[[#This Row],[Survived]]=1,"Survived","Died")</f>
        <v>Survived</v>
      </c>
      <c r="D377">
        <v>1</v>
      </c>
      <c r="E377" t="str">
        <f>IF(Titanic_Dataset[[#This Row],[Pclass]]=1,"1st",IF(Titanic_Dataset[[#This Row],[Pclass]]=2,"2nd",IF(Titanic_Dataset[[#This Row],[Pclass]]=3,"3rd")))</f>
        <v>1st</v>
      </c>
      <c r="F377" s="1" t="s">
        <v>787</v>
      </c>
      <c r="G377" s="1" t="str">
        <f>TRIM(MID(Titanic_Dataset[[#This Row],[Name]],
FIND(",",Titanic_Dataset[[#This Row],[Name]])+2,
FIND(".",Titanic_Dataset[[#This Row],[Name]],FIND(",",Titanic_Dataset[[#This Row],[Name]]))-FIND(",",Titanic_Dataset[[#This Row],[Name]])-1))</f>
        <v>Mrs.</v>
      </c>
      <c r="H377" s="1" t="s">
        <v>18</v>
      </c>
      <c r="I377">
        <v>28</v>
      </c>
      <c r="J37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77">
        <v>1</v>
      </c>
      <c r="L377">
        <v>0</v>
      </c>
      <c r="M377">
        <f>Titanic_Dataset[[#This Row],[Parch]]+Titanic_Dataset[[#This Row],[SibSp]]</f>
        <v>1</v>
      </c>
      <c r="N377" s="1" t="s">
        <v>95</v>
      </c>
      <c r="O377">
        <v>82.1708</v>
      </c>
      <c r="P377">
        <f>IF(Titanic_Dataset[[#This Row],[Survived]]=1,Titanic_Dataset[[#This Row],[Fare]],NA())</f>
        <v>82.1708</v>
      </c>
      <c r="Q377" t="e">
        <f>IF(Titanic_Dataset[[#This Row],[Survived]]=0,Titanic_Dataset[[#This Row],[Fare]],NA())</f>
        <v>#N/A</v>
      </c>
      <c r="R377" t="str">
        <f>VLOOKUP(Titanic_Dataset[[#This Row],[Fare]],Table2[],2,TRUE)</f>
        <v>very hiegh</v>
      </c>
      <c r="S377" s="1" t="s">
        <v>15</v>
      </c>
      <c r="T377" s="1" t="s">
        <v>21</v>
      </c>
      <c r="U377" s="1"/>
      <c r="V377" s="1"/>
      <c r="W377" s="1"/>
    </row>
    <row r="378" spans="1:23" x14ac:dyDescent="0.25">
      <c r="A378">
        <v>377</v>
      </c>
      <c r="B378">
        <v>1</v>
      </c>
      <c r="C378" t="str">
        <f>IF(Titanic_Dataset[[#This Row],[Survived]]=1,"Survived","Died")</f>
        <v>Survived</v>
      </c>
      <c r="D378">
        <v>3</v>
      </c>
      <c r="E378" t="str">
        <f>IF(Titanic_Dataset[[#This Row],[Pclass]]=1,"1st",IF(Titanic_Dataset[[#This Row],[Pclass]]=2,"2nd",IF(Titanic_Dataset[[#This Row],[Pclass]]=3,"3rd")))</f>
        <v>3rd</v>
      </c>
      <c r="F378" s="1" t="s">
        <v>788</v>
      </c>
      <c r="G378" s="1" t="str">
        <f>TRIM(MID(Titanic_Dataset[[#This Row],[Name]],
FIND(",",Titanic_Dataset[[#This Row],[Name]])+2,
FIND(".",Titanic_Dataset[[#This Row],[Name]],FIND(",",Titanic_Dataset[[#This Row],[Name]]))-FIND(",",Titanic_Dataset[[#This Row],[Name]])-1))</f>
        <v>Miss.</v>
      </c>
      <c r="H378" s="1" t="s">
        <v>18</v>
      </c>
      <c r="I378">
        <v>22</v>
      </c>
      <c r="J37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78">
        <v>0</v>
      </c>
      <c r="L378">
        <v>0</v>
      </c>
      <c r="M378">
        <f>Titanic_Dataset[[#This Row],[Parch]]+Titanic_Dataset[[#This Row],[SibSp]]</f>
        <v>0</v>
      </c>
      <c r="N378" s="1" t="s">
        <v>789</v>
      </c>
      <c r="O378">
        <v>7.25</v>
      </c>
      <c r="P378">
        <f>IF(Titanic_Dataset[[#This Row],[Survived]]=1,Titanic_Dataset[[#This Row],[Fare]],NA())</f>
        <v>7.25</v>
      </c>
      <c r="Q378" t="e">
        <f>IF(Titanic_Dataset[[#This Row],[Survived]]=0,Titanic_Dataset[[#This Row],[Fare]],NA())</f>
        <v>#N/A</v>
      </c>
      <c r="R378" t="str">
        <f>VLOOKUP(Titanic_Dataset[[#This Row],[Fare]],Table2[],2,TRUE)</f>
        <v>low</v>
      </c>
      <c r="S378" s="1" t="s">
        <v>15</v>
      </c>
      <c r="T378" s="1" t="s">
        <v>16</v>
      </c>
      <c r="U378" s="1"/>
      <c r="V378" s="1"/>
      <c r="W378" s="1"/>
    </row>
    <row r="379" spans="1:23" x14ac:dyDescent="0.25">
      <c r="A379">
        <v>378</v>
      </c>
      <c r="B379">
        <v>0</v>
      </c>
      <c r="C379" t="str">
        <f>IF(Titanic_Dataset[[#This Row],[Survived]]=1,"Survived","Died")</f>
        <v>Died</v>
      </c>
      <c r="D379">
        <v>1</v>
      </c>
      <c r="E379" t="str">
        <f>IF(Titanic_Dataset[[#This Row],[Pclass]]=1,"1st",IF(Titanic_Dataset[[#This Row],[Pclass]]=2,"2nd",IF(Titanic_Dataset[[#This Row],[Pclass]]=3,"3rd")))</f>
        <v>1st</v>
      </c>
      <c r="F379" s="1" t="s">
        <v>790</v>
      </c>
      <c r="G379" s="1" t="str">
        <f>TRIM(MID(Titanic_Dataset[[#This Row],[Name]],
FIND(",",Titanic_Dataset[[#This Row],[Name]])+2,
FIND(".",Titanic_Dataset[[#This Row],[Name]],FIND(",",Titanic_Dataset[[#This Row],[Name]]))-FIND(",",Titanic_Dataset[[#This Row],[Name]])-1))</f>
        <v>Mr.</v>
      </c>
      <c r="H379" s="1" t="s">
        <v>13</v>
      </c>
      <c r="I379">
        <v>27</v>
      </c>
      <c r="J37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79">
        <v>0</v>
      </c>
      <c r="L379">
        <v>2</v>
      </c>
      <c r="M379">
        <f>Titanic_Dataset[[#This Row],[Parch]]+Titanic_Dataset[[#This Row],[SibSp]]</f>
        <v>2</v>
      </c>
      <c r="N379" s="1" t="s">
        <v>791</v>
      </c>
      <c r="O379">
        <v>211.5</v>
      </c>
      <c r="P379" t="e">
        <f>IF(Titanic_Dataset[[#This Row],[Survived]]=1,Titanic_Dataset[[#This Row],[Fare]],NA())</f>
        <v>#N/A</v>
      </c>
      <c r="Q379">
        <f>IF(Titanic_Dataset[[#This Row],[Survived]]=0,Titanic_Dataset[[#This Row],[Fare]],NA())</f>
        <v>211.5</v>
      </c>
      <c r="R379" t="str">
        <f>VLOOKUP(Titanic_Dataset[[#This Row],[Fare]],Table2[],2,TRUE)</f>
        <v>very hiegh</v>
      </c>
      <c r="S379" s="1" t="s">
        <v>792</v>
      </c>
      <c r="T379" s="1" t="s">
        <v>21</v>
      </c>
      <c r="U379" s="1"/>
      <c r="V379" s="1"/>
      <c r="W379" s="1"/>
    </row>
    <row r="380" spans="1:23" x14ac:dyDescent="0.25">
      <c r="A380">
        <v>379</v>
      </c>
      <c r="B380">
        <v>0</v>
      </c>
      <c r="C380" t="str">
        <f>IF(Titanic_Dataset[[#This Row],[Survived]]=1,"Survived","Died")</f>
        <v>Died</v>
      </c>
      <c r="D380">
        <v>3</v>
      </c>
      <c r="E380" t="str">
        <f>IF(Titanic_Dataset[[#This Row],[Pclass]]=1,"1st",IF(Titanic_Dataset[[#This Row],[Pclass]]=2,"2nd",IF(Titanic_Dataset[[#This Row],[Pclass]]=3,"3rd")))</f>
        <v>3rd</v>
      </c>
      <c r="F380" s="1" t="s">
        <v>793</v>
      </c>
      <c r="G380" s="1" t="str">
        <f>TRIM(MID(Titanic_Dataset[[#This Row],[Name]],
FIND(",",Titanic_Dataset[[#This Row],[Name]])+2,
FIND(".",Titanic_Dataset[[#This Row],[Name]],FIND(",",Titanic_Dataset[[#This Row],[Name]]))-FIND(",",Titanic_Dataset[[#This Row],[Name]])-1))</f>
        <v>Mr.</v>
      </c>
      <c r="H380" s="1" t="s">
        <v>13</v>
      </c>
      <c r="I380">
        <v>20</v>
      </c>
      <c r="J38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80">
        <v>0</v>
      </c>
      <c r="L380">
        <v>0</v>
      </c>
      <c r="M380">
        <f>Titanic_Dataset[[#This Row],[Parch]]+Titanic_Dataset[[#This Row],[SibSp]]</f>
        <v>0</v>
      </c>
      <c r="N380" s="1" t="s">
        <v>794</v>
      </c>
      <c r="O380">
        <v>4.0125000000000002</v>
      </c>
      <c r="P380" t="e">
        <f>IF(Titanic_Dataset[[#This Row],[Survived]]=1,Titanic_Dataset[[#This Row],[Fare]],NA())</f>
        <v>#N/A</v>
      </c>
      <c r="Q380">
        <f>IF(Titanic_Dataset[[#This Row],[Survived]]=0,Titanic_Dataset[[#This Row],[Fare]],NA())</f>
        <v>4.0125000000000002</v>
      </c>
      <c r="R380" t="str">
        <f>VLOOKUP(Titanic_Dataset[[#This Row],[Fare]],Table2[],2,TRUE)</f>
        <v>low</v>
      </c>
      <c r="S380" s="1" t="s">
        <v>15</v>
      </c>
      <c r="T380" s="1" t="s">
        <v>21</v>
      </c>
      <c r="U380" s="1"/>
      <c r="V380" s="1"/>
      <c r="W380" s="1"/>
    </row>
    <row r="381" spans="1:23" x14ac:dyDescent="0.25">
      <c r="A381">
        <v>380</v>
      </c>
      <c r="B381">
        <v>0</v>
      </c>
      <c r="C381" t="str">
        <f>IF(Titanic_Dataset[[#This Row],[Survived]]=1,"Survived","Died")</f>
        <v>Died</v>
      </c>
      <c r="D381">
        <v>3</v>
      </c>
      <c r="E381" t="str">
        <f>IF(Titanic_Dataset[[#This Row],[Pclass]]=1,"1st",IF(Titanic_Dataset[[#This Row],[Pclass]]=2,"2nd",IF(Titanic_Dataset[[#This Row],[Pclass]]=3,"3rd")))</f>
        <v>3rd</v>
      </c>
      <c r="F381" s="1" t="s">
        <v>795</v>
      </c>
      <c r="G381" s="1" t="str">
        <f>TRIM(MID(Titanic_Dataset[[#This Row],[Name]],
FIND(",",Titanic_Dataset[[#This Row],[Name]])+2,
FIND(".",Titanic_Dataset[[#This Row],[Name]],FIND(",",Titanic_Dataset[[#This Row],[Name]]))-FIND(",",Titanic_Dataset[[#This Row],[Name]])-1))</f>
        <v>Mr.</v>
      </c>
      <c r="H381" s="1" t="s">
        <v>13</v>
      </c>
      <c r="I381">
        <v>19</v>
      </c>
      <c r="J381" t="str">
        <f>IF(Titanic_Dataset[[#This Row],[Age]]&lt;12,"0-11",
IF(Titanic_Dataset[[#This Row],[Age]]&lt;20,"12-19",
IF(Titanic_Dataset[[#This Row],[Age]]&lt;30,"20-29",
IF(Titanic_Dataset[[#This Row],[Age]]&lt;40,"30-39",
IF(Titanic_Dataset[[#This Row],[Age]]&lt;50,"40-49",
IF(Titanic_Dataset[[#This Row],[Age]]&lt;60,"50-59",
IF(Titanic_Dataset[[#This Row],[Age]]&lt;70,"60-69",)))))))</f>
        <v>12-19</v>
      </c>
      <c r="K381">
        <v>0</v>
      </c>
      <c r="L381">
        <v>0</v>
      </c>
      <c r="M381">
        <f>Titanic_Dataset[[#This Row],[Parch]]+Titanic_Dataset[[#This Row],[SibSp]]</f>
        <v>0</v>
      </c>
      <c r="N381" s="1" t="s">
        <v>796</v>
      </c>
      <c r="O381">
        <v>7.7750000000000004</v>
      </c>
      <c r="P381" t="e">
        <f>IF(Titanic_Dataset[[#This Row],[Survived]]=1,Titanic_Dataset[[#This Row],[Fare]],NA())</f>
        <v>#N/A</v>
      </c>
      <c r="Q381">
        <f>IF(Titanic_Dataset[[#This Row],[Survived]]=0,Titanic_Dataset[[#This Row],[Fare]],NA())</f>
        <v>7.7750000000000004</v>
      </c>
      <c r="R381" t="str">
        <f>VLOOKUP(Titanic_Dataset[[#This Row],[Fare]],Table2[],2,TRUE)</f>
        <v>low</v>
      </c>
      <c r="S381" s="1" t="s">
        <v>15</v>
      </c>
      <c r="T381" s="1" t="s">
        <v>16</v>
      </c>
      <c r="U381" s="1"/>
      <c r="V381" s="1"/>
      <c r="W381" s="1"/>
    </row>
    <row r="382" spans="1:23" x14ac:dyDescent="0.25">
      <c r="A382">
        <v>381</v>
      </c>
      <c r="B382">
        <v>1</v>
      </c>
      <c r="C382" t="str">
        <f>IF(Titanic_Dataset[[#This Row],[Survived]]=1,"Survived","Died")</f>
        <v>Survived</v>
      </c>
      <c r="D382">
        <v>1</v>
      </c>
      <c r="E382" t="str">
        <f>IF(Titanic_Dataset[[#This Row],[Pclass]]=1,"1st",IF(Titanic_Dataset[[#This Row],[Pclass]]=2,"2nd",IF(Titanic_Dataset[[#This Row],[Pclass]]=3,"3rd")))</f>
        <v>1st</v>
      </c>
      <c r="F382" s="1" t="s">
        <v>797</v>
      </c>
      <c r="G382" s="1" t="str">
        <f>TRIM(MID(Titanic_Dataset[[#This Row],[Name]],
FIND(",",Titanic_Dataset[[#This Row],[Name]])+2,
FIND(".",Titanic_Dataset[[#This Row],[Name]],FIND(",",Titanic_Dataset[[#This Row],[Name]]))-FIND(",",Titanic_Dataset[[#This Row],[Name]])-1))</f>
        <v>Miss.</v>
      </c>
      <c r="H382" s="1" t="s">
        <v>18</v>
      </c>
      <c r="I382">
        <v>42</v>
      </c>
      <c r="J382" t="str">
        <f>IF(Titanic_Dataset[[#This Row],[Age]]&lt;12,"0-11",
IF(Titanic_Dataset[[#This Row],[Age]]&lt;20,"12-19",
IF(Titanic_Dataset[[#This Row],[Age]]&lt;30,"20-29",
IF(Titanic_Dataset[[#This Row],[Age]]&lt;40,"30-39",
IF(Titanic_Dataset[[#This Row],[Age]]&lt;50,"40-49",
IF(Titanic_Dataset[[#This Row],[Age]]&lt;60,"50-59",
IF(Titanic_Dataset[[#This Row],[Age]]&lt;70,"60-69",)))))))</f>
        <v>40-49</v>
      </c>
      <c r="K382">
        <v>0</v>
      </c>
      <c r="L382">
        <v>0</v>
      </c>
      <c r="M382">
        <f>Titanic_Dataset[[#This Row],[Parch]]+Titanic_Dataset[[#This Row],[SibSp]]</f>
        <v>0</v>
      </c>
      <c r="N382" s="1" t="s">
        <v>798</v>
      </c>
      <c r="O382">
        <v>227.52500000000001</v>
      </c>
      <c r="P382">
        <f>IF(Titanic_Dataset[[#This Row],[Survived]]=1,Titanic_Dataset[[#This Row],[Fare]],NA())</f>
        <v>227.52500000000001</v>
      </c>
      <c r="Q382" t="e">
        <f>IF(Titanic_Dataset[[#This Row],[Survived]]=0,Titanic_Dataset[[#This Row],[Fare]],NA())</f>
        <v>#N/A</v>
      </c>
      <c r="R382" t="str">
        <f>VLOOKUP(Titanic_Dataset[[#This Row],[Fare]],Table2[],2,TRUE)</f>
        <v>very hiegh</v>
      </c>
      <c r="S382" s="1" t="s">
        <v>15</v>
      </c>
      <c r="T382" s="1" t="s">
        <v>21</v>
      </c>
      <c r="U382" s="1"/>
      <c r="V382" s="1"/>
      <c r="W382" s="1"/>
    </row>
    <row r="383" spans="1:23" x14ac:dyDescent="0.25">
      <c r="A383">
        <v>382</v>
      </c>
      <c r="B383">
        <v>1</v>
      </c>
      <c r="C383" t="str">
        <f>IF(Titanic_Dataset[[#This Row],[Survived]]=1,"Survived","Died")</f>
        <v>Survived</v>
      </c>
      <c r="D383">
        <v>3</v>
      </c>
      <c r="E383" t="str">
        <f>IF(Titanic_Dataset[[#This Row],[Pclass]]=1,"1st",IF(Titanic_Dataset[[#This Row],[Pclass]]=2,"2nd",IF(Titanic_Dataset[[#This Row],[Pclass]]=3,"3rd")))</f>
        <v>3rd</v>
      </c>
      <c r="F383" s="1" t="s">
        <v>799</v>
      </c>
      <c r="G383" s="1" t="str">
        <f>TRIM(MID(Titanic_Dataset[[#This Row],[Name]],
FIND(",",Titanic_Dataset[[#This Row],[Name]])+2,
FIND(".",Titanic_Dataset[[#This Row],[Name]],FIND(",",Titanic_Dataset[[#This Row],[Name]]))-FIND(",",Titanic_Dataset[[#This Row],[Name]])-1))</f>
        <v>Miss.</v>
      </c>
      <c r="H383" s="1" t="s">
        <v>18</v>
      </c>
      <c r="I383">
        <v>1</v>
      </c>
      <c r="J383" t="str">
        <f>IF(Titanic_Dataset[[#This Row],[Age]]&lt;12,"0-11",
IF(Titanic_Dataset[[#This Row],[Age]]&lt;20,"12-19",
IF(Titanic_Dataset[[#This Row],[Age]]&lt;30,"20-29",
IF(Titanic_Dataset[[#This Row],[Age]]&lt;40,"30-39",
IF(Titanic_Dataset[[#This Row],[Age]]&lt;50,"40-49",
IF(Titanic_Dataset[[#This Row],[Age]]&lt;60,"50-59",
IF(Titanic_Dataset[[#This Row],[Age]]&lt;70,"60-69",)))))))</f>
        <v>0-11</v>
      </c>
      <c r="K383">
        <v>0</v>
      </c>
      <c r="L383">
        <v>2</v>
      </c>
      <c r="M383">
        <f>Titanic_Dataset[[#This Row],[Parch]]+Titanic_Dataset[[#This Row],[SibSp]]</f>
        <v>2</v>
      </c>
      <c r="N383" s="1" t="s">
        <v>800</v>
      </c>
      <c r="O383">
        <v>15.7417</v>
      </c>
      <c r="P383">
        <f>IF(Titanic_Dataset[[#This Row],[Survived]]=1,Titanic_Dataset[[#This Row],[Fare]],NA())</f>
        <v>15.7417</v>
      </c>
      <c r="Q383" t="e">
        <f>IF(Titanic_Dataset[[#This Row],[Survived]]=0,Titanic_Dataset[[#This Row],[Fare]],NA())</f>
        <v>#N/A</v>
      </c>
      <c r="R383" t="str">
        <f>VLOOKUP(Titanic_Dataset[[#This Row],[Fare]],Table2[],2,TRUE)</f>
        <v>high</v>
      </c>
      <c r="S383" s="1" t="s">
        <v>15</v>
      </c>
      <c r="T383" s="1" t="s">
        <v>21</v>
      </c>
      <c r="U383" s="1"/>
      <c r="V383" s="1"/>
      <c r="W383" s="1"/>
    </row>
    <row r="384" spans="1:23" x14ac:dyDescent="0.25">
      <c r="A384">
        <v>383</v>
      </c>
      <c r="B384">
        <v>0</v>
      </c>
      <c r="C384" t="str">
        <f>IF(Titanic_Dataset[[#This Row],[Survived]]=1,"Survived","Died")</f>
        <v>Died</v>
      </c>
      <c r="D384">
        <v>3</v>
      </c>
      <c r="E384" t="str">
        <f>IF(Titanic_Dataset[[#This Row],[Pclass]]=1,"1st",IF(Titanic_Dataset[[#This Row],[Pclass]]=2,"2nd",IF(Titanic_Dataset[[#This Row],[Pclass]]=3,"3rd")))</f>
        <v>3rd</v>
      </c>
      <c r="F384" s="1" t="s">
        <v>801</v>
      </c>
      <c r="G384" s="1" t="str">
        <f>TRIM(MID(Titanic_Dataset[[#This Row],[Name]],
FIND(",",Titanic_Dataset[[#This Row],[Name]])+2,
FIND(".",Titanic_Dataset[[#This Row],[Name]],FIND(",",Titanic_Dataset[[#This Row],[Name]]))-FIND(",",Titanic_Dataset[[#This Row],[Name]])-1))</f>
        <v>Mr.</v>
      </c>
      <c r="H384" s="1" t="s">
        <v>13</v>
      </c>
      <c r="I384">
        <v>32</v>
      </c>
      <c r="J384" t="str">
        <f>IF(Titanic_Dataset[[#This Row],[Age]]&lt;12,"0-11",
IF(Titanic_Dataset[[#This Row],[Age]]&lt;20,"12-19",
IF(Titanic_Dataset[[#This Row],[Age]]&lt;30,"20-29",
IF(Titanic_Dataset[[#This Row],[Age]]&lt;40,"30-39",
IF(Titanic_Dataset[[#This Row],[Age]]&lt;50,"40-49",
IF(Titanic_Dataset[[#This Row],[Age]]&lt;60,"50-59",
IF(Titanic_Dataset[[#This Row],[Age]]&lt;70,"60-69",)))))))</f>
        <v>30-39</v>
      </c>
      <c r="K384">
        <v>0</v>
      </c>
      <c r="L384">
        <v>0</v>
      </c>
      <c r="M384">
        <f>Titanic_Dataset[[#This Row],[Parch]]+Titanic_Dataset[[#This Row],[SibSp]]</f>
        <v>0</v>
      </c>
      <c r="N384" s="1" t="s">
        <v>802</v>
      </c>
      <c r="O384">
        <v>7.9249999999999998</v>
      </c>
      <c r="P384" t="e">
        <f>IF(Titanic_Dataset[[#This Row],[Survived]]=1,Titanic_Dataset[[#This Row],[Fare]],NA())</f>
        <v>#N/A</v>
      </c>
      <c r="Q384">
        <f>IF(Titanic_Dataset[[#This Row],[Survived]]=0,Titanic_Dataset[[#This Row],[Fare]],NA())</f>
        <v>7.9249999999999998</v>
      </c>
      <c r="R384" t="str">
        <f>VLOOKUP(Titanic_Dataset[[#This Row],[Fare]],Table2[],2,TRUE)</f>
        <v>low</v>
      </c>
      <c r="S384" s="1" t="s">
        <v>15</v>
      </c>
      <c r="T384" s="1" t="s">
        <v>16</v>
      </c>
      <c r="U384" s="1"/>
      <c r="V384" s="1"/>
      <c r="W384" s="1"/>
    </row>
    <row r="385" spans="1:23" x14ac:dyDescent="0.25">
      <c r="A385">
        <v>384</v>
      </c>
      <c r="B385">
        <v>1</v>
      </c>
      <c r="C385" t="str">
        <f>IF(Titanic_Dataset[[#This Row],[Survived]]=1,"Survived","Died")</f>
        <v>Survived</v>
      </c>
      <c r="D385">
        <v>1</v>
      </c>
      <c r="E385" t="str">
        <f>IF(Titanic_Dataset[[#This Row],[Pclass]]=1,"1st",IF(Titanic_Dataset[[#This Row],[Pclass]]=2,"2nd",IF(Titanic_Dataset[[#This Row],[Pclass]]=3,"3rd")))</f>
        <v>1st</v>
      </c>
      <c r="F385" s="1" t="s">
        <v>803</v>
      </c>
      <c r="G385" s="1" t="str">
        <f>TRIM(MID(Titanic_Dataset[[#This Row],[Name]],
FIND(",",Titanic_Dataset[[#This Row],[Name]])+2,
FIND(".",Titanic_Dataset[[#This Row],[Name]],FIND(",",Titanic_Dataset[[#This Row],[Name]]))-FIND(",",Titanic_Dataset[[#This Row],[Name]])-1))</f>
        <v>Mrs.</v>
      </c>
      <c r="H385" s="1" t="s">
        <v>18</v>
      </c>
      <c r="I385">
        <v>35</v>
      </c>
      <c r="J385" t="str">
        <f>IF(Titanic_Dataset[[#This Row],[Age]]&lt;12,"0-11",
IF(Titanic_Dataset[[#This Row],[Age]]&lt;20,"12-19",
IF(Titanic_Dataset[[#This Row],[Age]]&lt;30,"20-29",
IF(Titanic_Dataset[[#This Row],[Age]]&lt;40,"30-39",
IF(Titanic_Dataset[[#This Row],[Age]]&lt;50,"40-49",
IF(Titanic_Dataset[[#This Row],[Age]]&lt;60,"50-59",
IF(Titanic_Dataset[[#This Row],[Age]]&lt;70,"60-69",)))))))</f>
        <v>30-39</v>
      </c>
      <c r="K385">
        <v>1</v>
      </c>
      <c r="L385">
        <v>0</v>
      </c>
      <c r="M385">
        <f>Titanic_Dataset[[#This Row],[Parch]]+Titanic_Dataset[[#This Row],[SibSp]]</f>
        <v>1</v>
      </c>
      <c r="N385" s="1" t="s">
        <v>97</v>
      </c>
      <c r="O385">
        <v>52</v>
      </c>
      <c r="P385">
        <f>IF(Titanic_Dataset[[#This Row],[Survived]]=1,Titanic_Dataset[[#This Row],[Fare]],NA())</f>
        <v>52</v>
      </c>
      <c r="Q385" t="e">
        <f>IF(Titanic_Dataset[[#This Row],[Survived]]=0,Titanic_Dataset[[#This Row],[Fare]],NA())</f>
        <v>#N/A</v>
      </c>
      <c r="R385" t="str">
        <f>VLOOKUP(Titanic_Dataset[[#This Row],[Fare]],Table2[],2,TRUE)</f>
        <v>very hiegh</v>
      </c>
      <c r="S385" s="1" t="s">
        <v>15</v>
      </c>
      <c r="T385" s="1" t="s">
        <v>16</v>
      </c>
      <c r="U385" s="1"/>
      <c r="V385" s="1"/>
      <c r="W385" s="1"/>
    </row>
    <row r="386" spans="1:23" x14ac:dyDescent="0.25">
      <c r="A386">
        <v>385</v>
      </c>
      <c r="B386">
        <v>0</v>
      </c>
      <c r="C386" t="str">
        <f>IF(Titanic_Dataset[[#This Row],[Survived]]=1,"Survived","Died")</f>
        <v>Died</v>
      </c>
      <c r="D386">
        <v>3</v>
      </c>
      <c r="E386" t="str">
        <f>IF(Titanic_Dataset[[#This Row],[Pclass]]=1,"1st",IF(Titanic_Dataset[[#This Row],[Pclass]]=2,"2nd",IF(Titanic_Dataset[[#This Row],[Pclass]]=3,"3rd")))</f>
        <v>3rd</v>
      </c>
      <c r="F386" s="1" t="s">
        <v>804</v>
      </c>
      <c r="G386" s="1" t="str">
        <f>TRIM(MID(Titanic_Dataset[[#This Row],[Name]],
FIND(",",Titanic_Dataset[[#This Row],[Name]])+2,
FIND(".",Titanic_Dataset[[#This Row],[Name]],FIND(",",Titanic_Dataset[[#This Row],[Name]]))-FIND(",",Titanic_Dataset[[#This Row],[Name]])-1))</f>
        <v>Mr.</v>
      </c>
      <c r="H386" s="1" t="s">
        <v>13</v>
      </c>
      <c r="I386">
        <v>28</v>
      </c>
      <c r="J38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86">
        <v>0</v>
      </c>
      <c r="L386">
        <v>0</v>
      </c>
      <c r="M386">
        <f>Titanic_Dataset[[#This Row],[Parch]]+Titanic_Dataset[[#This Row],[SibSp]]</f>
        <v>0</v>
      </c>
      <c r="N386" s="1" t="s">
        <v>805</v>
      </c>
      <c r="O386">
        <v>7.8958000000000004</v>
      </c>
      <c r="P386" t="e">
        <f>IF(Titanic_Dataset[[#This Row],[Survived]]=1,Titanic_Dataset[[#This Row],[Fare]],NA())</f>
        <v>#N/A</v>
      </c>
      <c r="Q386">
        <f>IF(Titanic_Dataset[[#This Row],[Survived]]=0,Titanic_Dataset[[#This Row],[Fare]],NA())</f>
        <v>7.8958000000000004</v>
      </c>
      <c r="R386" t="str">
        <f>VLOOKUP(Titanic_Dataset[[#This Row],[Fare]],Table2[],2,TRUE)</f>
        <v>low</v>
      </c>
      <c r="S386" s="1" t="s">
        <v>15</v>
      </c>
      <c r="T386" s="1" t="s">
        <v>16</v>
      </c>
      <c r="U386" s="1"/>
      <c r="V386" s="1"/>
      <c r="W386" s="1"/>
    </row>
    <row r="387" spans="1:23" x14ac:dyDescent="0.25">
      <c r="A387">
        <v>386</v>
      </c>
      <c r="B387">
        <v>0</v>
      </c>
      <c r="C387" t="str">
        <f>IF(Titanic_Dataset[[#This Row],[Survived]]=1,"Survived","Died")</f>
        <v>Died</v>
      </c>
      <c r="D387">
        <v>2</v>
      </c>
      <c r="E387" t="str">
        <f>IF(Titanic_Dataset[[#This Row],[Pclass]]=1,"1st",IF(Titanic_Dataset[[#This Row],[Pclass]]=2,"2nd",IF(Titanic_Dataset[[#This Row],[Pclass]]=3,"3rd")))</f>
        <v>2nd</v>
      </c>
      <c r="F387" s="1" t="s">
        <v>806</v>
      </c>
      <c r="G387" s="1" t="str">
        <f>TRIM(MID(Titanic_Dataset[[#This Row],[Name]],
FIND(",",Titanic_Dataset[[#This Row],[Name]])+2,
FIND(".",Titanic_Dataset[[#This Row],[Name]],FIND(",",Titanic_Dataset[[#This Row],[Name]]))-FIND(",",Titanic_Dataset[[#This Row],[Name]])-1))</f>
        <v>Mr.</v>
      </c>
      <c r="H387" s="1" t="s">
        <v>13</v>
      </c>
      <c r="I387">
        <v>18</v>
      </c>
      <c r="J387" t="str">
        <f>IF(Titanic_Dataset[[#This Row],[Age]]&lt;12,"0-11",
IF(Titanic_Dataset[[#This Row],[Age]]&lt;20,"12-19",
IF(Titanic_Dataset[[#This Row],[Age]]&lt;30,"20-29",
IF(Titanic_Dataset[[#This Row],[Age]]&lt;40,"30-39",
IF(Titanic_Dataset[[#This Row],[Age]]&lt;50,"40-49",
IF(Titanic_Dataset[[#This Row],[Age]]&lt;60,"50-59",
IF(Titanic_Dataset[[#This Row],[Age]]&lt;70,"60-69",)))))))</f>
        <v>12-19</v>
      </c>
      <c r="K387">
        <v>0</v>
      </c>
      <c r="L387">
        <v>0</v>
      </c>
      <c r="M387">
        <f>Titanic_Dataset[[#This Row],[Parch]]+Titanic_Dataset[[#This Row],[SibSp]]</f>
        <v>0</v>
      </c>
      <c r="N387" s="1" t="s">
        <v>176</v>
      </c>
      <c r="O387">
        <v>73.5</v>
      </c>
      <c r="P387" t="e">
        <f>IF(Titanic_Dataset[[#This Row],[Survived]]=1,Titanic_Dataset[[#This Row],[Fare]],NA())</f>
        <v>#N/A</v>
      </c>
      <c r="Q387">
        <f>IF(Titanic_Dataset[[#This Row],[Survived]]=0,Titanic_Dataset[[#This Row],[Fare]],NA())</f>
        <v>73.5</v>
      </c>
      <c r="R387" t="str">
        <f>VLOOKUP(Titanic_Dataset[[#This Row],[Fare]],Table2[],2,TRUE)</f>
        <v>very hiegh</v>
      </c>
      <c r="S387" s="1" t="s">
        <v>15</v>
      </c>
      <c r="T387" s="1" t="s">
        <v>16</v>
      </c>
      <c r="U387" s="1"/>
      <c r="V387" s="1"/>
      <c r="W387" s="1"/>
    </row>
    <row r="388" spans="1:23" x14ac:dyDescent="0.25">
      <c r="A388">
        <v>387</v>
      </c>
      <c r="B388">
        <v>0</v>
      </c>
      <c r="C388" t="str">
        <f>IF(Titanic_Dataset[[#This Row],[Survived]]=1,"Survived","Died")</f>
        <v>Died</v>
      </c>
      <c r="D388">
        <v>3</v>
      </c>
      <c r="E388" t="str">
        <f>IF(Titanic_Dataset[[#This Row],[Pclass]]=1,"1st",IF(Titanic_Dataset[[#This Row],[Pclass]]=2,"2nd",IF(Titanic_Dataset[[#This Row],[Pclass]]=3,"3rd")))</f>
        <v>3rd</v>
      </c>
      <c r="F388" s="1" t="s">
        <v>807</v>
      </c>
      <c r="G388" s="1" t="str">
        <f>TRIM(MID(Titanic_Dataset[[#This Row],[Name]],
FIND(",",Titanic_Dataset[[#This Row],[Name]])+2,
FIND(".",Titanic_Dataset[[#This Row],[Name]],FIND(",",Titanic_Dataset[[#This Row],[Name]]))-FIND(",",Titanic_Dataset[[#This Row],[Name]])-1))</f>
        <v>Master.</v>
      </c>
      <c r="H388" s="1" t="s">
        <v>13</v>
      </c>
      <c r="I388">
        <v>1</v>
      </c>
      <c r="J388" t="str">
        <f>IF(Titanic_Dataset[[#This Row],[Age]]&lt;12,"0-11",
IF(Titanic_Dataset[[#This Row],[Age]]&lt;20,"12-19",
IF(Titanic_Dataset[[#This Row],[Age]]&lt;30,"20-29",
IF(Titanic_Dataset[[#This Row],[Age]]&lt;40,"30-39",
IF(Titanic_Dataset[[#This Row],[Age]]&lt;50,"40-49",
IF(Titanic_Dataset[[#This Row],[Age]]&lt;60,"50-59",
IF(Titanic_Dataset[[#This Row],[Age]]&lt;70,"60-69",)))))))</f>
        <v>0-11</v>
      </c>
      <c r="K388">
        <v>5</v>
      </c>
      <c r="L388">
        <v>2</v>
      </c>
      <c r="M388">
        <f>Titanic_Dataset[[#This Row],[Parch]]+Titanic_Dataset[[#This Row],[SibSp]]</f>
        <v>7</v>
      </c>
      <c r="N388" s="1" t="s">
        <v>148</v>
      </c>
      <c r="O388">
        <v>46.9</v>
      </c>
      <c r="P388" t="e">
        <f>IF(Titanic_Dataset[[#This Row],[Survived]]=1,Titanic_Dataset[[#This Row],[Fare]],NA())</f>
        <v>#N/A</v>
      </c>
      <c r="Q388">
        <f>IF(Titanic_Dataset[[#This Row],[Survived]]=0,Titanic_Dataset[[#This Row],[Fare]],NA())</f>
        <v>46.9</v>
      </c>
      <c r="R388" t="str">
        <f>VLOOKUP(Titanic_Dataset[[#This Row],[Fare]],Table2[],2,TRUE)</f>
        <v>very hiegh</v>
      </c>
      <c r="S388" s="1" t="s">
        <v>15</v>
      </c>
      <c r="T388" s="1" t="s">
        <v>16</v>
      </c>
      <c r="U388" s="1"/>
      <c r="V388" s="1"/>
      <c r="W388" s="1"/>
    </row>
    <row r="389" spans="1:23" x14ac:dyDescent="0.25">
      <c r="A389">
        <v>388</v>
      </c>
      <c r="B389">
        <v>1</v>
      </c>
      <c r="C389" t="str">
        <f>IF(Titanic_Dataset[[#This Row],[Survived]]=1,"Survived","Died")</f>
        <v>Survived</v>
      </c>
      <c r="D389">
        <v>2</v>
      </c>
      <c r="E389" t="str">
        <f>IF(Titanic_Dataset[[#This Row],[Pclass]]=1,"1st",IF(Titanic_Dataset[[#This Row],[Pclass]]=2,"2nd",IF(Titanic_Dataset[[#This Row],[Pclass]]=3,"3rd")))</f>
        <v>2nd</v>
      </c>
      <c r="F389" s="1" t="s">
        <v>808</v>
      </c>
      <c r="G389" s="1" t="str">
        <f>TRIM(MID(Titanic_Dataset[[#This Row],[Name]],
FIND(",",Titanic_Dataset[[#This Row],[Name]])+2,
FIND(".",Titanic_Dataset[[#This Row],[Name]],FIND(",",Titanic_Dataset[[#This Row],[Name]]))-FIND(",",Titanic_Dataset[[#This Row],[Name]])-1))</f>
        <v>Miss.</v>
      </c>
      <c r="H389" s="1" t="s">
        <v>18</v>
      </c>
      <c r="I389">
        <v>36</v>
      </c>
      <c r="J389" t="str">
        <f>IF(Titanic_Dataset[[#This Row],[Age]]&lt;12,"0-11",
IF(Titanic_Dataset[[#This Row],[Age]]&lt;20,"12-19",
IF(Titanic_Dataset[[#This Row],[Age]]&lt;30,"20-29",
IF(Titanic_Dataset[[#This Row],[Age]]&lt;40,"30-39",
IF(Titanic_Dataset[[#This Row],[Age]]&lt;50,"40-49",
IF(Titanic_Dataset[[#This Row],[Age]]&lt;60,"50-59",
IF(Titanic_Dataset[[#This Row],[Age]]&lt;70,"60-69",)))))))</f>
        <v>30-39</v>
      </c>
      <c r="K389">
        <v>0</v>
      </c>
      <c r="L389">
        <v>0</v>
      </c>
      <c r="M389">
        <f>Titanic_Dataset[[#This Row],[Parch]]+Titanic_Dataset[[#This Row],[SibSp]]</f>
        <v>0</v>
      </c>
      <c r="N389" s="1" t="s">
        <v>809</v>
      </c>
      <c r="O389">
        <v>13</v>
      </c>
      <c r="P389">
        <f>IF(Titanic_Dataset[[#This Row],[Survived]]=1,Titanic_Dataset[[#This Row],[Fare]],NA())</f>
        <v>13</v>
      </c>
      <c r="Q389" t="e">
        <f>IF(Titanic_Dataset[[#This Row],[Survived]]=0,Titanic_Dataset[[#This Row],[Fare]],NA())</f>
        <v>#N/A</v>
      </c>
      <c r="R389" t="str">
        <f>VLOOKUP(Titanic_Dataset[[#This Row],[Fare]],Table2[],2,TRUE)</f>
        <v>medium</v>
      </c>
      <c r="S389" s="1" t="s">
        <v>15</v>
      </c>
      <c r="T389" s="1" t="s">
        <v>16</v>
      </c>
      <c r="U389" s="1"/>
      <c r="V389" s="1"/>
      <c r="W389" s="1"/>
    </row>
    <row r="390" spans="1:23" x14ac:dyDescent="0.25">
      <c r="A390">
        <v>389</v>
      </c>
      <c r="B390">
        <v>0</v>
      </c>
      <c r="C390" t="str">
        <f>IF(Titanic_Dataset[[#This Row],[Survived]]=1,"Survived","Died")</f>
        <v>Died</v>
      </c>
      <c r="D390">
        <v>3</v>
      </c>
      <c r="E390" t="str">
        <f>IF(Titanic_Dataset[[#This Row],[Pclass]]=1,"1st",IF(Titanic_Dataset[[#This Row],[Pclass]]=2,"2nd",IF(Titanic_Dataset[[#This Row],[Pclass]]=3,"3rd")))</f>
        <v>3rd</v>
      </c>
      <c r="F390" s="1" t="s">
        <v>810</v>
      </c>
      <c r="G390" s="1" t="str">
        <f>TRIM(MID(Titanic_Dataset[[#This Row],[Name]],
FIND(",",Titanic_Dataset[[#This Row],[Name]])+2,
FIND(".",Titanic_Dataset[[#This Row],[Name]],FIND(",",Titanic_Dataset[[#This Row],[Name]]))-FIND(",",Titanic_Dataset[[#This Row],[Name]])-1))</f>
        <v>Mr.</v>
      </c>
      <c r="H390" s="1" t="s">
        <v>13</v>
      </c>
      <c r="I390">
        <v>28</v>
      </c>
      <c r="J39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90">
        <v>0</v>
      </c>
      <c r="L390">
        <v>0</v>
      </c>
      <c r="M390">
        <f>Titanic_Dataset[[#This Row],[Parch]]+Titanic_Dataset[[#This Row],[SibSp]]</f>
        <v>0</v>
      </c>
      <c r="N390" s="1" t="s">
        <v>811</v>
      </c>
      <c r="O390">
        <v>7.7291999999999996</v>
      </c>
      <c r="P390" t="e">
        <f>IF(Titanic_Dataset[[#This Row],[Survived]]=1,Titanic_Dataset[[#This Row],[Fare]],NA())</f>
        <v>#N/A</v>
      </c>
      <c r="Q390">
        <f>IF(Titanic_Dataset[[#This Row],[Survived]]=0,Titanic_Dataset[[#This Row],[Fare]],NA())</f>
        <v>7.7291999999999996</v>
      </c>
      <c r="R390" t="str">
        <f>VLOOKUP(Titanic_Dataset[[#This Row],[Fare]],Table2[],2,TRUE)</f>
        <v>low</v>
      </c>
      <c r="S390" s="1" t="s">
        <v>15</v>
      </c>
      <c r="T390" s="1" t="s">
        <v>31</v>
      </c>
      <c r="U390" s="1"/>
      <c r="V390" s="1"/>
      <c r="W390" s="1"/>
    </row>
    <row r="391" spans="1:23" x14ac:dyDescent="0.25">
      <c r="A391">
        <v>390</v>
      </c>
      <c r="B391">
        <v>1</v>
      </c>
      <c r="C391" t="str">
        <f>IF(Titanic_Dataset[[#This Row],[Survived]]=1,"Survived","Died")</f>
        <v>Survived</v>
      </c>
      <c r="D391">
        <v>2</v>
      </c>
      <c r="E391" t="str">
        <f>IF(Titanic_Dataset[[#This Row],[Pclass]]=1,"1st",IF(Titanic_Dataset[[#This Row],[Pclass]]=2,"2nd",IF(Titanic_Dataset[[#This Row],[Pclass]]=3,"3rd")))</f>
        <v>2nd</v>
      </c>
      <c r="F391" s="1" t="s">
        <v>812</v>
      </c>
      <c r="G391" s="1" t="str">
        <f>TRIM(MID(Titanic_Dataset[[#This Row],[Name]],
FIND(",",Titanic_Dataset[[#This Row],[Name]])+2,
FIND(".",Titanic_Dataset[[#This Row],[Name]],FIND(",",Titanic_Dataset[[#This Row],[Name]]))-FIND(",",Titanic_Dataset[[#This Row],[Name]])-1))</f>
        <v>Miss.</v>
      </c>
      <c r="H391" s="1" t="s">
        <v>18</v>
      </c>
      <c r="I391">
        <v>17</v>
      </c>
      <c r="J391" t="str">
        <f>IF(Titanic_Dataset[[#This Row],[Age]]&lt;12,"0-11",
IF(Titanic_Dataset[[#This Row],[Age]]&lt;20,"12-19",
IF(Titanic_Dataset[[#This Row],[Age]]&lt;30,"20-29",
IF(Titanic_Dataset[[#This Row],[Age]]&lt;40,"30-39",
IF(Titanic_Dataset[[#This Row],[Age]]&lt;50,"40-49",
IF(Titanic_Dataset[[#This Row],[Age]]&lt;60,"50-59",
IF(Titanic_Dataset[[#This Row],[Age]]&lt;70,"60-69",)))))))</f>
        <v>12-19</v>
      </c>
      <c r="K391">
        <v>0</v>
      </c>
      <c r="L391">
        <v>0</v>
      </c>
      <c r="M391">
        <f>Titanic_Dataset[[#This Row],[Parch]]+Titanic_Dataset[[#This Row],[SibSp]]</f>
        <v>0</v>
      </c>
      <c r="N391" s="1" t="s">
        <v>813</v>
      </c>
      <c r="O391">
        <v>12</v>
      </c>
      <c r="P391">
        <f>IF(Titanic_Dataset[[#This Row],[Survived]]=1,Titanic_Dataset[[#This Row],[Fare]],NA())</f>
        <v>12</v>
      </c>
      <c r="Q391" t="e">
        <f>IF(Titanic_Dataset[[#This Row],[Survived]]=0,Titanic_Dataset[[#This Row],[Fare]],NA())</f>
        <v>#N/A</v>
      </c>
      <c r="R391" t="str">
        <f>VLOOKUP(Titanic_Dataset[[#This Row],[Fare]],Table2[],2,TRUE)</f>
        <v>medium</v>
      </c>
      <c r="S391" s="1" t="s">
        <v>15</v>
      </c>
      <c r="T391" s="1" t="s">
        <v>21</v>
      </c>
      <c r="U391" s="1"/>
      <c r="V391" s="1"/>
      <c r="W391" s="1"/>
    </row>
    <row r="392" spans="1:23" x14ac:dyDescent="0.25">
      <c r="A392">
        <v>391</v>
      </c>
      <c r="B392">
        <v>1</v>
      </c>
      <c r="C392" t="str">
        <f>IF(Titanic_Dataset[[#This Row],[Survived]]=1,"Survived","Died")</f>
        <v>Survived</v>
      </c>
      <c r="D392">
        <v>1</v>
      </c>
      <c r="E392" t="str">
        <f>IF(Titanic_Dataset[[#This Row],[Pclass]]=1,"1st",IF(Titanic_Dataset[[#This Row],[Pclass]]=2,"2nd",IF(Titanic_Dataset[[#This Row],[Pclass]]=3,"3rd")))</f>
        <v>1st</v>
      </c>
      <c r="F392" s="1" t="s">
        <v>814</v>
      </c>
      <c r="G392" s="1" t="str">
        <f>TRIM(MID(Titanic_Dataset[[#This Row],[Name]],
FIND(",",Titanic_Dataset[[#This Row],[Name]])+2,
FIND(".",Titanic_Dataset[[#This Row],[Name]],FIND(",",Titanic_Dataset[[#This Row],[Name]]))-FIND(",",Titanic_Dataset[[#This Row],[Name]])-1))</f>
        <v>Mr.</v>
      </c>
      <c r="H392" s="1" t="s">
        <v>13</v>
      </c>
      <c r="I392">
        <v>36</v>
      </c>
      <c r="J392" t="str">
        <f>IF(Titanic_Dataset[[#This Row],[Age]]&lt;12,"0-11",
IF(Titanic_Dataset[[#This Row],[Age]]&lt;20,"12-19",
IF(Titanic_Dataset[[#This Row],[Age]]&lt;30,"20-29",
IF(Titanic_Dataset[[#This Row],[Age]]&lt;40,"30-39",
IF(Titanic_Dataset[[#This Row],[Age]]&lt;50,"40-49",
IF(Titanic_Dataset[[#This Row],[Age]]&lt;60,"50-59",
IF(Titanic_Dataset[[#This Row],[Age]]&lt;70,"60-69",)))))))</f>
        <v>30-39</v>
      </c>
      <c r="K392">
        <v>1</v>
      </c>
      <c r="L392">
        <v>2</v>
      </c>
      <c r="M392">
        <f>Titanic_Dataset[[#This Row],[Parch]]+Titanic_Dataset[[#This Row],[SibSp]]</f>
        <v>3</v>
      </c>
      <c r="N392" s="1" t="s">
        <v>815</v>
      </c>
      <c r="O392">
        <v>120</v>
      </c>
      <c r="P392">
        <f>IF(Titanic_Dataset[[#This Row],[Survived]]=1,Titanic_Dataset[[#This Row],[Fare]],NA())</f>
        <v>120</v>
      </c>
      <c r="Q392" t="e">
        <f>IF(Titanic_Dataset[[#This Row],[Survived]]=0,Titanic_Dataset[[#This Row],[Fare]],NA())</f>
        <v>#N/A</v>
      </c>
      <c r="R392" t="str">
        <f>VLOOKUP(Titanic_Dataset[[#This Row],[Fare]],Table2[],2,TRUE)</f>
        <v>very hiegh</v>
      </c>
      <c r="S392" s="1" t="s">
        <v>816</v>
      </c>
      <c r="T392" s="1" t="s">
        <v>16</v>
      </c>
      <c r="U392" s="1"/>
      <c r="V392" s="1"/>
      <c r="W392" s="1"/>
    </row>
    <row r="393" spans="1:23" x14ac:dyDescent="0.25">
      <c r="A393">
        <v>392</v>
      </c>
      <c r="B393">
        <v>1</v>
      </c>
      <c r="C393" t="str">
        <f>IF(Titanic_Dataset[[#This Row],[Survived]]=1,"Survived","Died")</f>
        <v>Survived</v>
      </c>
      <c r="D393">
        <v>3</v>
      </c>
      <c r="E393" t="str">
        <f>IF(Titanic_Dataset[[#This Row],[Pclass]]=1,"1st",IF(Titanic_Dataset[[#This Row],[Pclass]]=2,"2nd",IF(Titanic_Dataset[[#This Row],[Pclass]]=3,"3rd")))</f>
        <v>3rd</v>
      </c>
      <c r="F393" s="1" t="s">
        <v>817</v>
      </c>
      <c r="G393" s="1" t="str">
        <f>TRIM(MID(Titanic_Dataset[[#This Row],[Name]],
FIND(",",Titanic_Dataset[[#This Row],[Name]])+2,
FIND(".",Titanic_Dataset[[#This Row],[Name]],FIND(",",Titanic_Dataset[[#This Row],[Name]]))-FIND(",",Titanic_Dataset[[#This Row],[Name]])-1))</f>
        <v>Mr.</v>
      </c>
      <c r="H393" s="1" t="s">
        <v>13</v>
      </c>
      <c r="I393">
        <v>21</v>
      </c>
      <c r="J39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93">
        <v>0</v>
      </c>
      <c r="L393">
        <v>0</v>
      </c>
      <c r="M393">
        <f>Titanic_Dataset[[#This Row],[Parch]]+Titanic_Dataset[[#This Row],[SibSp]]</f>
        <v>0</v>
      </c>
      <c r="N393" s="1" t="s">
        <v>818</v>
      </c>
      <c r="O393">
        <v>7.7957999999999998</v>
      </c>
      <c r="P393">
        <f>IF(Titanic_Dataset[[#This Row],[Survived]]=1,Titanic_Dataset[[#This Row],[Fare]],NA())</f>
        <v>7.7957999999999998</v>
      </c>
      <c r="Q393" t="e">
        <f>IF(Titanic_Dataset[[#This Row],[Survived]]=0,Titanic_Dataset[[#This Row],[Fare]],NA())</f>
        <v>#N/A</v>
      </c>
      <c r="R393" t="str">
        <f>VLOOKUP(Titanic_Dataset[[#This Row],[Fare]],Table2[],2,TRUE)</f>
        <v>low</v>
      </c>
      <c r="S393" s="1" t="s">
        <v>15</v>
      </c>
      <c r="T393" s="1" t="s">
        <v>16</v>
      </c>
      <c r="U393" s="1"/>
      <c r="V393" s="1"/>
      <c r="W393" s="1"/>
    </row>
    <row r="394" spans="1:23" x14ac:dyDescent="0.25">
      <c r="A394">
        <v>393</v>
      </c>
      <c r="B394">
        <v>0</v>
      </c>
      <c r="C394" t="str">
        <f>IF(Titanic_Dataset[[#This Row],[Survived]]=1,"Survived","Died")</f>
        <v>Died</v>
      </c>
      <c r="D394">
        <v>3</v>
      </c>
      <c r="E394" t="str">
        <f>IF(Titanic_Dataset[[#This Row],[Pclass]]=1,"1st",IF(Titanic_Dataset[[#This Row],[Pclass]]=2,"2nd",IF(Titanic_Dataset[[#This Row],[Pclass]]=3,"3rd")))</f>
        <v>3rd</v>
      </c>
      <c r="F394" s="1" t="s">
        <v>819</v>
      </c>
      <c r="G394" s="1" t="str">
        <f>TRIM(MID(Titanic_Dataset[[#This Row],[Name]],
FIND(",",Titanic_Dataset[[#This Row],[Name]])+2,
FIND(".",Titanic_Dataset[[#This Row],[Name]],FIND(",",Titanic_Dataset[[#This Row],[Name]]))-FIND(",",Titanic_Dataset[[#This Row],[Name]])-1))</f>
        <v>Mr.</v>
      </c>
      <c r="H394" s="1" t="s">
        <v>13</v>
      </c>
      <c r="I394">
        <v>28</v>
      </c>
      <c r="J39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94">
        <v>2</v>
      </c>
      <c r="L394">
        <v>0</v>
      </c>
      <c r="M394">
        <f>Titanic_Dataset[[#This Row],[Parch]]+Titanic_Dataset[[#This Row],[SibSp]]</f>
        <v>2</v>
      </c>
      <c r="N394" s="1" t="s">
        <v>820</v>
      </c>
      <c r="O394">
        <v>7.9249999999999998</v>
      </c>
      <c r="P394" t="e">
        <f>IF(Titanic_Dataset[[#This Row],[Survived]]=1,Titanic_Dataset[[#This Row],[Fare]],NA())</f>
        <v>#N/A</v>
      </c>
      <c r="Q394">
        <f>IF(Titanic_Dataset[[#This Row],[Survived]]=0,Titanic_Dataset[[#This Row],[Fare]],NA())</f>
        <v>7.9249999999999998</v>
      </c>
      <c r="R394" t="str">
        <f>VLOOKUP(Titanic_Dataset[[#This Row],[Fare]],Table2[],2,TRUE)</f>
        <v>low</v>
      </c>
      <c r="S394" s="1" t="s">
        <v>15</v>
      </c>
      <c r="T394" s="1" t="s">
        <v>16</v>
      </c>
      <c r="U394" s="1"/>
      <c r="V394" s="1"/>
      <c r="W394" s="1"/>
    </row>
    <row r="395" spans="1:23" x14ac:dyDescent="0.25">
      <c r="A395">
        <v>394</v>
      </c>
      <c r="B395">
        <v>1</v>
      </c>
      <c r="C395" t="str">
        <f>IF(Titanic_Dataset[[#This Row],[Survived]]=1,"Survived","Died")</f>
        <v>Survived</v>
      </c>
      <c r="D395">
        <v>1</v>
      </c>
      <c r="E395" t="str">
        <f>IF(Titanic_Dataset[[#This Row],[Pclass]]=1,"1st",IF(Titanic_Dataset[[#This Row],[Pclass]]=2,"2nd",IF(Titanic_Dataset[[#This Row],[Pclass]]=3,"3rd")))</f>
        <v>1st</v>
      </c>
      <c r="F395" s="1" t="s">
        <v>821</v>
      </c>
      <c r="G395" s="1" t="str">
        <f>TRIM(MID(Titanic_Dataset[[#This Row],[Name]],
FIND(",",Titanic_Dataset[[#This Row],[Name]])+2,
FIND(".",Titanic_Dataset[[#This Row],[Name]],FIND(",",Titanic_Dataset[[#This Row],[Name]]))-FIND(",",Titanic_Dataset[[#This Row],[Name]])-1))</f>
        <v>Miss.</v>
      </c>
      <c r="H395" s="1" t="s">
        <v>18</v>
      </c>
      <c r="I395">
        <v>23</v>
      </c>
      <c r="J39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95">
        <v>1</v>
      </c>
      <c r="L395">
        <v>0</v>
      </c>
      <c r="M395">
        <f>Titanic_Dataset[[#This Row],[Parch]]+Titanic_Dataset[[#This Row],[SibSp]]</f>
        <v>1</v>
      </c>
      <c r="N395" s="1" t="s">
        <v>464</v>
      </c>
      <c r="O395">
        <v>113.27500000000001</v>
      </c>
      <c r="P395">
        <f>IF(Titanic_Dataset[[#This Row],[Survived]]=1,Titanic_Dataset[[#This Row],[Fare]],NA())</f>
        <v>113.27500000000001</v>
      </c>
      <c r="Q395" t="e">
        <f>IF(Titanic_Dataset[[#This Row],[Survived]]=0,Titanic_Dataset[[#This Row],[Fare]],NA())</f>
        <v>#N/A</v>
      </c>
      <c r="R395" t="str">
        <f>VLOOKUP(Titanic_Dataset[[#This Row],[Fare]],Table2[],2,TRUE)</f>
        <v>very hiegh</v>
      </c>
      <c r="S395" s="1" t="s">
        <v>465</v>
      </c>
      <c r="T395" s="1" t="s">
        <v>21</v>
      </c>
      <c r="U395" s="1"/>
      <c r="V395" s="1"/>
      <c r="W395" s="1"/>
    </row>
    <row r="396" spans="1:23" x14ac:dyDescent="0.25">
      <c r="A396">
        <v>395</v>
      </c>
      <c r="B396">
        <v>1</v>
      </c>
      <c r="C396" t="str">
        <f>IF(Titanic_Dataset[[#This Row],[Survived]]=1,"Survived","Died")</f>
        <v>Survived</v>
      </c>
      <c r="D396">
        <v>3</v>
      </c>
      <c r="E396" t="str">
        <f>IF(Titanic_Dataset[[#This Row],[Pclass]]=1,"1st",IF(Titanic_Dataset[[#This Row],[Pclass]]=2,"2nd",IF(Titanic_Dataset[[#This Row],[Pclass]]=3,"3rd")))</f>
        <v>3rd</v>
      </c>
      <c r="F396" s="1" t="s">
        <v>822</v>
      </c>
      <c r="G396" s="1" t="str">
        <f>TRIM(MID(Titanic_Dataset[[#This Row],[Name]],
FIND(",",Titanic_Dataset[[#This Row],[Name]])+2,
FIND(".",Titanic_Dataset[[#This Row],[Name]],FIND(",",Titanic_Dataset[[#This Row],[Name]]))-FIND(",",Titanic_Dataset[[#This Row],[Name]])-1))</f>
        <v>Mrs.</v>
      </c>
      <c r="H396" s="1" t="s">
        <v>18</v>
      </c>
      <c r="I396">
        <v>24</v>
      </c>
      <c r="J39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96">
        <v>0</v>
      </c>
      <c r="L396">
        <v>2</v>
      </c>
      <c r="M396">
        <f>Titanic_Dataset[[#This Row],[Parch]]+Titanic_Dataset[[#This Row],[SibSp]]</f>
        <v>2</v>
      </c>
      <c r="N396" s="1" t="s">
        <v>42</v>
      </c>
      <c r="O396">
        <v>16.7</v>
      </c>
      <c r="P396">
        <f>IF(Titanic_Dataset[[#This Row],[Survived]]=1,Titanic_Dataset[[#This Row],[Fare]],NA())</f>
        <v>16.7</v>
      </c>
      <c r="Q396" t="e">
        <f>IF(Titanic_Dataset[[#This Row],[Survived]]=0,Titanic_Dataset[[#This Row],[Fare]],NA())</f>
        <v>#N/A</v>
      </c>
      <c r="R396" t="str">
        <f>VLOOKUP(Titanic_Dataset[[#This Row],[Fare]],Table2[],2,TRUE)</f>
        <v>high</v>
      </c>
      <c r="S396" s="1" t="s">
        <v>43</v>
      </c>
      <c r="T396" s="1" t="s">
        <v>16</v>
      </c>
      <c r="U396" s="1"/>
      <c r="V396" s="1"/>
      <c r="W396" s="1"/>
    </row>
    <row r="397" spans="1:23" x14ac:dyDescent="0.25">
      <c r="A397">
        <v>396</v>
      </c>
      <c r="B397">
        <v>0</v>
      </c>
      <c r="C397" t="str">
        <f>IF(Titanic_Dataset[[#This Row],[Survived]]=1,"Survived","Died")</f>
        <v>Died</v>
      </c>
      <c r="D397">
        <v>3</v>
      </c>
      <c r="E397" t="str">
        <f>IF(Titanic_Dataset[[#This Row],[Pclass]]=1,"1st",IF(Titanic_Dataset[[#This Row],[Pclass]]=2,"2nd",IF(Titanic_Dataset[[#This Row],[Pclass]]=3,"3rd")))</f>
        <v>3rd</v>
      </c>
      <c r="F397" s="1" t="s">
        <v>823</v>
      </c>
      <c r="G397" s="1" t="str">
        <f>TRIM(MID(Titanic_Dataset[[#This Row],[Name]],
FIND(",",Titanic_Dataset[[#This Row],[Name]])+2,
FIND(".",Titanic_Dataset[[#This Row],[Name]],FIND(",",Titanic_Dataset[[#This Row],[Name]]))-FIND(",",Titanic_Dataset[[#This Row],[Name]])-1))</f>
        <v>Mr.</v>
      </c>
      <c r="H397" s="1" t="s">
        <v>13</v>
      </c>
      <c r="I397">
        <v>22</v>
      </c>
      <c r="J39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397">
        <v>0</v>
      </c>
      <c r="L397">
        <v>0</v>
      </c>
      <c r="M397">
        <f>Titanic_Dataset[[#This Row],[Parch]]+Titanic_Dataset[[#This Row],[SibSp]]</f>
        <v>0</v>
      </c>
      <c r="N397" s="1" t="s">
        <v>824</v>
      </c>
      <c r="O397">
        <v>7.7957999999999998</v>
      </c>
      <c r="P397" t="e">
        <f>IF(Titanic_Dataset[[#This Row],[Survived]]=1,Titanic_Dataset[[#This Row],[Fare]],NA())</f>
        <v>#N/A</v>
      </c>
      <c r="Q397">
        <f>IF(Titanic_Dataset[[#This Row],[Survived]]=0,Titanic_Dataset[[#This Row],[Fare]],NA())</f>
        <v>7.7957999999999998</v>
      </c>
      <c r="R397" t="str">
        <f>VLOOKUP(Titanic_Dataset[[#This Row],[Fare]],Table2[],2,TRUE)</f>
        <v>low</v>
      </c>
      <c r="S397" s="1" t="s">
        <v>15</v>
      </c>
      <c r="T397" s="1" t="s">
        <v>16</v>
      </c>
      <c r="U397" s="1"/>
      <c r="V397" s="1"/>
      <c r="W397" s="1"/>
    </row>
    <row r="398" spans="1:23" x14ac:dyDescent="0.25">
      <c r="A398">
        <v>397</v>
      </c>
      <c r="B398">
        <v>0</v>
      </c>
      <c r="C398" t="str">
        <f>IF(Titanic_Dataset[[#This Row],[Survived]]=1,"Survived","Died")</f>
        <v>Died</v>
      </c>
      <c r="D398">
        <v>3</v>
      </c>
      <c r="E398" t="str">
        <f>IF(Titanic_Dataset[[#This Row],[Pclass]]=1,"1st",IF(Titanic_Dataset[[#This Row],[Pclass]]=2,"2nd",IF(Titanic_Dataset[[#This Row],[Pclass]]=3,"3rd")))</f>
        <v>3rd</v>
      </c>
      <c r="F398" s="1" t="s">
        <v>825</v>
      </c>
      <c r="G398" s="1" t="str">
        <f>TRIM(MID(Titanic_Dataset[[#This Row],[Name]],
FIND(",",Titanic_Dataset[[#This Row],[Name]])+2,
FIND(".",Titanic_Dataset[[#This Row],[Name]],FIND(",",Titanic_Dataset[[#This Row],[Name]]))-FIND(",",Titanic_Dataset[[#This Row],[Name]])-1))</f>
        <v>Miss.</v>
      </c>
      <c r="H398" s="1" t="s">
        <v>18</v>
      </c>
      <c r="I398">
        <v>31</v>
      </c>
      <c r="J398" t="str">
        <f>IF(Titanic_Dataset[[#This Row],[Age]]&lt;12,"0-11",
IF(Titanic_Dataset[[#This Row],[Age]]&lt;20,"12-19",
IF(Titanic_Dataset[[#This Row],[Age]]&lt;30,"20-29",
IF(Titanic_Dataset[[#This Row],[Age]]&lt;40,"30-39",
IF(Titanic_Dataset[[#This Row],[Age]]&lt;50,"40-49",
IF(Titanic_Dataset[[#This Row],[Age]]&lt;60,"50-59",
IF(Titanic_Dataset[[#This Row],[Age]]&lt;70,"60-69",)))))))</f>
        <v>30-39</v>
      </c>
      <c r="K398">
        <v>0</v>
      </c>
      <c r="L398">
        <v>0</v>
      </c>
      <c r="M398">
        <f>Titanic_Dataset[[#This Row],[Parch]]+Titanic_Dataset[[#This Row],[SibSp]]</f>
        <v>0</v>
      </c>
      <c r="N398" s="1" t="s">
        <v>826</v>
      </c>
      <c r="O398">
        <v>7.8541999999999996</v>
      </c>
      <c r="P398" t="e">
        <f>IF(Titanic_Dataset[[#This Row],[Survived]]=1,Titanic_Dataset[[#This Row],[Fare]],NA())</f>
        <v>#N/A</v>
      </c>
      <c r="Q398">
        <f>IF(Titanic_Dataset[[#This Row],[Survived]]=0,Titanic_Dataset[[#This Row],[Fare]],NA())</f>
        <v>7.8541999999999996</v>
      </c>
      <c r="R398" t="str">
        <f>VLOOKUP(Titanic_Dataset[[#This Row],[Fare]],Table2[],2,TRUE)</f>
        <v>low</v>
      </c>
      <c r="S398" s="1" t="s">
        <v>15</v>
      </c>
      <c r="T398" s="1" t="s">
        <v>16</v>
      </c>
      <c r="U398" s="1"/>
      <c r="V398" s="1"/>
      <c r="W398" s="1"/>
    </row>
    <row r="399" spans="1:23" x14ac:dyDescent="0.25">
      <c r="A399">
        <v>398</v>
      </c>
      <c r="B399">
        <v>0</v>
      </c>
      <c r="C399" t="str">
        <f>IF(Titanic_Dataset[[#This Row],[Survived]]=1,"Survived","Died")</f>
        <v>Died</v>
      </c>
      <c r="D399">
        <v>2</v>
      </c>
      <c r="E399" t="str">
        <f>IF(Titanic_Dataset[[#This Row],[Pclass]]=1,"1st",IF(Titanic_Dataset[[#This Row],[Pclass]]=2,"2nd",IF(Titanic_Dataset[[#This Row],[Pclass]]=3,"3rd")))</f>
        <v>2nd</v>
      </c>
      <c r="F399" s="1" t="s">
        <v>827</v>
      </c>
      <c r="G399" s="1" t="str">
        <f>TRIM(MID(Titanic_Dataset[[#This Row],[Name]],
FIND(",",Titanic_Dataset[[#This Row],[Name]])+2,
FIND(".",Titanic_Dataset[[#This Row],[Name]],FIND(",",Titanic_Dataset[[#This Row],[Name]]))-FIND(",",Titanic_Dataset[[#This Row],[Name]])-1))</f>
        <v>Mr.</v>
      </c>
      <c r="H399" s="1" t="s">
        <v>13</v>
      </c>
      <c r="I399">
        <v>46</v>
      </c>
      <c r="J399" t="str">
        <f>IF(Titanic_Dataset[[#This Row],[Age]]&lt;12,"0-11",
IF(Titanic_Dataset[[#This Row],[Age]]&lt;20,"12-19",
IF(Titanic_Dataset[[#This Row],[Age]]&lt;30,"20-29",
IF(Titanic_Dataset[[#This Row],[Age]]&lt;40,"30-39",
IF(Titanic_Dataset[[#This Row],[Age]]&lt;50,"40-49",
IF(Titanic_Dataset[[#This Row],[Age]]&lt;60,"50-59",
IF(Titanic_Dataset[[#This Row],[Age]]&lt;70,"60-69",)))))))</f>
        <v>40-49</v>
      </c>
      <c r="K399">
        <v>0</v>
      </c>
      <c r="L399">
        <v>0</v>
      </c>
      <c r="M399">
        <f>Titanic_Dataset[[#This Row],[Parch]]+Titanic_Dataset[[#This Row],[SibSp]]</f>
        <v>0</v>
      </c>
      <c r="N399" s="1" t="s">
        <v>828</v>
      </c>
      <c r="O399">
        <v>26</v>
      </c>
      <c r="P399" t="e">
        <f>IF(Titanic_Dataset[[#This Row],[Survived]]=1,Titanic_Dataset[[#This Row],[Fare]],NA())</f>
        <v>#N/A</v>
      </c>
      <c r="Q399">
        <f>IF(Titanic_Dataset[[#This Row],[Survived]]=0,Titanic_Dataset[[#This Row],[Fare]],NA())</f>
        <v>26</v>
      </c>
      <c r="R399" t="str">
        <f>VLOOKUP(Titanic_Dataset[[#This Row],[Fare]],Table2[],2,TRUE)</f>
        <v>high</v>
      </c>
      <c r="S399" s="1" t="s">
        <v>15</v>
      </c>
      <c r="T399" s="1" t="s">
        <v>16</v>
      </c>
      <c r="U399" s="1"/>
      <c r="V399" s="1"/>
      <c r="W399" s="1"/>
    </row>
    <row r="400" spans="1:23" x14ac:dyDescent="0.25">
      <c r="A400">
        <v>399</v>
      </c>
      <c r="B400">
        <v>0</v>
      </c>
      <c r="C400" t="str">
        <f>IF(Titanic_Dataset[[#This Row],[Survived]]=1,"Survived","Died")</f>
        <v>Died</v>
      </c>
      <c r="D400">
        <v>2</v>
      </c>
      <c r="E400" t="str">
        <f>IF(Titanic_Dataset[[#This Row],[Pclass]]=1,"1st",IF(Titanic_Dataset[[#This Row],[Pclass]]=2,"2nd",IF(Titanic_Dataset[[#This Row],[Pclass]]=3,"3rd")))</f>
        <v>2nd</v>
      </c>
      <c r="F400" s="1" t="s">
        <v>829</v>
      </c>
      <c r="G400" s="1" t="str">
        <f>TRIM(MID(Titanic_Dataset[[#This Row],[Name]],
FIND(",",Titanic_Dataset[[#This Row],[Name]])+2,
FIND(".",Titanic_Dataset[[#This Row],[Name]],FIND(",",Titanic_Dataset[[#This Row],[Name]]))-FIND(",",Titanic_Dataset[[#This Row],[Name]])-1))</f>
        <v>Dr.</v>
      </c>
      <c r="H400" s="1" t="s">
        <v>13</v>
      </c>
      <c r="I400">
        <v>23</v>
      </c>
      <c r="J40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00">
        <v>0</v>
      </c>
      <c r="L400">
        <v>0</v>
      </c>
      <c r="M400">
        <f>Titanic_Dataset[[#This Row],[Parch]]+Titanic_Dataset[[#This Row],[SibSp]]</f>
        <v>0</v>
      </c>
      <c r="N400" s="1" t="s">
        <v>830</v>
      </c>
      <c r="O400">
        <v>10.5</v>
      </c>
      <c r="P400" t="e">
        <f>IF(Titanic_Dataset[[#This Row],[Survived]]=1,Titanic_Dataset[[#This Row],[Fare]],NA())</f>
        <v>#N/A</v>
      </c>
      <c r="Q400">
        <f>IF(Titanic_Dataset[[#This Row],[Survived]]=0,Titanic_Dataset[[#This Row],[Fare]],NA())</f>
        <v>10.5</v>
      </c>
      <c r="R400" t="str">
        <f>VLOOKUP(Titanic_Dataset[[#This Row],[Fare]],Table2[],2,TRUE)</f>
        <v>medium</v>
      </c>
      <c r="S400" s="1" t="s">
        <v>15</v>
      </c>
      <c r="T400" s="1" t="s">
        <v>16</v>
      </c>
      <c r="U400" s="1"/>
      <c r="V400" s="1"/>
      <c r="W400" s="1"/>
    </row>
    <row r="401" spans="1:23" x14ac:dyDescent="0.25">
      <c r="A401">
        <v>400</v>
      </c>
      <c r="B401">
        <v>1</v>
      </c>
      <c r="C401" t="str">
        <f>IF(Titanic_Dataset[[#This Row],[Survived]]=1,"Survived","Died")</f>
        <v>Survived</v>
      </c>
      <c r="D401">
        <v>2</v>
      </c>
      <c r="E401" t="str">
        <f>IF(Titanic_Dataset[[#This Row],[Pclass]]=1,"1st",IF(Titanic_Dataset[[#This Row],[Pclass]]=2,"2nd",IF(Titanic_Dataset[[#This Row],[Pclass]]=3,"3rd")))</f>
        <v>2nd</v>
      </c>
      <c r="F401" s="1" t="s">
        <v>831</v>
      </c>
      <c r="G401" s="1" t="str">
        <f>TRIM(MID(Titanic_Dataset[[#This Row],[Name]],
FIND(",",Titanic_Dataset[[#This Row],[Name]])+2,
FIND(".",Titanic_Dataset[[#This Row],[Name]],FIND(",",Titanic_Dataset[[#This Row],[Name]]))-FIND(",",Titanic_Dataset[[#This Row],[Name]])-1))</f>
        <v>Mrs.</v>
      </c>
      <c r="H401" s="1" t="s">
        <v>18</v>
      </c>
      <c r="I401">
        <v>28</v>
      </c>
      <c r="J40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01">
        <v>0</v>
      </c>
      <c r="L401">
        <v>0</v>
      </c>
      <c r="M401">
        <f>Titanic_Dataset[[#This Row],[Parch]]+Titanic_Dataset[[#This Row],[SibSp]]</f>
        <v>0</v>
      </c>
      <c r="N401" s="1" t="s">
        <v>832</v>
      </c>
      <c r="O401">
        <v>12.65</v>
      </c>
      <c r="P401">
        <f>IF(Titanic_Dataset[[#This Row],[Survived]]=1,Titanic_Dataset[[#This Row],[Fare]],NA())</f>
        <v>12.65</v>
      </c>
      <c r="Q401" t="e">
        <f>IF(Titanic_Dataset[[#This Row],[Survived]]=0,Titanic_Dataset[[#This Row],[Fare]],NA())</f>
        <v>#N/A</v>
      </c>
      <c r="R401" t="str">
        <f>VLOOKUP(Titanic_Dataset[[#This Row],[Fare]],Table2[],2,TRUE)</f>
        <v>medium</v>
      </c>
      <c r="S401" s="1" t="s">
        <v>15</v>
      </c>
      <c r="T401" s="1" t="s">
        <v>16</v>
      </c>
      <c r="U401" s="1"/>
      <c r="V401" s="1"/>
      <c r="W401" s="1"/>
    </row>
    <row r="402" spans="1:23" x14ac:dyDescent="0.25">
      <c r="A402">
        <v>401</v>
      </c>
      <c r="B402">
        <v>1</v>
      </c>
      <c r="C402" t="str">
        <f>IF(Titanic_Dataset[[#This Row],[Survived]]=1,"Survived","Died")</f>
        <v>Survived</v>
      </c>
      <c r="D402">
        <v>3</v>
      </c>
      <c r="E402" t="str">
        <f>IF(Titanic_Dataset[[#This Row],[Pclass]]=1,"1st",IF(Titanic_Dataset[[#This Row],[Pclass]]=2,"2nd",IF(Titanic_Dataset[[#This Row],[Pclass]]=3,"3rd")))</f>
        <v>3rd</v>
      </c>
      <c r="F402" s="1" t="s">
        <v>833</v>
      </c>
      <c r="G402" s="1" t="str">
        <f>TRIM(MID(Titanic_Dataset[[#This Row],[Name]],
FIND(",",Titanic_Dataset[[#This Row],[Name]])+2,
FIND(".",Titanic_Dataset[[#This Row],[Name]],FIND(",",Titanic_Dataset[[#This Row],[Name]]))-FIND(",",Titanic_Dataset[[#This Row],[Name]])-1))</f>
        <v>Mr.</v>
      </c>
      <c r="H402" s="1" t="s">
        <v>13</v>
      </c>
      <c r="I402">
        <v>39</v>
      </c>
      <c r="J402" t="str">
        <f>IF(Titanic_Dataset[[#This Row],[Age]]&lt;12,"0-11",
IF(Titanic_Dataset[[#This Row],[Age]]&lt;20,"12-19",
IF(Titanic_Dataset[[#This Row],[Age]]&lt;30,"20-29",
IF(Titanic_Dataset[[#This Row],[Age]]&lt;40,"30-39",
IF(Titanic_Dataset[[#This Row],[Age]]&lt;50,"40-49",
IF(Titanic_Dataset[[#This Row],[Age]]&lt;60,"50-59",
IF(Titanic_Dataset[[#This Row],[Age]]&lt;70,"60-69",)))))))</f>
        <v>30-39</v>
      </c>
      <c r="K402">
        <v>0</v>
      </c>
      <c r="L402">
        <v>0</v>
      </c>
      <c r="M402">
        <f>Titanic_Dataset[[#This Row],[Parch]]+Titanic_Dataset[[#This Row],[SibSp]]</f>
        <v>0</v>
      </c>
      <c r="N402" s="1" t="s">
        <v>834</v>
      </c>
      <c r="O402">
        <v>7.9249999999999998</v>
      </c>
      <c r="P402">
        <f>IF(Titanic_Dataset[[#This Row],[Survived]]=1,Titanic_Dataset[[#This Row],[Fare]],NA())</f>
        <v>7.9249999999999998</v>
      </c>
      <c r="Q402" t="e">
        <f>IF(Titanic_Dataset[[#This Row],[Survived]]=0,Titanic_Dataset[[#This Row],[Fare]],NA())</f>
        <v>#N/A</v>
      </c>
      <c r="R402" t="str">
        <f>VLOOKUP(Titanic_Dataset[[#This Row],[Fare]],Table2[],2,TRUE)</f>
        <v>low</v>
      </c>
      <c r="S402" s="1" t="s">
        <v>15</v>
      </c>
      <c r="T402" s="1" t="s">
        <v>16</v>
      </c>
      <c r="U402" s="1"/>
      <c r="V402" s="1"/>
      <c r="W402" s="1"/>
    </row>
    <row r="403" spans="1:23" x14ac:dyDescent="0.25">
      <c r="A403">
        <v>402</v>
      </c>
      <c r="B403">
        <v>0</v>
      </c>
      <c r="C403" t="str">
        <f>IF(Titanic_Dataset[[#This Row],[Survived]]=1,"Survived","Died")</f>
        <v>Died</v>
      </c>
      <c r="D403">
        <v>3</v>
      </c>
      <c r="E403" t="str">
        <f>IF(Titanic_Dataset[[#This Row],[Pclass]]=1,"1st",IF(Titanic_Dataset[[#This Row],[Pclass]]=2,"2nd",IF(Titanic_Dataset[[#This Row],[Pclass]]=3,"3rd")))</f>
        <v>3rd</v>
      </c>
      <c r="F403" s="1" t="s">
        <v>835</v>
      </c>
      <c r="G403" s="1" t="str">
        <f>TRIM(MID(Titanic_Dataset[[#This Row],[Name]],
FIND(",",Titanic_Dataset[[#This Row],[Name]])+2,
FIND(".",Titanic_Dataset[[#This Row],[Name]],FIND(",",Titanic_Dataset[[#This Row],[Name]]))-FIND(",",Titanic_Dataset[[#This Row],[Name]])-1))</f>
        <v>Mr.</v>
      </c>
      <c r="H403" s="1" t="s">
        <v>13</v>
      </c>
      <c r="I403">
        <v>26</v>
      </c>
      <c r="J40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03">
        <v>0</v>
      </c>
      <c r="L403">
        <v>0</v>
      </c>
      <c r="M403">
        <f>Titanic_Dataset[[#This Row],[Parch]]+Titanic_Dataset[[#This Row],[SibSp]]</f>
        <v>0</v>
      </c>
      <c r="N403" s="1" t="s">
        <v>836</v>
      </c>
      <c r="O403">
        <v>8.0500000000000007</v>
      </c>
      <c r="P403" t="e">
        <f>IF(Titanic_Dataset[[#This Row],[Survived]]=1,Titanic_Dataset[[#This Row],[Fare]],NA())</f>
        <v>#N/A</v>
      </c>
      <c r="Q403">
        <f>IF(Titanic_Dataset[[#This Row],[Survived]]=0,Titanic_Dataset[[#This Row],[Fare]],NA())</f>
        <v>8.0500000000000007</v>
      </c>
      <c r="R403" t="str">
        <f>VLOOKUP(Titanic_Dataset[[#This Row],[Fare]],Table2[],2,TRUE)</f>
        <v>medium</v>
      </c>
      <c r="S403" s="1" t="s">
        <v>15</v>
      </c>
      <c r="T403" s="1" t="s">
        <v>16</v>
      </c>
      <c r="U403" s="1"/>
      <c r="V403" s="1"/>
      <c r="W403" s="1"/>
    </row>
    <row r="404" spans="1:23" x14ac:dyDescent="0.25">
      <c r="A404">
        <v>403</v>
      </c>
      <c r="B404">
        <v>0</v>
      </c>
      <c r="C404" t="str">
        <f>IF(Titanic_Dataset[[#This Row],[Survived]]=1,"Survived","Died")</f>
        <v>Died</v>
      </c>
      <c r="D404">
        <v>3</v>
      </c>
      <c r="E404" t="str">
        <f>IF(Titanic_Dataset[[#This Row],[Pclass]]=1,"1st",IF(Titanic_Dataset[[#This Row],[Pclass]]=2,"2nd",IF(Titanic_Dataset[[#This Row],[Pclass]]=3,"3rd")))</f>
        <v>3rd</v>
      </c>
      <c r="F404" s="1" t="s">
        <v>837</v>
      </c>
      <c r="G404" s="1" t="str">
        <f>TRIM(MID(Titanic_Dataset[[#This Row],[Name]],
FIND(",",Titanic_Dataset[[#This Row],[Name]])+2,
FIND(".",Titanic_Dataset[[#This Row],[Name]],FIND(",",Titanic_Dataset[[#This Row],[Name]]))-FIND(",",Titanic_Dataset[[#This Row],[Name]])-1))</f>
        <v>Miss.</v>
      </c>
      <c r="H404" s="1" t="s">
        <v>18</v>
      </c>
      <c r="I404">
        <v>21</v>
      </c>
      <c r="J40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04">
        <v>1</v>
      </c>
      <c r="L404">
        <v>0</v>
      </c>
      <c r="M404">
        <f>Titanic_Dataset[[#This Row],[Parch]]+Titanic_Dataset[[#This Row],[SibSp]]</f>
        <v>1</v>
      </c>
      <c r="N404" s="1" t="s">
        <v>838</v>
      </c>
      <c r="O404">
        <v>9.8249999999999993</v>
      </c>
      <c r="P404" t="e">
        <f>IF(Titanic_Dataset[[#This Row],[Survived]]=1,Titanic_Dataset[[#This Row],[Fare]],NA())</f>
        <v>#N/A</v>
      </c>
      <c r="Q404">
        <f>IF(Titanic_Dataset[[#This Row],[Survived]]=0,Titanic_Dataset[[#This Row],[Fare]],NA())</f>
        <v>9.8249999999999993</v>
      </c>
      <c r="R404" t="str">
        <f>VLOOKUP(Titanic_Dataset[[#This Row],[Fare]],Table2[],2,TRUE)</f>
        <v>medium</v>
      </c>
      <c r="S404" s="1" t="s">
        <v>15</v>
      </c>
      <c r="T404" s="1" t="s">
        <v>16</v>
      </c>
      <c r="U404" s="1"/>
      <c r="V404" s="1"/>
      <c r="W404" s="1"/>
    </row>
    <row r="405" spans="1:23" x14ac:dyDescent="0.25">
      <c r="A405">
        <v>404</v>
      </c>
      <c r="B405">
        <v>0</v>
      </c>
      <c r="C405" t="str">
        <f>IF(Titanic_Dataset[[#This Row],[Survived]]=1,"Survived","Died")</f>
        <v>Died</v>
      </c>
      <c r="D405">
        <v>3</v>
      </c>
      <c r="E405" t="str">
        <f>IF(Titanic_Dataset[[#This Row],[Pclass]]=1,"1st",IF(Titanic_Dataset[[#This Row],[Pclass]]=2,"2nd",IF(Titanic_Dataset[[#This Row],[Pclass]]=3,"3rd")))</f>
        <v>3rd</v>
      </c>
      <c r="F405" s="1" t="s">
        <v>839</v>
      </c>
      <c r="G405" s="1" t="str">
        <f>TRIM(MID(Titanic_Dataset[[#This Row],[Name]],
FIND(",",Titanic_Dataset[[#This Row],[Name]])+2,
FIND(".",Titanic_Dataset[[#This Row],[Name]],FIND(",",Titanic_Dataset[[#This Row],[Name]]))-FIND(",",Titanic_Dataset[[#This Row],[Name]])-1))</f>
        <v>Mr.</v>
      </c>
      <c r="H405" s="1" t="s">
        <v>13</v>
      </c>
      <c r="I405">
        <v>28</v>
      </c>
      <c r="J40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05">
        <v>1</v>
      </c>
      <c r="L405">
        <v>0</v>
      </c>
      <c r="M405">
        <f>Titanic_Dataset[[#This Row],[Parch]]+Titanic_Dataset[[#This Row],[SibSp]]</f>
        <v>1</v>
      </c>
      <c r="N405" s="1" t="s">
        <v>319</v>
      </c>
      <c r="O405">
        <v>15.85</v>
      </c>
      <c r="P405" t="e">
        <f>IF(Titanic_Dataset[[#This Row],[Survived]]=1,Titanic_Dataset[[#This Row],[Fare]],NA())</f>
        <v>#N/A</v>
      </c>
      <c r="Q405">
        <f>IF(Titanic_Dataset[[#This Row],[Survived]]=0,Titanic_Dataset[[#This Row],[Fare]],NA())</f>
        <v>15.85</v>
      </c>
      <c r="R405" t="str">
        <f>VLOOKUP(Titanic_Dataset[[#This Row],[Fare]],Table2[],2,TRUE)</f>
        <v>high</v>
      </c>
      <c r="S405" s="1" t="s">
        <v>15</v>
      </c>
      <c r="T405" s="1" t="s">
        <v>16</v>
      </c>
      <c r="U405" s="1"/>
      <c r="V405" s="1"/>
      <c r="W405" s="1"/>
    </row>
    <row r="406" spans="1:23" x14ac:dyDescent="0.25">
      <c r="A406">
        <v>405</v>
      </c>
      <c r="B406">
        <v>0</v>
      </c>
      <c r="C406" t="str">
        <f>IF(Titanic_Dataset[[#This Row],[Survived]]=1,"Survived","Died")</f>
        <v>Died</v>
      </c>
      <c r="D406">
        <v>3</v>
      </c>
      <c r="E406" t="str">
        <f>IF(Titanic_Dataset[[#This Row],[Pclass]]=1,"1st",IF(Titanic_Dataset[[#This Row],[Pclass]]=2,"2nd",IF(Titanic_Dataset[[#This Row],[Pclass]]=3,"3rd")))</f>
        <v>3rd</v>
      </c>
      <c r="F406" s="1" t="s">
        <v>840</v>
      </c>
      <c r="G406" s="1" t="str">
        <f>TRIM(MID(Titanic_Dataset[[#This Row],[Name]],
FIND(",",Titanic_Dataset[[#This Row],[Name]])+2,
FIND(".",Titanic_Dataset[[#This Row],[Name]],FIND(",",Titanic_Dataset[[#This Row],[Name]]))-FIND(",",Titanic_Dataset[[#This Row],[Name]])-1))</f>
        <v>Miss.</v>
      </c>
      <c r="H406" s="1" t="s">
        <v>18</v>
      </c>
      <c r="I406">
        <v>20</v>
      </c>
      <c r="J40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06">
        <v>0</v>
      </c>
      <c r="L406">
        <v>0</v>
      </c>
      <c r="M406">
        <f>Titanic_Dataset[[#This Row],[Parch]]+Titanic_Dataset[[#This Row],[SibSp]]</f>
        <v>0</v>
      </c>
      <c r="N406" s="1" t="s">
        <v>841</v>
      </c>
      <c r="O406">
        <v>8.6624999999999996</v>
      </c>
      <c r="P406" t="e">
        <f>IF(Titanic_Dataset[[#This Row],[Survived]]=1,Titanic_Dataset[[#This Row],[Fare]],NA())</f>
        <v>#N/A</v>
      </c>
      <c r="Q406">
        <f>IF(Titanic_Dataset[[#This Row],[Survived]]=0,Titanic_Dataset[[#This Row],[Fare]],NA())</f>
        <v>8.6624999999999996</v>
      </c>
      <c r="R406" t="str">
        <f>VLOOKUP(Titanic_Dataset[[#This Row],[Fare]],Table2[],2,TRUE)</f>
        <v>medium</v>
      </c>
      <c r="S406" s="1" t="s">
        <v>15</v>
      </c>
      <c r="T406" s="1" t="s">
        <v>16</v>
      </c>
      <c r="U406" s="1"/>
      <c r="V406" s="1"/>
      <c r="W406" s="1"/>
    </row>
    <row r="407" spans="1:23" x14ac:dyDescent="0.25">
      <c r="A407">
        <v>406</v>
      </c>
      <c r="B407">
        <v>0</v>
      </c>
      <c r="C407" t="str">
        <f>IF(Titanic_Dataset[[#This Row],[Survived]]=1,"Survived","Died")</f>
        <v>Died</v>
      </c>
      <c r="D407">
        <v>2</v>
      </c>
      <c r="E407" t="str">
        <f>IF(Titanic_Dataset[[#This Row],[Pclass]]=1,"1st",IF(Titanic_Dataset[[#This Row],[Pclass]]=2,"2nd",IF(Titanic_Dataset[[#This Row],[Pclass]]=3,"3rd")))</f>
        <v>2nd</v>
      </c>
      <c r="F407" s="1" t="s">
        <v>842</v>
      </c>
      <c r="G407" s="1" t="str">
        <f>TRIM(MID(Titanic_Dataset[[#This Row],[Name]],
FIND(",",Titanic_Dataset[[#This Row],[Name]])+2,
FIND(".",Titanic_Dataset[[#This Row],[Name]],FIND(",",Titanic_Dataset[[#This Row],[Name]]))-FIND(",",Titanic_Dataset[[#This Row],[Name]])-1))</f>
        <v>Mr.</v>
      </c>
      <c r="H407" s="1" t="s">
        <v>13</v>
      </c>
      <c r="I407">
        <v>34</v>
      </c>
      <c r="J407" t="str">
        <f>IF(Titanic_Dataset[[#This Row],[Age]]&lt;12,"0-11",
IF(Titanic_Dataset[[#This Row],[Age]]&lt;20,"12-19",
IF(Titanic_Dataset[[#This Row],[Age]]&lt;30,"20-29",
IF(Titanic_Dataset[[#This Row],[Age]]&lt;40,"30-39",
IF(Titanic_Dataset[[#This Row],[Age]]&lt;50,"40-49",
IF(Titanic_Dataset[[#This Row],[Age]]&lt;60,"50-59",
IF(Titanic_Dataset[[#This Row],[Age]]&lt;70,"60-69",)))))))</f>
        <v>30-39</v>
      </c>
      <c r="K407">
        <v>1</v>
      </c>
      <c r="L407">
        <v>0</v>
      </c>
      <c r="M407">
        <f>Titanic_Dataset[[#This Row],[Parch]]+Titanic_Dataset[[#This Row],[SibSp]]</f>
        <v>1</v>
      </c>
      <c r="N407" s="1" t="s">
        <v>843</v>
      </c>
      <c r="O407">
        <v>21</v>
      </c>
      <c r="P407" t="e">
        <f>IF(Titanic_Dataset[[#This Row],[Survived]]=1,Titanic_Dataset[[#This Row],[Fare]],NA())</f>
        <v>#N/A</v>
      </c>
      <c r="Q407">
        <f>IF(Titanic_Dataset[[#This Row],[Survived]]=0,Titanic_Dataset[[#This Row],[Fare]],NA())</f>
        <v>21</v>
      </c>
      <c r="R407" t="str">
        <f>VLOOKUP(Titanic_Dataset[[#This Row],[Fare]],Table2[],2,TRUE)</f>
        <v>high</v>
      </c>
      <c r="S407" s="1" t="s">
        <v>15</v>
      </c>
      <c r="T407" s="1" t="s">
        <v>16</v>
      </c>
      <c r="U407" s="1"/>
      <c r="V407" s="1"/>
      <c r="W407" s="1"/>
    </row>
    <row r="408" spans="1:23" x14ac:dyDescent="0.25">
      <c r="A408">
        <v>407</v>
      </c>
      <c r="B408">
        <v>0</v>
      </c>
      <c r="C408" t="str">
        <f>IF(Titanic_Dataset[[#This Row],[Survived]]=1,"Survived","Died")</f>
        <v>Died</v>
      </c>
      <c r="D408">
        <v>3</v>
      </c>
      <c r="E408" t="str">
        <f>IF(Titanic_Dataset[[#This Row],[Pclass]]=1,"1st",IF(Titanic_Dataset[[#This Row],[Pclass]]=2,"2nd",IF(Titanic_Dataset[[#This Row],[Pclass]]=3,"3rd")))</f>
        <v>3rd</v>
      </c>
      <c r="F408" s="1" t="s">
        <v>844</v>
      </c>
      <c r="G408" s="1" t="str">
        <f>TRIM(MID(Titanic_Dataset[[#This Row],[Name]],
FIND(",",Titanic_Dataset[[#This Row],[Name]])+2,
FIND(".",Titanic_Dataset[[#This Row],[Name]],FIND(",",Titanic_Dataset[[#This Row],[Name]]))-FIND(",",Titanic_Dataset[[#This Row],[Name]])-1))</f>
        <v>Mr.</v>
      </c>
      <c r="H408" s="1" t="s">
        <v>13</v>
      </c>
      <c r="I408">
        <v>51</v>
      </c>
      <c r="J408" t="str">
        <f>IF(Titanic_Dataset[[#This Row],[Age]]&lt;12,"0-11",
IF(Titanic_Dataset[[#This Row],[Age]]&lt;20,"12-19",
IF(Titanic_Dataset[[#This Row],[Age]]&lt;30,"20-29",
IF(Titanic_Dataset[[#This Row],[Age]]&lt;40,"30-39",
IF(Titanic_Dataset[[#This Row],[Age]]&lt;50,"40-49",
IF(Titanic_Dataset[[#This Row],[Age]]&lt;60,"50-59",
IF(Titanic_Dataset[[#This Row],[Age]]&lt;70,"60-69",)))))))</f>
        <v>50-59</v>
      </c>
      <c r="K408">
        <v>0</v>
      </c>
      <c r="L408">
        <v>0</v>
      </c>
      <c r="M408">
        <f>Titanic_Dataset[[#This Row],[Parch]]+Titanic_Dataset[[#This Row],[SibSp]]</f>
        <v>0</v>
      </c>
      <c r="N408" s="1" t="s">
        <v>845</v>
      </c>
      <c r="O408">
        <v>7.75</v>
      </c>
      <c r="P408" t="e">
        <f>IF(Titanic_Dataset[[#This Row],[Survived]]=1,Titanic_Dataset[[#This Row],[Fare]],NA())</f>
        <v>#N/A</v>
      </c>
      <c r="Q408">
        <f>IF(Titanic_Dataset[[#This Row],[Survived]]=0,Titanic_Dataset[[#This Row],[Fare]],NA())</f>
        <v>7.75</v>
      </c>
      <c r="R408" t="str">
        <f>VLOOKUP(Titanic_Dataset[[#This Row],[Fare]],Table2[],2,TRUE)</f>
        <v>low</v>
      </c>
      <c r="S408" s="1" t="s">
        <v>15</v>
      </c>
      <c r="T408" s="1" t="s">
        <v>16</v>
      </c>
      <c r="U408" s="1"/>
      <c r="V408" s="1"/>
      <c r="W408" s="1"/>
    </row>
    <row r="409" spans="1:23" x14ac:dyDescent="0.25">
      <c r="A409">
        <v>408</v>
      </c>
      <c r="B409">
        <v>1</v>
      </c>
      <c r="C409" t="str">
        <f>IF(Titanic_Dataset[[#This Row],[Survived]]=1,"Survived","Died")</f>
        <v>Survived</v>
      </c>
      <c r="D409">
        <v>2</v>
      </c>
      <c r="E409" t="str">
        <f>IF(Titanic_Dataset[[#This Row],[Pclass]]=1,"1st",IF(Titanic_Dataset[[#This Row],[Pclass]]=2,"2nd",IF(Titanic_Dataset[[#This Row],[Pclass]]=3,"3rd")))</f>
        <v>2nd</v>
      </c>
      <c r="F409" s="1" t="s">
        <v>846</v>
      </c>
      <c r="G409" s="1" t="str">
        <f>TRIM(MID(Titanic_Dataset[[#This Row],[Name]],
FIND(",",Titanic_Dataset[[#This Row],[Name]])+2,
FIND(".",Titanic_Dataset[[#This Row],[Name]],FIND(",",Titanic_Dataset[[#This Row],[Name]]))-FIND(",",Titanic_Dataset[[#This Row],[Name]])-1))</f>
        <v>Master.</v>
      </c>
      <c r="H409" s="1" t="s">
        <v>13</v>
      </c>
      <c r="I409">
        <v>3</v>
      </c>
      <c r="J409" t="str">
        <f>IF(Titanic_Dataset[[#This Row],[Age]]&lt;12,"0-11",
IF(Titanic_Dataset[[#This Row],[Age]]&lt;20,"12-19",
IF(Titanic_Dataset[[#This Row],[Age]]&lt;30,"20-29",
IF(Titanic_Dataset[[#This Row],[Age]]&lt;40,"30-39",
IF(Titanic_Dataset[[#This Row],[Age]]&lt;50,"40-49",
IF(Titanic_Dataset[[#This Row],[Age]]&lt;60,"50-59",
IF(Titanic_Dataset[[#This Row],[Age]]&lt;70,"60-69",)))))))</f>
        <v>0-11</v>
      </c>
      <c r="K409">
        <v>1</v>
      </c>
      <c r="L409">
        <v>1</v>
      </c>
      <c r="M409">
        <f>Titanic_Dataset[[#This Row],[Parch]]+Titanic_Dataset[[#This Row],[SibSp]]</f>
        <v>2</v>
      </c>
      <c r="N409" s="1" t="s">
        <v>847</v>
      </c>
      <c r="O409">
        <v>18.75</v>
      </c>
      <c r="P409">
        <f>IF(Titanic_Dataset[[#This Row],[Survived]]=1,Titanic_Dataset[[#This Row],[Fare]],NA())</f>
        <v>18.75</v>
      </c>
      <c r="Q409" t="e">
        <f>IF(Titanic_Dataset[[#This Row],[Survived]]=0,Titanic_Dataset[[#This Row],[Fare]],NA())</f>
        <v>#N/A</v>
      </c>
      <c r="R409" t="str">
        <f>VLOOKUP(Titanic_Dataset[[#This Row],[Fare]],Table2[],2,TRUE)</f>
        <v>high</v>
      </c>
      <c r="S409" s="1" t="s">
        <v>15</v>
      </c>
      <c r="T409" s="1" t="s">
        <v>16</v>
      </c>
      <c r="U409" s="1"/>
      <c r="V409" s="1"/>
      <c r="W409" s="1"/>
    </row>
    <row r="410" spans="1:23" x14ac:dyDescent="0.25">
      <c r="A410">
        <v>409</v>
      </c>
      <c r="B410">
        <v>0</v>
      </c>
      <c r="C410" t="str">
        <f>IF(Titanic_Dataset[[#This Row],[Survived]]=1,"Survived","Died")</f>
        <v>Died</v>
      </c>
      <c r="D410">
        <v>3</v>
      </c>
      <c r="E410" t="str">
        <f>IF(Titanic_Dataset[[#This Row],[Pclass]]=1,"1st",IF(Titanic_Dataset[[#This Row],[Pclass]]=2,"2nd",IF(Titanic_Dataset[[#This Row],[Pclass]]=3,"3rd")))</f>
        <v>3rd</v>
      </c>
      <c r="F410" s="1" t="s">
        <v>848</v>
      </c>
      <c r="G410" s="1" t="str">
        <f>TRIM(MID(Titanic_Dataset[[#This Row],[Name]],
FIND(",",Titanic_Dataset[[#This Row],[Name]])+2,
FIND(".",Titanic_Dataset[[#This Row],[Name]],FIND(",",Titanic_Dataset[[#This Row],[Name]]))-FIND(",",Titanic_Dataset[[#This Row],[Name]])-1))</f>
        <v>Mr.</v>
      </c>
      <c r="H410" s="1" t="s">
        <v>13</v>
      </c>
      <c r="I410">
        <v>21</v>
      </c>
      <c r="J41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10">
        <v>0</v>
      </c>
      <c r="L410">
        <v>0</v>
      </c>
      <c r="M410">
        <f>Titanic_Dataset[[#This Row],[Parch]]+Titanic_Dataset[[#This Row],[SibSp]]</f>
        <v>0</v>
      </c>
      <c r="N410" s="1" t="s">
        <v>849</v>
      </c>
      <c r="O410">
        <v>7.7750000000000004</v>
      </c>
      <c r="P410" t="e">
        <f>IF(Titanic_Dataset[[#This Row],[Survived]]=1,Titanic_Dataset[[#This Row],[Fare]],NA())</f>
        <v>#N/A</v>
      </c>
      <c r="Q410">
        <f>IF(Titanic_Dataset[[#This Row],[Survived]]=0,Titanic_Dataset[[#This Row],[Fare]],NA())</f>
        <v>7.7750000000000004</v>
      </c>
      <c r="R410" t="str">
        <f>VLOOKUP(Titanic_Dataset[[#This Row],[Fare]],Table2[],2,TRUE)</f>
        <v>low</v>
      </c>
      <c r="S410" s="1" t="s">
        <v>15</v>
      </c>
      <c r="T410" s="1" t="s">
        <v>16</v>
      </c>
      <c r="U410" s="1"/>
      <c r="V410" s="1"/>
      <c r="W410" s="1"/>
    </row>
    <row r="411" spans="1:23" x14ac:dyDescent="0.25">
      <c r="A411">
        <v>410</v>
      </c>
      <c r="B411">
        <v>0</v>
      </c>
      <c r="C411" t="str">
        <f>IF(Titanic_Dataset[[#This Row],[Survived]]=1,"Survived","Died")</f>
        <v>Died</v>
      </c>
      <c r="D411">
        <v>3</v>
      </c>
      <c r="E411" t="str">
        <f>IF(Titanic_Dataset[[#This Row],[Pclass]]=1,"1st",IF(Titanic_Dataset[[#This Row],[Pclass]]=2,"2nd",IF(Titanic_Dataset[[#This Row],[Pclass]]=3,"3rd")))</f>
        <v>3rd</v>
      </c>
      <c r="F411" s="1" t="s">
        <v>850</v>
      </c>
      <c r="G411" s="1" t="str">
        <f>TRIM(MID(Titanic_Dataset[[#This Row],[Name]],
FIND(",",Titanic_Dataset[[#This Row],[Name]])+2,
FIND(".",Titanic_Dataset[[#This Row],[Name]],FIND(",",Titanic_Dataset[[#This Row],[Name]]))-FIND(",",Titanic_Dataset[[#This Row],[Name]])-1))</f>
        <v>Miss.</v>
      </c>
      <c r="H411" s="1" t="s">
        <v>18</v>
      </c>
      <c r="I411">
        <v>28</v>
      </c>
      <c r="J41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11">
        <v>3</v>
      </c>
      <c r="L411">
        <v>1</v>
      </c>
      <c r="M411">
        <f>Titanic_Dataset[[#This Row],[Parch]]+Titanic_Dataset[[#This Row],[SibSp]]</f>
        <v>4</v>
      </c>
      <c r="N411" s="1" t="s">
        <v>386</v>
      </c>
      <c r="O411">
        <v>25.466699999999999</v>
      </c>
      <c r="P411" t="e">
        <f>IF(Titanic_Dataset[[#This Row],[Survived]]=1,Titanic_Dataset[[#This Row],[Fare]],NA())</f>
        <v>#N/A</v>
      </c>
      <c r="Q411">
        <f>IF(Titanic_Dataset[[#This Row],[Survived]]=0,Titanic_Dataset[[#This Row],[Fare]],NA())</f>
        <v>25.466699999999999</v>
      </c>
      <c r="R411" t="str">
        <f>VLOOKUP(Titanic_Dataset[[#This Row],[Fare]],Table2[],2,TRUE)</f>
        <v>high</v>
      </c>
      <c r="S411" s="1" t="s">
        <v>15</v>
      </c>
      <c r="T411" s="1" t="s">
        <v>16</v>
      </c>
      <c r="U411" s="1"/>
      <c r="V411" s="1"/>
      <c r="W411" s="1"/>
    </row>
    <row r="412" spans="1:23" x14ac:dyDescent="0.25">
      <c r="A412">
        <v>411</v>
      </c>
      <c r="B412">
        <v>0</v>
      </c>
      <c r="C412" t="str">
        <f>IF(Titanic_Dataset[[#This Row],[Survived]]=1,"Survived","Died")</f>
        <v>Died</v>
      </c>
      <c r="D412">
        <v>3</v>
      </c>
      <c r="E412" t="str">
        <f>IF(Titanic_Dataset[[#This Row],[Pclass]]=1,"1st",IF(Titanic_Dataset[[#This Row],[Pclass]]=2,"2nd",IF(Titanic_Dataset[[#This Row],[Pclass]]=3,"3rd")))</f>
        <v>3rd</v>
      </c>
      <c r="F412" s="1" t="s">
        <v>851</v>
      </c>
      <c r="G412" s="1" t="str">
        <f>TRIM(MID(Titanic_Dataset[[#This Row],[Name]],
FIND(",",Titanic_Dataset[[#This Row],[Name]])+2,
FIND(".",Titanic_Dataset[[#This Row],[Name]],FIND(",",Titanic_Dataset[[#This Row],[Name]]))-FIND(",",Titanic_Dataset[[#This Row],[Name]])-1))</f>
        <v>Mr.</v>
      </c>
      <c r="H412" s="1" t="s">
        <v>13</v>
      </c>
      <c r="I412">
        <v>28</v>
      </c>
      <c r="J41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12">
        <v>0</v>
      </c>
      <c r="L412">
        <v>0</v>
      </c>
      <c r="M412">
        <f>Titanic_Dataset[[#This Row],[Parch]]+Titanic_Dataset[[#This Row],[SibSp]]</f>
        <v>0</v>
      </c>
      <c r="N412" s="1" t="s">
        <v>852</v>
      </c>
      <c r="O412">
        <v>7.8958000000000004</v>
      </c>
      <c r="P412" t="e">
        <f>IF(Titanic_Dataset[[#This Row],[Survived]]=1,Titanic_Dataset[[#This Row],[Fare]],NA())</f>
        <v>#N/A</v>
      </c>
      <c r="Q412">
        <f>IF(Titanic_Dataset[[#This Row],[Survived]]=0,Titanic_Dataset[[#This Row],[Fare]],NA())</f>
        <v>7.8958000000000004</v>
      </c>
      <c r="R412" t="str">
        <f>VLOOKUP(Titanic_Dataset[[#This Row],[Fare]],Table2[],2,TRUE)</f>
        <v>low</v>
      </c>
      <c r="S412" s="1" t="s">
        <v>15</v>
      </c>
      <c r="T412" s="1" t="s">
        <v>16</v>
      </c>
      <c r="U412" s="1"/>
      <c r="V412" s="1"/>
      <c r="W412" s="1"/>
    </row>
    <row r="413" spans="1:23" x14ac:dyDescent="0.25">
      <c r="A413">
        <v>412</v>
      </c>
      <c r="B413">
        <v>0</v>
      </c>
      <c r="C413" t="str">
        <f>IF(Titanic_Dataset[[#This Row],[Survived]]=1,"Survived","Died")</f>
        <v>Died</v>
      </c>
      <c r="D413">
        <v>3</v>
      </c>
      <c r="E413" t="str">
        <f>IF(Titanic_Dataset[[#This Row],[Pclass]]=1,"1st",IF(Titanic_Dataset[[#This Row],[Pclass]]=2,"2nd",IF(Titanic_Dataset[[#This Row],[Pclass]]=3,"3rd")))</f>
        <v>3rd</v>
      </c>
      <c r="F413" s="1" t="s">
        <v>853</v>
      </c>
      <c r="G413" s="1" t="str">
        <f>TRIM(MID(Titanic_Dataset[[#This Row],[Name]],
FIND(",",Titanic_Dataset[[#This Row],[Name]])+2,
FIND(".",Titanic_Dataset[[#This Row],[Name]],FIND(",",Titanic_Dataset[[#This Row],[Name]]))-FIND(",",Titanic_Dataset[[#This Row],[Name]])-1))</f>
        <v>Mr.</v>
      </c>
      <c r="H413" s="1" t="s">
        <v>13</v>
      </c>
      <c r="I413">
        <v>28</v>
      </c>
      <c r="J41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13">
        <v>0</v>
      </c>
      <c r="L413">
        <v>0</v>
      </c>
      <c r="M413">
        <f>Titanic_Dataset[[#This Row],[Parch]]+Titanic_Dataset[[#This Row],[SibSp]]</f>
        <v>0</v>
      </c>
      <c r="N413" s="1" t="s">
        <v>854</v>
      </c>
      <c r="O413">
        <v>6.8582999999999998</v>
      </c>
      <c r="P413" t="e">
        <f>IF(Titanic_Dataset[[#This Row],[Survived]]=1,Titanic_Dataset[[#This Row],[Fare]],NA())</f>
        <v>#N/A</v>
      </c>
      <c r="Q413">
        <f>IF(Titanic_Dataset[[#This Row],[Survived]]=0,Titanic_Dataset[[#This Row],[Fare]],NA())</f>
        <v>6.8582999999999998</v>
      </c>
      <c r="R413" t="str">
        <f>VLOOKUP(Titanic_Dataset[[#This Row],[Fare]],Table2[],2,TRUE)</f>
        <v>low</v>
      </c>
      <c r="S413" s="1" t="s">
        <v>15</v>
      </c>
      <c r="T413" s="1" t="s">
        <v>31</v>
      </c>
      <c r="U413" s="1"/>
      <c r="V413" s="1"/>
      <c r="W413" s="1"/>
    </row>
    <row r="414" spans="1:23" x14ac:dyDescent="0.25">
      <c r="A414">
        <v>413</v>
      </c>
      <c r="B414">
        <v>1</v>
      </c>
      <c r="C414" t="str">
        <f>IF(Titanic_Dataset[[#This Row],[Survived]]=1,"Survived","Died")</f>
        <v>Survived</v>
      </c>
      <c r="D414">
        <v>1</v>
      </c>
      <c r="E414" t="str">
        <f>IF(Titanic_Dataset[[#This Row],[Pclass]]=1,"1st",IF(Titanic_Dataset[[#This Row],[Pclass]]=2,"2nd",IF(Titanic_Dataset[[#This Row],[Pclass]]=3,"3rd")))</f>
        <v>1st</v>
      </c>
      <c r="F414" s="1" t="s">
        <v>855</v>
      </c>
      <c r="G414" s="1" t="str">
        <f>TRIM(MID(Titanic_Dataset[[#This Row],[Name]],
FIND(",",Titanic_Dataset[[#This Row],[Name]])+2,
FIND(".",Titanic_Dataset[[#This Row],[Name]],FIND(",",Titanic_Dataset[[#This Row],[Name]]))-FIND(",",Titanic_Dataset[[#This Row],[Name]])-1))</f>
        <v>Miss.</v>
      </c>
      <c r="H414" s="1" t="s">
        <v>18</v>
      </c>
      <c r="I414">
        <v>33</v>
      </c>
      <c r="J414" t="str">
        <f>IF(Titanic_Dataset[[#This Row],[Age]]&lt;12,"0-11",
IF(Titanic_Dataset[[#This Row],[Age]]&lt;20,"12-19",
IF(Titanic_Dataset[[#This Row],[Age]]&lt;30,"20-29",
IF(Titanic_Dataset[[#This Row],[Age]]&lt;40,"30-39",
IF(Titanic_Dataset[[#This Row],[Age]]&lt;50,"40-49",
IF(Titanic_Dataset[[#This Row],[Age]]&lt;60,"50-59",
IF(Titanic_Dataset[[#This Row],[Age]]&lt;70,"60-69",)))))))</f>
        <v>30-39</v>
      </c>
      <c r="K414">
        <v>1</v>
      </c>
      <c r="L414">
        <v>0</v>
      </c>
      <c r="M414">
        <f>Titanic_Dataset[[#This Row],[Parch]]+Titanic_Dataset[[#This Row],[SibSp]]</f>
        <v>1</v>
      </c>
      <c r="N414" s="1" t="s">
        <v>523</v>
      </c>
      <c r="O414">
        <v>90</v>
      </c>
      <c r="P414">
        <f>IF(Titanic_Dataset[[#This Row],[Survived]]=1,Titanic_Dataset[[#This Row],[Fare]],NA())</f>
        <v>90</v>
      </c>
      <c r="Q414" t="e">
        <f>IF(Titanic_Dataset[[#This Row],[Survived]]=0,Titanic_Dataset[[#This Row],[Fare]],NA())</f>
        <v>#N/A</v>
      </c>
      <c r="R414" t="str">
        <f>VLOOKUP(Titanic_Dataset[[#This Row],[Fare]],Table2[],2,TRUE)</f>
        <v>very hiegh</v>
      </c>
      <c r="S414" s="1" t="s">
        <v>524</v>
      </c>
      <c r="T414" s="1" t="s">
        <v>31</v>
      </c>
      <c r="U414" s="1"/>
      <c r="V414" s="1"/>
      <c r="W414" s="1"/>
    </row>
    <row r="415" spans="1:23" x14ac:dyDescent="0.25">
      <c r="A415">
        <v>414</v>
      </c>
      <c r="B415">
        <v>0</v>
      </c>
      <c r="C415" t="str">
        <f>IF(Titanic_Dataset[[#This Row],[Survived]]=1,"Survived","Died")</f>
        <v>Died</v>
      </c>
      <c r="D415">
        <v>2</v>
      </c>
      <c r="E415" t="str">
        <f>IF(Titanic_Dataset[[#This Row],[Pclass]]=1,"1st",IF(Titanic_Dataset[[#This Row],[Pclass]]=2,"2nd",IF(Titanic_Dataset[[#This Row],[Pclass]]=3,"3rd")))</f>
        <v>2nd</v>
      </c>
      <c r="F415" s="1" t="s">
        <v>856</v>
      </c>
      <c r="G415" s="1" t="str">
        <f>TRIM(MID(Titanic_Dataset[[#This Row],[Name]],
FIND(",",Titanic_Dataset[[#This Row],[Name]])+2,
FIND(".",Titanic_Dataset[[#This Row],[Name]],FIND(",",Titanic_Dataset[[#This Row],[Name]]))-FIND(",",Titanic_Dataset[[#This Row],[Name]])-1))</f>
        <v>Mr.</v>
      </c>
      <c r="H415" s="1" t="s">
        <v>13</v>
      </c>
      <c r="I415">
        <v>28</v>
      </c>
      <c r="J41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15">
        <v>0</v>
      </c>
      <c r="L415">
        <v>0</v>
      </c>
      <c r="M415">
        <f>Titanic_Dataset[[#This Row],[Parch]]+Titanic_Dataset[[#This Row],[SibSp]]</f>
        <v>0</v>
      </c>
      <c r="N415" s="1" t="s">
        <v>593</v>
      </c>
      <c r="O415">
        <v>0</v>
      </c>
      <c r="P415" t="e">
        <f>IF(Titanic_Dataset[[#This Row],[Survived]]=1,Titanic_Dataset[[#This Row],[Fare]],NA())</f>
        <v>#N/A</v>
      </c>
      <c r="Q415">
        <f>IF(Titanic_Dataset[[#This Row],[Survived]]=0,Titanic_Dataset[[#This Row],[Fare]],NA())</f>
        <v>0</v>
      </c>
      <c r="R415" t="str">
        <f>VLOOKUP(Titanic_Dataset[[#This Row],[Fare]],Table2[],2,TRUE)</f>
        <v>low</v>
      </c>
      <c r="S415" s="1" t="s">
        <v>15</v>
      </c>
      <c r="T415" s="1" t="s">
        <v>16</v>
      </c>
      <c r="U415" s="1"/>
      <c r="V415" s="1"/>
      <c r="W415" s="1"/>
    </row>
    <row r="416" spans="1:23" x14ac:dyDescent="0.25">
      <c r="A416">
        <v>415</v>
      </c>
      <c r="B416">
        <v>1</v>
      </c>
      <c r="C416" t="str">
        <f>IF(Titanic_Dataset[[#This Row],[Survived]]=1,"Survived","Died")</f>
        <v>Survived</v>
      </c>
      <c r="D416">
        <v>3</v>
      </c>
      <c r="E416" t="str">
        <f>IF(Titanic_Dataset[[#This Row],[Pclass]]=1,"1st",IF(Titanic_Dataset[[#This Row],[Pclass]]=2,"2nd",IF(Titanic_Dataset[[#This Row],[Pclass]]=3,"3rd")))</f>
        <v>3rd</v>
      </c>
      <c r="F416" s="1" t="s">
        <v>857</v>
      </c>
      <c r="G416" s="1" t="str">
        <f>TRIM(MID(Titanic_Dataset[[#This Row],[Name]],
FIND(",",Titanic_Dataset[[#This Row],[Name]])+2,
FIND(".",Titanic_Dataset[[#This Row],[Name]],FIND(",",Titanic_Dataset[[#This Row],[Name]]))-FIND(",",Titanic_Dataset[[#This Row],[Name]])-1))</f>
        <v>Mr.</v>
      </c>
      <c r="H416" s="1" t="s">
        <v>13</v>
      </c>
      <c r="I416">
        <v>44</v>
      </c>
      <c r="J416" t="str">
        <f>IF(Titanic_Dataset[[#This Row],[Age]]&lt;12,"0-11",
IF(Titanic_Dataset[[#This Row],[Age]]&lt;20,"12-19",
IF(Titanic_Dataset[[#This Row],[Age]]&lt;30,"20-29",
IF(Titanic_Dataset[[#This Row],[Age]]&lt;40,"30-39",
IF(Titanic_Dataset[[#This Row],[Age]]&lt;50,"40-49",
IF(Titanic_Dataset[[#This Row],[Age]]&lt;60,"50-59",
IF(Titanic_Dataset[[#This Row],[Age]]&lt;70,"60-69",)))))))</f>
        <v>40-49</v>
      </c>
      <c r="K416">
        <v>0</v>
      </c>
      <c r="L416">
        <v>0</v>
      </c>
      <c r="M416">
        <f>Titanic_Dataset[[#This Row],[Parch]]+Titanic_Dataset[[#This Row],[SibSp]]</f>
        <v>0</v>
      </c>
      <c r="N416" s="1" t="s">
        <v>858</v>
      </c>
      <c r="O416">
        <v>7.9249999999999998</v>
      </c>
      <c r="P416">
        <f>IF(Titanic_Dataset[[#This Row],[Survived]]=1,Titanic_Dataset[[#This Row],[Fare]],NA())</f>
        <v>7.9249999999999998</v>
      </c>
      <c r="Q416" t="e">
        <f>IF(Titanic_Dataset[[#This Row],[Survived]]=0,Titanic_Dataset[[#This Row],[Fare]],NA())</f>
        <v>#N/A</v>
      </c>
      <c r="R416" t="str">
        <f>VLOOKUP(Titanic_Dataset[[#This Row],[Fare]],Table2[],2,TRUE)</f>
        <v>low</v>
      </c>
      <c r="S416" s="1" t="s">
        <v>15</v>
      </c>
      <c r="T416" s="1" t="s">
        <v>16</v>
      </c>
      <c r="U416" s="1"/>
      <c r="V416" s="1"/>
      <c r="W416" s="1"/>
    </row>
    <row r="417" spans="1:23" x14ac:dyDescent="0.25">
      <c r="A417">
        <v>416</v>
      </c>
      <c r="B417">
        <v>0</v>
      </c>
      <c r="C417" t="str">
        <f>IF(Titanic_Dataset[[#This Row],[Survived]]=1,"Survived","Died")</f>
        <v>Died</v>
      </c>
      <c r="D417">
        <v>3</v>
      </c>
      <c r="E417" t="str">
        <f>IF(Titanic_Dataset[[#This Row],[Pclass]]=1,"1st",IF(Titanic_Dataset[[#This Row],[Pclass]]=2,"2nd",IF(Titanic_Dataset[[#This Row],[Pclass]]=3,"3rd")))</f>
        <v>3rd</v>
      </c>
      <c r="F417" s="1" t="s">
        <v>859</v>
      </c>
      <c r="G417" s="1" t="str">
        <f>TRIM(MID(Titanic_Dataset[[#This Row],[Name]],
FIND(",",Titanic_Dataset[[#This Row],[Name]])+2,
FIND(".",Titanic_Dataset[[#This Row],[Name]],FIND(",",Titanic_Dataset[[#This Row],[Name]]))-FIND(",",Titanic_Dataset[[#This Row],[Name]])-1))</f>
        <v>Mrs.</v>
      </c>
      <c r="H417" s="1" t="s">
        <v>18</v>
      </c>
      <c r="I417">
        <v>28</v>
      </c>
      <c r="J41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17">
        <v>0</v>
      </c>
      <c r="L417">
        <v>0</v>
      </c>
      <c r="M417">
        <f>Titanic_Dataset[[#This Row],[Parch]]+Titanic_Dataset[[#This Row],[SibSp]]</f>
        <v>0</v>
      </c>
      <c r="N417" s="1" t="s">
        <v>860</v>
      </c>
      <c r="O417">
        <v>8.0500000000000007</v>
      </c>
      <c r="P417" t="e">
        <f>IF(Titanic_Dataset[[#This Row],[Survived]]=1,Titanic_Dataset[[#This Row],[Fare]],NA())</f>
        <v>#N/A</v>
      </c>
      <c r="Q417">
        <f>IF(Titanic_Dataset[[#This Row],[Survived]]=0,Titanic_Dataset[[#This Row],[Fare]],NA())</f>
        <v>8.0500000000000007</v>
      </c>
      <c r="R417" t="str">
        <f>VLOOKUP(Titanic_Dataset[[#This Row],[Fare]],Table2[],2,TRUE)</f>
        <v>medium</v>
      </c>
      <c r="S417" s="1" t="s">
        <v>15</v>
      </c>
      <c r="T417" s="1" t="s">
        <v>16</v>
      </c>
      <c r="U417" s="1"/>
      <c r="V417" s="1"/>
      <c r="W417" s="1"/>
    </row>
    <row r="418" spans="1:23" x14ac:dyDescent="0.25">
      <c r="A418">
        <v>417</v>
      </c>
      <c r="B418">
        <v>1</v>
      </c>
      <c r="C418" t="str">
        <f>IF(Titanic_Dataset[[#This Row],[Survived]]=1,"Survived","Died")</f>
        <v>Survived</v>
      </c>
      <c r="D418">
        <v>2</v>
      </c>
      <c r="E418" t="str">
        <f>IF(Titanic_Dataset[[#This Row],[Pclass]]=1,"1st",IF(Titanic_Dataset[[#This Row],[Pclass]]=2,"2nd",IF(Titanic_Dataset[[#This Row],[Pclass]]=3,"3rd")))</f>
        <v>2nd</v>
      </c>
      <c r="F418" s="1" t="s">
        <v>861</v>
      </c>
      <c r="G418" s="1" t="str">
        <f>TRIM(MID(Titanic_Dataset[[#This Row],[Name]],
FIND(",",Titanic_Dataset[[#This Row],[Name]])+2,
FIND(".",Titanic_Dataset[[#This Row],[Name]],FIND(",",Titanic_Dataset[[#This Row],[Name]]))-FIND(",",Titanic_Dataset[[#This Row],[Name]])-1))</f>
        <v>Mrs.</v>
      </c>
      <c r="H418" s="1" t="s">
        <v>18</v>
      </c>
      <c r="I418">
        <v>34</v>
      </c>
      <c r="J418" t="str">
        <f>IF(Titanic_Dataset[[#This Row],[Age]]&lt;12,"0-11",
IF(Titanic_Dataset[[#This Row],[Age]]&lt;20,"12-19",
IF(Titanic_Dataset[[#This Row],[Age]]&lt;30,"20-29",
IF(Titanic_Dataset[[#This Row],[Age]]&lt;40,"30-39",
IF(Titanic_Dataset[[#This Row],[Age]]&lt;50,"40-49",
IF(Titanic_Dataset[[#This Row],[Age]]&lt;60,"50-59",
IF(Titanic_Dataset[[#This Row],[Age]]&lt;70,"60-69",)))))))</f>
        <v>30-39</v>
      </c>
      <c r="K418">
        <v>1</v>
      </c>
      <c r="L418">
        <v>1</v>
      </c>
      <c r="M418">
        <f>Titanic_Dataset[[#This Row],[Parch]]+Titanic_Dataset[[#This Row],[SibSp]]</f>
        <v>2</v>
      </c>
      <c r="N418" s="1" t="s">
        <v>862</v>
      </c>
      <c r="O418">
        <v>32.5</v>
      </c>
      <c r="P418">
        <f>IF(Titanic_Dataset[[#This Row],[Survived]]=1,Titanic_Dataset[[#This Row],[Fare]],NA())</f>
        <v>32.5</v>
      </c>
      <c r="Q418" t="e">
        <f>IF(Titanic_Dataset[[#This Row],[Survived]]=0,Titanic_Dataset[[#This Row],[Fare]],NA())</f>
        <v>#N/A</v>
      </c>
      <c r="R418" t="str">
        <f>VLOOKUP(Titanic_Dataset[[#This Row],[Fare]],Table2[],2,TRUE)</f>
        <v>very hiegh</v>
      </c>
      <c r="S418" s="1" t="s">
        <v>15</v>
      </c>
      <c r="T418" s="1" t="s">
        <v>16</v>
      </c>
      <c r="U418" s="1"/>
      <c r="V418" s="1"/>
      <c r="W418" s="1"/>
    </row>
    <row r="419" spans="1:23" x14ac:dyDescent="0.25">
      <c r="A419">
        <v>418</v>
      </c>
      <c r="B419">
        <v>1</v>
      </c>
      <c r="C419" t="str">
        <f>IF(Titanic_Dataset[[#This Row],[Survived]]=1,"Survived","Died")</f>
        <v>Survived</v>
      </c>
      <c r="D419">
        <v>2</v>
      </c>
      <c r="E419" t="str">
        <f>IF(Titanic_Dataset[[#This Row],[Pclass]]=1,"1st",IF(Titanic_Dataset[[#This Row],[Pclass]]=2,"2nd",IF(Titanic_Dataset[[#This Row],[Pclass]]=3,"3rd")))</f>
        <v>2nd</v>
      </c>
      <c r="F419" s="1" t="s">
        <v>863</v>
      </c>
      <c r="G419" s="1" t="str">
        <f>TRIM(MID(Titanic_Dataset[[#This Row],[Name]],
FIND(",",Titanic_Dataset[[#This Row],[Name]])+2,
FIND(".",Titanic_Dataset[[#This Row],[Name]],FIND(",",Titanic_Dataset[[#This Row],[Name]]))-FIND(",",Titanic_Dataset[[#This Row],[Name]])-1))</f>
        <v>Miss.</v>
      </c>
      <c r="H419" s="1" t="s">
        <v>18</v>
      </c>
      <c r="I419">
        <v>18</v>
      </c>
      <c r="J419" t="str">
        <f>IF(Titanic_Dataset[[#This Row],[Age]]&lt;12,"0-11",
IF(Titanic_Dataset[[#This Row],[Age]]&lt;20,"12-19",
IF(Titanic_Dataset[[#This Row],[Age]]&lt;30,"20-29",
IF(Titanic_Dataset[[#This Row],[Age]]&lt;40,"30-39",
IF(Titanic_Dataset[[#This Row],[Age]]&lt;50,"40-49",
IF(Titanic_Dataset[[#This Row],[Age]]&lt;60,"50-59",
IF(Titanic_Dataset[[#This Row],[Age]]&lt;70,"60-69",)))))))</f>
        <v>12-19</v>
      </c>
      <c r="K419">
        <v>0</v>
      </c>
      <c r="L419">
        <v>2</v>
      </c>
      <c r="M419">
        <f>Titanic_Dataset[[#This Row],[Parch]]+Titanic_Dataset[[#This Row],[SibSp]]</f>
        <v>2</v>
      </c>
      <c r="N419" s="1" t="s">
        <v>864</v>
      </c>
      <c r="O419">
        <v>13</v>
      </c>
      <c r="P419">
        <f>IF(Titanic_Dataset[[#This Row],[Survived]]=1,Titanic_Dataset[[#This Row],[Fare]],NA())</f>
        <v>13</v>
      </c>
      <c r="Q419" t="e">
        <f>IF(Titanic_Dataset[[#This Row],[Survived]]=0,Titanic_Dataset[[#This Row],[Fare]],NA())</f>
        <v>#N/A</v>
      </c>
      <c r="R419" t="str">
        <f>VLOOKUP(Titanic_Dataset[[#This Row],[Fare]],Table2[],2,TRUE)</f>
        <v>medium</v>
      </c>
      <c r="S419" s="1" t="s">
        <v>15</v>
      </c>
      <c r="T419" s="1" t="s">
        <v>16</v>
      </c>
      <c r="U419" s="1"/>
      <c r="V419" s="1"/>
      <c r="W419" s="1"/>
    </row>
    <row r="420" spans="1:23" x14ac:dyDescent="0.25">
      <c r="A420">
        <v>419</v>
      </c>
      <c r="B420">
        <v>0</v>
      </c>
      <c r="C420" t="str">
        <f>IF(Titanic_Dataset[[#This Row],[Survived]]=1,"Survived","Died")</f>
        <v>Died</v>
      </c>
      <c r="D420">
        <v>2</v>
      </c>
      <c r="E420" t="str">
        <f>IF(Titanic_Dataset[[#This Row],[Pclass]]=1,"1st",IF(Titanic_Dataset[[#This Row],[Pclass]]=2,"2nd",IF(Titanic_Dataset[[#This Row],[Pclass]]=3,"3rd")))</f>
        <v>2nd</v>
      </c>
      <c r="F420" s="1" t="s">
        <v>865</v>
      </c>
      <c r="G420" s="1" t="str">
        <f>TRIM(MID(Titanic_Dataset[[#This Row],[Name]],
FIND(",",Titanic_Dataset[[#This Row],[Name]])+2,
FIND(".",Titanic_Dataset[[#This Row],[Name]],FIND(",",Titanic_Dataset[[#This Row],[Name]]))-FIND(",",Titanic_Dataset[[#This Row],[Name]])-1))</f>
        <v>Mr.</v>
      </c>
      <c r="H420" s="1" t="s">
        <v>13</v>
      </c>
      <c r="I420">
        <v>30</v>
      </c>
      <c r="J420" t="str">
        <f>IF(Titanic_Dataset[[#This Row],[Age]]&lt;12,"0-11",
IF(Titanic_Dataset[[#This Row],[Age]]&lt;20,"12-19",
IF(Titanic_Dataset[[#This Row],[Age]]&lt;30,"20-29",
IF(Titanic_Dataset[[#This Row],[Age]]&lt;40,"30-39",
IF(Titanic_Dataset[[#This Row],[Age]]&lt;50,"40-49",
IF(Titanic_Dataset[[#This Row],[Age]]&lt;60,"50-59",
IF(Titanic_Dataset[[#This Row],[Age]]&lt;70,"60-69",)))))))</f>
        <v>30-39</v>
      </c>
      <c r="K420">
        <v>0</v>
      </c>
      <c r="L420">
        <v>0</v>
      </c>
      <c r="M420">
        <f>Titanic_Dataset[[#This Row],[Parch]]+Titanic_Dataset[[#This Row],[SibSp]]</f>
        <v>0</v>
      </c>
      <c r="N420" s="1" t="s">
        <v>866</v>
      </c>
      <c r="O420">
        <v>13</v>
      </c>
      <c r="P420" t="e">
        <f>IF(Titanic_Dataset[[#This Row],[Survived]]=1,Titanic_Dataset[[#This Row],[Fare]],NA())</f>
        <v>#N/A</v>
      </c>
      <c r="Q420">
        <f>IF(Titanic_Dataset[[#This Row],[Survived]]=0,Titanic_Dataset[[#This Row],[Fare]],NA())</f>
        <v>13</v>
      </c>
      <c r="R420" t="str">
        <f>VLOOKUP(Titanic_Dataset[[#This Row],[Fare]],Table2[],2,TRUE)</f>
        <v>medium</v>
      </c>
      <c r="S420" s="1" t="s">
        <v>15</v>
      </c>
      <c r="T420" s="1" t="s">
        <v>16</v>
      </c>
      <c r="U420" s="1"/>
      <c r="V420" s="1"/>
      <c r="W420" s="1"/>
    </row>
    <row r="421" spans="1:23" x14ac:dyDescent="0.25">
      <c r="A421">
        <v>420</v>
      </c>
      <c r="B421">
        <v>0</v>
      </c>
      <c r="C421" t="str">
        <f>IF(Titanic_Dataset[[#This Row],[Survived]]=1,"Survived","Died")</f>
        <v>Died</v>
      </c>
      <c r="D421">
        <v>3</v>
      </c>
      <c r="E421" t="str">
        <f>IF(Titanic_Dataset[[#This Row],[Pclass]]=1,"1st",IF(Titanic_Dataset[[#This Row],[Pclass]]=2,"2nd",IF(Titanic_Dataset[[#This Row],[Pclass]]=3,"3rd")))</f>
        <v>3rd</v>
      </c>
      <c r="F421" s="1" t="s">
        <v>867</v>
      </c>
      <c r="G421" s="1" t="str">
        <f>TRIM(MID(Titanic_Dataset[[#This Row],[Name]],
FIND(",",Titanic_Dataset[[#This Row],[Name]])+2,
FIND(".",Titanic_Dataset[[#This Row],[Name]],FIND(",",Titanic_Dataset[[#This Row],[Name]]))-FIND(",",Titanic_Dataset[[#This Row],[Name]])-1))</f>
        <v>Miss.</v>
      </c>
      <c r="H421" s="1" t="s">
        <v>18</v>
      </c>
      <c r="I421">
        <v>10</v>
      </c>
      <c r="J421" t="str">
        <f>IF(Titanic_Dataset[[#This Row],[Age]]&lt;12,"0-11",
IF(Titanic_Dataset[[#This Row],[Age]]&lt;20,"12-19",
IF(Titanic_Dataset[[#This Row],[Age]]&lt;30,"20-29",
IF(Titanic_Dataset[[#This Row],[Age]]&lt;40,"30-39",
IF(Titanic_Dataset[[#This Row],[Age]]&lt;50,"40-49",
IF(Titanic_Dataset[[#This Row],[Age]]&lt;60,"50-59",
IF(Titanic_Dataset[[#This Row],[Age]]&lt;70,"60-69",)))))))</f>
        <v>0-11</v>
      </c>
      <c r="K421">
        <v>0</v>
      </c>
      <c r="L421">
        <v>2</v>
      </c>
      <c r="M421">
        <f>Titanic_Dataset[[#This Row],[Parch]]+Titanic_Dataset[[#This Row],[SibSp]]</f>
        <v>2</v>
      </c>
      <c r="N421" s="1" t="s">
        <v>868</v>
      </c>
      <c r="O421">
        <v>24.15</v>
      </c>
      <c r="P421" t="e">
        <f>IF(Titanic_Dataset[[#This Row],[Survived]]=1,Titanic_Dataset[[#This Row],[Fare]],NA())</f>
        <v>#N/A</v>
      </c>
      <c r="Q421">
        <f>IF(Titanic_Dataset[[#This Row],[Survived]]=0,Titanic_Dataset[[#This Row],[Fare]],NA())</f>
        <v>24.15</v>
      </c>
      <c r="R421" t="str">
        <f>VLOOKUP(Titanic_Dataset[[#This Row],[Fare]],Table2[],2,TRUE)</f>
        <v>high</v>
      </c>
      <c r="S421" s="1" t="s">
        <v>15</v>
      </c>
      <c r="T421" s="1" t="s">
        <v>16</v>
      </c>
      <c r="U421" s="1"/>
      <c r="V421" s="1"/>
      <c r="W421" s="1"/>
    </row>
    <row r="422" spans="1:23" x14ac:dyDescent="0.25">
      <c r="A422">
        <v>421</v>
      </c>
      <c r="B422">
        <v>0</v>
      </c>
      <c r="C422" t="str">
        <f>IF(Titanic_Dataset[[#This Row],[Survived]]=1,"Survived","Died")</f>
        <v>Died</v>
      </c>
      <c r="D422">
        <v>3</v>
      </c>
      <c r="E422" t="str">
        <f>IF(Titanic_Dataset[[#This Row],[Pclass]]=1,"1st",IF(Titanic_Dataset[[#This Row],[Pclass]]=2,"2nd",IF(Titanic_Dataset[[#This Row],[Pclass]]=3,"3rd")))</f>
        <v>3rd</v>
      </c>
      <c r="F422" s="1" t="s">
        <v>869</v>
      </c>
      <c r="G422" s="1" t="str">
        <f>TRIM(MID(Titanic_Dataset[[#This Row],[Name]],
FIND(",",Titanic_Dataset[[#This Row],[Name]])+2,
FIND(".",Titanic_Dataset[[#This Row],[Name]],FIND(",",Titanic_Dataset[[#This Row],[Name]]))-FIND(",",Titanic_Dataset[[#This Row],[Name]])-1))</f>
        <v>Mr.</v>
      </c>
      <c r="H422" s="1" t="s">
        <v>13</v>
      </c>
      <c r="I422">
        <v>28</v>
      </c>
      <c r="J42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22">
        <v>0</v>
      </c>
      <c r="L422">
        <v>0</v>
      </c>
      <c r="M422">
        <f>Titanic_Dataset[[#This Row],[Parch]]+Titanic_Dataset[[#This Row],[SibSp]]</f>
        <v>0</v>
      </c>
      <c r="N422" s="1" t="s">
        <v>870</v>
      </c>
      <c r="O422">
        <v>7.8958000000000004</v>
      </c>
      <c r="P422" t="e">
        <f>IF(Titanic_Dataset[[#This Row],[Survived]]=1,Titanic_Dataset[[#This Row],[Fare]],NA())</f>
        <v>#N/A</v>
      </c>
      <c r="Q422">
        <f>IF(Titanic_Dataset[[#This Row],[Survived]]=0,Titanic_Dataset[[#This Row],[Fare]],NA())</f>
        <v>7.8958000000000004</v>
      </c>
      <c r="R422" t="str">
        <f>VLOOKUP(Titanic_Dataset[[#This Row],[Fare]],Table2[],2,TRUE)</f>
        <v>low</v>
      </c>
      <c r="S422" s="1" t="s">
        <v>15</v>
      </c>
      <c r="T422" s="1" t="s">
        <v>21</v>
      </c>
      <c r="U422" s="1"/>
      <c r="V422" s="1"/>
      <c r="W422" s="1"/>
    </row>
    <row r="423" spans="1:23" x14ac:dyDescent="0.25">
      <c r="A423">
        <v>422</v>
      </c>
      <c r="B423">
        <v>0</v>
      </c>
      <c r="C423" t="str">
        <f>IF(Titanic_Dataset[[#This Row],[Survived]]=1,"Survived","Died")</f>
        <v>Died</v>
      </c>
      <c r="D423">
        <v>3</v>
      </c>
      <c r="E423" t="str">
        <f>IF(Titanic_Dataset[[#This Row],[Pclass]]=1,"1st",IF(Titanic_Dataset[[#This Row],[Pclass]]=2,"2nd",IF(Titanic_Dataset[[#This Row],[Pclass]]=3,"3rd")))</f>
        <v>3rd</v>
      </c>
      <c r="F423" s="1" t="s">
        <v>871</v>
      </c>
      <c r="G423" s="1" t="str">
        <f>TRIM(MID(Titanic_Dataset[[#This Row],[Name]],
FIND(",",Titanic_Dataset[[#This Row],[Name]])+2,
FIND(".",Titanic_Dataset[[#This Row],[Name]],FIND(",",Titanic_Dataset[[#This Row],[Name]]))-FIND(",",Titanic_Dataset[[#This Row],[Name]])-1))</f>
        <v>Mr.</v>
      </c>
      <c r="H423" s="1" t="s">
        <v>13</v>
      </c>
      <c r="I423">
        <v>21</v>
      </c>
      <c r="J42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23">
        <v>0</v>
      </c>
      <c r="L423">
        <v>0</v>
      </c>
      <c r="M423">
        <f>Titanic_Dataset[[#This Row],[Parch]]+Titanic_Dataset[[#This Row],[SibSp]]</f>
        <v>0</v>
      </c>
      <c r="N423" s="1" t="s">
        <v>872</v>
      </c>
      <c r="O423">
        <v>7.7332999999999998</v>
      </c>
      <c r="P423" t="e">
        <f>IF(Titanic_Dataset[[#This Row],[Survived]]=1,Titanic_Dataset[[#This Row],[Fare]],NA())</f>
        <v>#N/A</v>
      </c>
      <c r="Q423">
        <f>IF(Titanic_Dataset[[#This Row],[Survived]]=0,Titanic_Dataset[[#This Row],[Fare]],NA())</f>
        <v>7.7332999999999998</v>
      </c>
      <c r="R423" t="str">
        <f>VLOOKUP(Titanic_Dataset[[#This Row],[Fare]],Table2[],2,TRUE)</f>
        <v>low</v>
      </c>
      <c r="S423" s="1" t="s">
        <v>15</v>
      </c>
      <c r="T423" s="1" t="s">
        <v>31</v>
      </c>
      <c r="U423" s="1"/>
      <c r="V423" s="1"/>
      <c r="W423" s="1"/>
    </row>
    <row r="424" spans="1:23" x14ac:dyDescent="0.25">
      <c r="A424">
        <v>423</v>
      </c>
      <c r="B424">
        <v>0</v>
      </c>
      <c r="C424" t="str">
        <f>IF(Titanic_Dataset[[#This Row],[Survived]]=1,"Survived","Died")</f>
        <v>Died</v>
      </c>
      <c r="D424">
        <v>3</v>
      </c>
      <c r="E424" t="str">
        <f>IF(Titanic_Dataset[[#This Row],[Pclass]]=1,"1st",IF(Titanic_Dataset[[#This Row],[Pclass]]=2,"2nd",IF(Titanic_Dataset[[#This Row],[Pclass]]=3,"3rd")))</f>
        <v>3rd</v>
      </c>
      <c r="F424" s="1" t="s">
        <v>873</v>
      </c>
      <c r="G424" s="1" t="str">
        <f>TRIM(MID(Titanic_Dataset[[#This Row],[Name]],
FIND(",",Titanic_Dataset[[#This Row],[Name]])+2,
FIND(".",Titanic_Dataset[[#This Row],[Name]],FIND(",",Titanic_Dataset[[#This Row],[Name]]))-FIND(",",Titanic_Dataset[[#This Row],[Name]])-1))</f>
        <v>Mr.</v>
      </c>
      <c r="H424" s="1" t="s">
        <v>13</v>
      </c>
      <c r="I424">
        <v>29</v>
      </c>
      <c r="J42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24">
        <v>0</v>
      </c>
      <c r="L424">
        <v>0</v>
      </c>
      <c r="M424">
        <f>Titanic_Dataset[[#This Row],[Parch]]+Titanic_Dataset[[#This Row],[SibSp]]</f>
        <v>0</v>
      </c>
      <c r="N424" s="1" t="s">
        <v>874</v>
      </c>
      <c r="O424">
        <v>7.875</v>
      </c>
      <c r="P424" t="e">
        <f>IF(Titanic_Dataset[[#This Row],[Survived]]=1,Titanic_Dataset[[#This Row],[Fare]],NA())</f>
        <v>#N/A</v>
      </c>
      <c r="Q424">
        <f>IF(Titanic_Dataset[[#This Row],[Survived]]=0,Titanic_Dataset[[#This Row],[Fare]],NA())</f>
        <v>7.875</v>
      </c>
      <c r="R424" t="str">
        <f>VLOOKUP(Titanic_Dataset[[#This Row],[Fare]],Table2[],2,TRUE)</f>
        <v>low</v>
      </c>
      <c r="S424" s="1" t="s">
        <v>15</v>
      </c>
      <c r="T424" s="1" t="s">
        <v>16</v>
      </c>
      <c r="U424" s="1"/>
      <c r="V424" s="1"/>
      <c r="W424" s="1"/>
    </row>
    <row r="425" spans="1:23" x14ac:dyDescent="0.25">
      <c r="A425">
        <v>424</v>
      </c>
      <c r="B425">
        <v>0</v>
      </c>
      <c r="C425" t="str">
        <f>IF(Titanic_Dataset[[#This Row],[Survived]]=1,"Survived","Died")</f>
        <v>Died</v>
      </c>
      <c r="D425">
        <v>3</v>
      </c>
      <c r="E425" t="str">
        <f>IF(Titanic_Dataset[[#This Row],[Pclass]]=1,"1st",IF(Titanic_Dataset[[#This Row],[Pclass]]=2,"2nd",IF(Titanic_Dataset[[#This Row],[Pclass]]=3,"3rd")))</f>
        <v>3rd</v>
      </c>
      <c r="F425" s="1" t="s">
        <v>875</v>
      </c>
      <c r="G425" s="1" t="str">
        <f>TRIM(MID(Titanic_Dataset[[#This Row],[Name]],
FIND(",",Titanic_Dataset[[#This Row],[Name]])+2,
FIND(".",Titanic_Dataset[[#This Row],[Name]],FIND(",",Titanic_Dataset[[#This Row],[Name]]))-FIND(",",Titanic_Dataset[[#This Row],[Name]])-1))</f>
        <v>Mrs.</v>
      </c>
      <c r="H425" s="1" t="s">
        <v>18</v>
      </c>
      <c r="I425">
        <v>28</v>
      </c>
      <c r="J42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25">
        <v>1</v>
      </c>
      <c r="L425">
        <v>1</v>
      </c>
      <c r="M425">
        <f>Titanic_Dataset[[#This Row],[Parch]]+Titanic_Dataset[[#This Row],[SibSp]]</f>
        <v>2</v>
      </c>
      <c r="N425" s="1" t="s">
        <v>876</v>
      </c>
      <c r="O425">
        <v>14.4</v>
      </c>
      <c r="P425" t="e">
        <f>IF(Titanic_Dataset[[#This Row],[Survived]]=1,Titanic_Dataset[[#This Row],[Fare]],NA())</f>
        <v>#N/A</v>
      </c>
      <c r="Q425">
        <f>IF(Titanic_Dataset[[#This Row],[Survived]]=0,Titanic_Dataset[[#This Row],[Fare]],NA())</f>
        <v>14.4</v>
      </c>
      <c r="R425" t="str">
        <f>VLOOKUP(Titanic_Dataset[[#This Row],[Fare]],Table2[],2,TRUE)</f>
        <v>medium</v>
      </c>
      <c r="S425" s="1" t="s">
        <v>15</v>
      </c>
      <c r="T425" s="1" t="s">
        <v>16</v>
      </c>
      <c r="U425" s="1"/>
      <c r="V425" s="1"/>
      <c r="W425" s="1"/>
    </row>
    <row r="426" spans="1:23" x14ac:dyDescent="0.25">
      <c r="A426">
        <v>425</v>
      </c>
      <c r="B426">
        <v>0</v>
      </c>
      <c r="C426" t="str">
        <f>IF(Titanic_Dataset[[#This Row],[Survived]]=1,"Survived","Died")</f>
        <v>Died</v>
      </c>
      <c r="D426">
        <v>3</v>
      </c>
      <c r="E426" t="str">
        <f>IF(Titanic_Dataset[[#This Row],[Pclass]]=1,"1st",IF(Titanic_Dataset[[#This Row],[Pclass]]=2,"2nd",IF(Titanic_Dataset[[#This Row],[Pclass]]=3,"3rd")))</f>
        <v>3rd</v>
      </c>
      <c r="F426" s="1" t="s">
        <v>877</v>
      </c>
      <c r="G426" s="1" t="str">
        <f>TRIM(MID(Titanic_Dataset[[#This Row],[Name]],
FIND(",",Titanic_Dataset[[#This Row],[Name]])+2,
FIND(".",Titanic_Dataset[[#This Row],[Name]],FIND(",",Titanic_Dataset[[#This Row],[Name]]))-FIND(",",Titanic_Dataset[[#This Row],[Name]])-1))</f>
        <v>Mr.</v>
      </c>
      <c r="H426" s="1" t="s">
        <v>13</v>
      </c>
      <c r="I426">
        <v>18</v>
      </c>
      <c r="J426" t="str">
        <f>IF(Titanic_Dataset[[#This Row],[Age]]&lt;12,"0-11",
IF(Titanic_Dataset[[#This Row],[Age]]&lt;20,"12-19",
IF(Titanic_Dataset[[#This Row],[Age]]&lt;30,"20-29",
IF(Titanic_Dataset[[#This Row],[Age]]&lt;40,"30-39",
IF(Titanic_Dataset[[#This Row],[Age]]&lt;50,"40-49",
IF(Titanic_Dataset[[#This Row],[Age]]&lt;60,"50-59",
IF(Titanic_Dataset[[#This Row],[Age]]&lt;70,"60-69",)))))))</f>
        <v>12-19</v>
      </c>
      <c r="K426">
        <v>1</v>
      </c>
      <c r="L426">
        <v>1</v>
      </c>
      <c r="M426">
        <f>Titanic_Dataset[[#This Row],[Parch]]+Titanic_Dataset[[#This Row],[SibSp]]</f>
        <v>2</v>
      </c>
      <c r="N426" s="1" t="s">
        <v>543</v>
      </c>
      <c r="O426">
        <v>20.212499999999999</v>
      </c>
      <c r="P426" t="e">
        <f>IF(Titanic_Dataset[[#This Row],[Survived]]=1,Titanic_Dataset[[#This Row],[Fare]],NA())</f>
        <v>#N/A</v>
      </c>
      <c r="Q426">
        <f>IF(Titanic_Dataset[[#This Row],[Survived]]=0,Titanic_Dataset[[#This Row],[Fare]],NA())</f>
        <v>20.212499999999999</v>
      </c>
      <c r="R426" t="str">
        <f>VLOOKUP(Titanic_Dataset[[#This Row],[Fare]],Table2[],2,TRUE)</f>
        <v>high</v>
      </c>
      <c r="S426" s="1" t="s">
        <v>15</v>
      </c>
      <c r="T426" s="1" t="s">
        <v>16</v>
      </c>
      <c r="U426" s="1"/>
      <c r="V426" s="1"/>
      <c r="W426" s="1"/>
    </row>
    <row r="427" spans="1:23" x14ac:dyDescent="0.25">
      <c r="A427">
        <v>426</v>
      </c>
      <c r="B427">
        <v>0</v>
      </c>
      <c r="C427" t="str">
        <f>IF(Titanic_Dataset[[#This Row],[Survived]]=1,"Survived","Died")</f>
        <v>Died</v>
      </c>
      <c r="D427">
        <v>3</v>
      </c>
      <c r="E427" t="str">
        <f>IF(Titanic_Dataset[[#This Row],[Pclass]]=1,"1st",IF(Titanic_Dataset[[#This Row],[Pclass]]=2,"2nd",IF(Titanic_Dataset[[#This Row],[Pclass]]=3,"3rd")))</f>
        <v>3rd</v>
      </c>
      <c r="F427" s="1" t="s">
        <v>878</v>
      </c>
      <c r="G427" s="1" t="str">
        <f>TRIM(MID(Titanic_Dataset[[#This Row],[Name]],
FIND(",",Titanic_Dataset[[#This Row],[Name]])+2,
FIND(".",Titanic_Dataset[[#This Row],[Name]],FIND(",",Titanic_Dataset[[#This Row],[Name]]))-FIND(",",Titanic_Dataset[[#This Row],[Name]])-1))</f>
        <v>Mr.</v>
      </c>
      <c r="H427" s="1" t="s">
        <v>13</v>
      </c>
      <c r="I427">
        <v>28</v>
      </c>
      <c r="J42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27">
        <v>0</v>
      </c>
      <c r="L427">
        <v>0</v>
      </c>
      <c r="M427">
        <f>Titanic_Dataset[[#This Row],[Parch]]+Titanic_Dataset[[#This Row],[SibSp]]</f>
        <v>0</v>
      </c>
      <c r="N427" s="1" t="s">
        <v>879</v>
      </c>
      <c r="O427">
        <v>7.25</v>
      </c>
      <c r="P427" t="e">
        <f>IF(Titanic_Dataset[[#This Row],[Survived]]=1,Titanic_Dataset[[#This Row],[Fare]],NA())</f>
        <v>#N/A</v>
      </c>
      <c r="Q427">
        <f>IF(Titanic_Dataset[[#This Row],[Survived]]=0,Titanic_Dataset[[#This Row],[Fare]],NA())</f>
        <v>7.25</v>
      </c>
      <c r="R427" t="str">
        <f>VLOOKUP(Titanic_Dataset[[#This Row],[Fare]],Table2[],2,TRUE)</f>
        <v>low</v>
      </c>
      <c r="S427" s="1" t="s">
        <v>15</v>
      </c>
      <c r="T427" s="1" t="s">
        <v>16</v>
      </c>
      <c r="U427" s="1"/>
      <c r="V427" s="1"/>
      <c r="W427" s="1"/>
    </row>
    <row r="428" spans="1:23" x14ac:dyDescent="0.25">
      <c r="A428">
        <v>427</v>
      </c>
      <c r="B428">
        <v>1</v>
      </c>
      <c r="C428" t="str">
        <f>IF(Titanic_Dataset[[#This Row],[Survived]]=1,"Survived","Died")</f>
        <v>Survived</v>
      </c>
      <c r="D428">
        <v>2</v>
      </c>
      <c r="E428" t="str">
        <f>IF(Titanic_Dataset[[#This Row],[Pclass]]=1,"1st",IF(Titanic_Dataset[[#This Row],[Pclass]]=2,"2nd",IF(Titanic_Dataset[[#This Row],[Pclass]]=3,"3rd")))</f>
        <v>2nd</v>
      </c>
      <c r="F428" s="1" t="s">
        <v>880</v>
      </c>
      <c r="G428" s="1" t="str">
        <f>TRIM(MID(Titanic_Dataset[[#This Row],[Name]],
FIND(",",Titanic_Dataset[[#This Row],[Name]])+2,
FIND(".",Titanic_Dataset[[#This Row],[Name]],FIND(",",Titanic_Dataset[[#This Row],[Name]]))-FIND(",",Titanic_Dataset[[#This Row],[Name]])-1))</f>
        <v>Mrs.</v>
      </c>
      <c r="H428" s="1" t="s">
        <v>18</v>
      </c>
      <c r="I428">
        <v>28</v>
      </c>
      <c r="J42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28">
        <v>1</v>
      </c>
      <c r="L428">
        <v>0</v>
      </c>
      <c r="M428">
        <f>Titanic_Dataset[[#This Row],[Parch]]+Titanic_Dataset[[#This Row],[SibSp]]</f>
        <v>1</v>
      </c>
      <c r="N428" s="1" t="s">
        <v>881</v>
      </c>
      <c r="O428">
        <v>26</v>
      </c>
      <c r="P428">
        <f>IF(Titanic_Dataset[[#This Row],[Survived]]=1,Titanic_Dataset[[#This Row],[Fare]],NA())</f>
        <v>26</v>
      </c>
      <c r="Q428" t="e">
        <f>IF(Titanic_Dataset[[#This Row],[Survived]]=0,Titanic_Dataset[[#This Row],[Fare]],NA())</f>
        <v>#N/A</v>
      </c>
      <c r="R428" t="str">
        <f>VLOOKUP(Titanic_Dataset[[#This Row],[Fare]],Table2[],2,TRUE)</f>
        <v>high</v>
      </c>
      <c r="S428" s="1" t="s">
        <v>15</v>
      </c>
      <c r="T428" s="1" t="s">
        <v>16</v>
      </c>
      <c r="U428" s="1"/>
      <c r="V428" s="1"/>
      <c r="W428" s="1"/>
    </row>
    <row r="429" spans="1:23" x14ac:dyDescent="0.25">
      <c r="A429">
        <v>428</v>
      </c>
      <c r="B429">
        <v>1</v>
      </c>
      <c r="C429" t="str">
        <f>IF(Titanic_Dataset[[#This Row],[Survived]]=1,"Survived","Died")</f>
        <v>Survived</v>
      </c>
      <c r="D429">
        <v>2</v>
      </c>
      <c r="E429" t="str">
        <f>IF(Titanic_Dataset[[#This Row],[Pclass]]=1,"1st",IF(Titanic_Dataset[[#This Row],[Pclass]]=2,"2nd",IF(Titanic_Dataset[[#This Row],[Pclass]]=3,"3rd")))</f>
        <v>2nd</v>
      </c>
      <c r="F429" s="1" t="s">
        <v>882</v>
      </c>
      <c r="G429" s="1" t="str">
        <f>TRIM(MID(Titanic_Dataset[[#This Row],[Name]],
FIND(",",Titanic_Dataset[[#This Row],[Name]])+2,
FIND(".",Titanic_Dataset[[#This Row],[Name]],FIND(",",Titanic_Dataset[[#This Row],[Name]]))-FIND(",",Titanic_Dataset[[#This Row],[Name]])-1))</f>
        <v>Miss.</v>
      </c>
      <c r="H429" s="1" t="s">
        <v>18</v>
      </c>
      <c r="I429">
        <v>19</v>
      </c>
      <c r="J429" t="str">
        <f>IF(Titanic_Dataset[[#This Row],[Age]]&lt;12,"0-11",
IF(Titanic_Dataset[[#This Row],[Age]]&lt;20,"12-19",
IF(Titanic_Dataset[[#This Row],[Age]]&lt;30,"20-29",
IF(Titanic_Dataset[[#This Row],[Age]]&lt;40,"30-39",
IF(Titanic_Dataset[[#This Row],[Age]]&lt;50,"40-49",
IF(Titanic_Dataset[[#This Row],[Age]]&lt;60,"50-59",
IF(Titanic_Dataset[[#This Row],[Age]]&lt;70,"60-69",)))))))</f>
        <v>12-19</v>
      </c>
      <c r="K429">
        <v>0</v>
      </c>
      <c r="L429">
        <v>0</v>
      </c>
      <c r="M429">
        <f>Titanic_Dataset[[#This Row],[Parch]]+Titanic_Dataset[[#This Row],[SibSp]]</f>
        <v>0</v>
      </c>
      <c r="N429" s="1" t="s">
        <v>883</v>
      </c>
      <c r="O429">
        <v>26</v>
      </c>
      <c r="P429">
        <f>IF(Titanic_Dataset[[#This Row],[Survived]]=1,Titanic_Dataset[[#This Row],[Fare]],NA())</f>
        <v>26</v>
      </c>
      <c r="Q429" t="e">
        <f>IF(Titanic_Dataset[[#This Row],[Survived]]=0,Titanic_Dataset[[#This Row],[Fare]],NA())</f>
        <v>#N/A</v>
      </c>
      <c r="R429" t="str">
        <f>VLOOKUP(Titanic_Dataset[[#This Row],[Fare]],Table2[],2,TRUE)</f>
        <v>high</v>
      </c>
      <c r="S429" s="1" t="s">
        <v>15</v>
      </c>
      <c r="T429" s="1" t="s">
        <v>16</v>
      </c>
      <c r="U429" s="1"/>
      <c r="V429" s="1"/>
      <c r="W429" s="1"/>
    </row>
    <row r="430" spans="1:23" x14ac:dyDescent="0.25">
      <c r="A430">
        <v>429</v>
      </c>
      <c r="B430">
        <v>0</v>
      </c>
      <c r="C430" t="str">
        <f>IF(Titanic_Dataset[[#This Row],[Survived]]=1,"Survived","Died")</f>
        <v>Died</v>
      </c>
      <c r="D430">
        <v>3</v>
      </c>
      <c r="E430" t="str">
        <f>IF(Titanic_Dataset[[#This Row],[Pclass]]=1,"1st",IF(Titanic_Dataset[[#This Row],[Pclass]]=2,"2nd",IF(Titanic_Dataset[[#This Row],[Pclass]]=3,"3rd")))</f>
        <v>3rd</v>
      </c>
      <c r="F430" s="1" t="s">
        <v>884</v>
      </c>
      <c r="G430" s="1" t="str">
        <f>TRIM(MID(Titanic_Dataset[[#This Row],[Name]],
FIND(",",Titanic_Dataset[[#This Row],[Name]])+2,
FIND(".",Titanic_Dataset[[#This Row],[Name]],FIND(",",Titanic_Dataset[[#This Row],[Name]]))-FIND(",",Titanic_Dataset[[#This Row],[Name]])-1))</f>
        <v>Mr.</v>
      </c>
      <c r="H430" s="1" t="s">
        <v>13</v>
      </c>
      <c r="I430">
        <v>28</v>
      </c>
      <c r="J43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30">
        <v>0</v>
      </c>
      <c r="L430">
        <v>0</v>
      </c>
      <c r="M430">
        <f>Titanic_Dataset[[#This Row],[Parch]]+Titanic_Dataset[[#This Row],[SibSp]]</f>
        <v>0</v>
      </c>
      <c r="N430" s="1" t="s">
        <v>885</v>
      </c>
      <c r="O430">
        <v>7.75</v>
      </c>
      <c r="P430" t="e">
        <f>IF(Titanic_Dataset[[#This Row],[Survived]]=1,Titanic_Dataset[[#This Row],[Fare]],NA())</f>
        <v>#N/A</v>
      </c>
      <c r="Q430">
        <f>IF(Titanic_Dataset[[#This Row],[Survived]]=0,Titanic_Dataset[[#This Row],[Fare]],NA())</f>
        <v>7.75</v>
      </c>
      <c r="R430" t="str">
        <f>VLOOKUP(Titanic_Dataset[[#This Row],[Fare]],Table2[],2,TRUE)</f>
        <v>low</v>
      </c>
      <c r="S430" s="1" t="s">
        <v>15</v>
      </c>
      <c r="T430" s="1" t="s">
        <v>31</v>
      </c>
      <c r="U430" s="1"/>
      <c r="V430" s="1"/>
      <c r="W430" s="1"/>
    </row>
    <row r="431" spans="1:23" x14ac:dyDescent="0.25">
      <c r="A431">
        <v>430</v>
      </c>
      <c r="B431">
        <v>1</v>
      </c>
      <c r="C431" t="str">
        <f>IF(Titanic_Dataset[[#This Row],[Survived]]=1,"Survived","Died")</f>
        <v>Survived</v>
      </c>
      <c r="D431">
        <v>3</v>
      </c>
      <c r="E431" t="str">
        <f>IF(Titanic_Dataset[[#This Row],[Pclass]]=1,"1st",IF(Titanic_Dataset[[#This Row],[Pclass]]=2,"2nd",IF(Titanic_Dataset[[#This Row],[Pclass]]=3,"3rd")))</f>
        <v>3rd</v>
      </c>
      <c r="F431" s="1" t="s">
        <v>886</v>
      </c>
      <c r="G431" s="1" t="str">
        <f>TRIM(MID(Titanic_Dataset[[#This Row],[Name]],
FIND(",",Titanic_Dataset[[#This Row],[Name]])+2,
FIND(".",Titanic_Dataset[[#This Row],[Name]],FIND(",",Titanic_Dataset[[#This Row],[Name]]))-FIND(",",Titanic_Dataset[[#This Row],[Name]])-1))</f>
        <v>Mr.</v>
      </c>
      <c r="H431" s="1" t="s">
        <v>13</v>
      </c>
      <c r="I431">
        <v>32</v>
      </c>
      <c r="J431" t="str">
        <f>IF(Titanic_Dataset[[#This Row],[Age]]&lt;12,"0-11",
IF(Titanic_Dataset[[#This Row],[Age]]&lt;20,"12-19",
IF(Titanic_Dataset[[#This Row],[Age]]&lt;30,"20-29",
IF(Titanic_Dataset[[#This Row],[Age]]&lt;40,"30-39",
IF(Titanic_Dataset[[#This Row],[Age]]&lt;50,"40-49",
IF(Titanic_Dataset[[#This Row],[Age]]&lt;60,"50-59",
IF(Titanic_Dataset[[#This Row],[Age]]&lt;70,"60-69",)))))))</f>
        <v>30-39</v>
      </c>
      <c r="K431">
        <v>0</v>
      </c>
      <c r="L431">
        <v>0</v>
      </c>
      <c r="M431">
        <f>Titanic_Dataset[[#This Row],[Parch]]+Titanic_Dataset[[#This Row],[SibSp]]</f>
        <v>0</v>
      </c>
      <c r="N431" s="1" t="s">
        <v>887</v>
      </c>
      <c r="O431">
        <v>8.0500000000000007</v>
      </c>
      <c r="P431">
        <f>IF(Titanic_Dataset[[#This Row],[Survived]]=1,Titanic_Dataset[[#This Row],[Fare]],NA())</f>
        <v>8.0500000000000007</v>
      </c>
      <c r="Q431" t="e">
        <f>IF(Titanic_Dataset[[#This Row],[Survived]]=0,Titanic_Dataset[[#This Row],[Fare]],NA())</f>
        <v>#N/A</v>
      </c>
      <c r="R431" t="str">
        <f>VLOOKUP(Titanic_Dataset[[#This Row],[Fare]],Table2[],2,TRUE)</f>
        <v>medium</v>
      </c>
      <c r="S431" s="1" t="s">
        <v>888</v>
      </c>
      <c r="T431" s="1" t="s">
        <v>16</v>
      </c>
      <c r="U431" s="1"/>
      <c r="V431" s="1"/>
      <c r="W431" s="1"/>
    </row>
    <row r="432" spans="1:23" x14ac:dyDescent="0.25">
      <c r="A432">
        <v>431</v>
      </c>
      <c r="B432">
        <v>1</v>
      </c>
      <c r="C432" t="str">
        <f>IF(Titanic_Dataset[[#This Row],[Survived]]=1,"Survived","Died")</f>
        <v>Survived</v>
      </c>
      <c r="D432">
        <v>1</v>
      </c>
      <c r="E432" t="str">
        <f>IF(Titanic_Dataset[[#This Row],[Pclass]]=1,"1st",IF(Titanic_Dataset[[#This Row],[Pclass]]=2,"2nd",IF(Titanic_Dataset[[#This Row],[Pclass]]=3,"3rd")))</f>
        <v>1st</v>
      </c>
      <c r="F432" s="1" t="s">
        <v>889</v>
      </c>
      <c r="G432" s="1" t="str">
        <f>TRIM(MID(Titanic_Dataset[[#This Row],[Name]],
FIND(",",Titanic_Dataset[[#This Row],[Name]])+2,
FIND(".",Titanic_Dataset[[#This Row],[Name]],FIND(",",Titanic_Dataset[[#This Row],[Name]]))-FIND(",",Titanic_Dataset[[#This Row],[Name]])-1))</f>
        <v>Mr.</v>
      </c>
      <c r="H432" s="1" t="s">
        <v>13</v>
      </c>
      <c r="I432">
        <v>28</v>
      </c>
      <c r="J43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32">
        <v>0</v>
      </c>
      <c r="L432">
        <v>0</v>
      </c>
      <c r="M432">
        <f>Titanic_Dataset[[#This Row],[Parch]]+Titanic_Dataset[[#This Row],[SibSp]]</f>
        <v>0</v>
      </c>
      <c r="N432" s="1" t="s">
        <v>890</v>
      </c>
      <c r="O432">
        <v>26.55</v>
      </c>
      <c r="P432">
        <f>IF(Titanic_Dataset[[#This Row],[Survived]]=1,Titanic_Dataset[[#This Row],[Fare]],NA())</f>
        <v>26.55</v>
      </c>
      <c r="Q432" t="e">
        <f>IF(Titanic_Dataset[[#This Row],[Survived]]=0,Titanic_Dataset[[#This Row],[Fare]],NA())</f>
        <v>#N/A</v>
      </c>
      <c r="R432" t="str">
        <f>VLOOKUP(Titanic_Dataset[[#This Row],[Fare]],Table2[],2,TRUE)</f>
        <v>high</v>
      </c>
      <c r="S432" s="1" t="s">
        <v>140</v>
      </c>
      <c r="T432" s="1" t="s">
        <v>16</v>
      </c>
      <c r="U432" s="1"/>
      <c r="V432" s="1"/>
      <c r="W432" s="1"/>
    </row>
    <row r="433" spans="1:23" x14ac:dyDescent="0.25">
      <c r="A433">
        <v>432</v>
      </c>
      <c r="B433">
        <v>1</v>
      </c>
      <c r="C433" t="str">
        <f>IF(Titanic_Dataset[[#This Row],[Survived]]=1,"Survived","Died")</f>
        <v>Survived</v>
      </c>
      <c r="D433">
        <v>3</v>
      </c>
      <c r="E433" t="str">
        <f>IF(Titanic_Dataset[[#This Row],[Pclass]]=1,"1st",IF(Titanic_Dataset[[#This Row],[Pclass]]=2,"2nd",IF(Titanic_Dataset[[#This Row],[Pclass]]=3,"3rd")))</f>
        <v>3rd</v>
      </c>
      <c r="F433" s="1" t="s">
        <v>891</v>
      </c>
      <c r="G433" s="1" t="str">
        <f>TRIM(MID(Titanic_Dataset[[#This Row],[Name]],
FIND(",",Titanic_Dataset[[#This Row],[Name]])+2,
FIND(".",Titanic_Dataset[[#This Row],[Name]],FIND(",",Titanic_Dataset[[#This Row],[Name]]))-FIND(",",Titanic_Dataset[[#This Row],[Name]])-1))</f>
        <v>Mrs.</v>
      </c>
      <c r="H433" s="1" t="s">
        <v>18</v>
      </c>
      <c r="I433">
        <v>28</v>
      </c>
      <c r="J43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33">
        <v>1</v>
      </c>
      <c r="L433">
        <v>0</v>
      </c>
      <c r="M433">
        <f>Titanic_Dataset[[#This Row],[Parch]]+Titanic_Dataset[[#This Row],[SibSp]]</f>
        <v>1</v>
      </c>
      <c r="N433" s="1" t="s">
        <v>892</v>
      </c>
      <c r="O433">
        <v>16.100000000000001</v>
      </c>
      <c r="P433">
        <f>IF(Titanic_Dataset[[#This Row],[Survived]]=1,Titanic_Dataset[[#This Row],[Fare]],NA())</f>
        <v>16.100000000000001</v>
      </c>
      <c r="Q433" t="e">
        <f>IF(Titanic_Dataset[[#This Row],[Survived]]=0,Titanic_Dataset[[#This Row],[Fare]],NA())</f>
        <v>#N/A</v>
      </c>
      <c r="R433" t="str">
        <f>VLOOKUP(Titanic_Dataset[[#This Row],[Fare]],Table2[],2,TRUE)</f>
        <v>high</v>
      </c>
      <c r="S433" s="1" t="s">
        <v>15</v>
      </c>
      <c r="T433" s="1" t="s">
        <v>16</v>
      </c>
      <c r="U433" s="1"/>
      <c r="V433" s="1"/>
      <c r="W433" s="1"/>
    </row>
    <row r="434" spans="1:23" x14ac:dyDescent="0.25">
      <c r="A434">
        <v>433</v>
      </c>
      <c r="B434">
        <v>1</v>
      </c>
      <c r="C434" t="str">
        <f>IF(Titanic_Dataset[[#This Row],[Survived]]=1,"Survived","Died")</f>
        <v>Survived</v>
      </c>
      <c r="D434">
        <v>2</v>
      </c>
      <c r="E434" t="str">
        <f>IF(Titanic_Dataset[[#This Row],[Pclass]]=1,"1st",IF(Titanic_Dataset[[#This Row],[Pclass]]=2,"2nd",IF(Titanic_Dataset[[#This Row],[Pclass]]=3,"3rd")))</f>
        <v>2nd</v>
      </c>
      <c r="F434" s="1" t="s">
        <v>893</v>
      </c>
      <c r="G434" s="1" t="str">
        <f>TRIM(MID(Titanic_Dataset[[#This Row],[Name]],
FIND(",",Titanic_Dataset[[#This Row],[Name]])+2,
FIND(".",Titanic_Dataset[[#This Row],[Name]],FIND(",",Titanic_Dataset[[#This Row],[Name]]))-FIND(",",Titanic_Dataset[[#This Row],[Name]])-1))</f>
        <v>Mrs.</v>
      </c>
      <c r="H434" s="1" t="s">
        <v>18</v>
      </c>
      <c r="I434">
        <v>42</v>
      </c>
      <c r="J434" t="str">
        <f>IF(Titanic_Dataset[[#This Row],[Age]]&lt;12,"0-11",
IF(Titanic_Dataset[[#This Row],[Age]]&lt;20,"12-19",
IF(Titanic_Dataset[[#This Row],[Age]]&lt;30,"20-29",
IF(Titanic_Dataset[[#This Row],[Age]]&lt;40,"30-39",
IF(Titanic_Dataset[[#This Row],[Age]]&lt;50,"40-49",
IF(Titanic_Dataset[[#This Row],[Age]]&lt;60,"50-59",
IF(Titanic_Dataset[[#This Row],[Age]]&lt;70,"60-69",)))))))</f>
        <v>40-49</v>
      </c>
      <c r="K434">
        <v>1</v>
      </c>
      <c r="L434">
        <v>0</v>
      </c>
      <c r="M434">
        <f>Titanic_Dataset[[#This Row],[Parch]]+Titanic_Dataset[[#This Row],[SibSp]]</f>
        <v>1</v>
      </c>
      <c r="N434" s="1" t="s">
        <v>894</v>
      </c>
      <c r="O434">
        <v>26</v>
      </c>
      <c r="P434">
        <f>IF(Titanic_Dataset[[#This Row],[Survived]]=1,Titanic_Dataset[[#This Row],[Fare]],NA())</f>
        <v>26</v>
      </c>
      <c r="Q434" t="e">
        <f>IF(Titanic_Dataset[[#This Row],[Survived]]=0,Titanic_Dataset[[#This Row],[Fare]],NA())</f>
        <v>#N/A</v>
      </c>
      <c r="R434" t="str">
        <f>VLOOKUP(Titanic_Dataset[[#This Row],[Fare]],Table2[],2,TRUE)</f>
        <v>high</v>
      </c>
      <c r="S434" s="1" t="s">
        <v>15</v>
      </c>
      <c r="T434" s="1" t="s">
        <v>16</v>
      </c>
      <c r="U434" s="1"/>
      <c r="V434" s="1"/>
      <c r="W434" s="1"/>
    </row>
    <row r="435" spans="1:23" x14ac:dyDescent="0.25">
      <c r="A435">
        <v>434</v>
      </c>
      <c r="B435">
        <v>0</v>
      </c>
      <c r="C435" t="str">
        <f>IF(Titanic_Dataset[[#This Row],[Survived]]=1,"Survived","Died")</f>
        <v>Died</v>
      </c>
      <c r="D435">
        <v>3</v>
      </c>
      <c r="E435" t="str">
        <f>IF(Titanic_Dataset[[#This Row],[Pclass]]=1,"1st",IF(Titanic_Dataset[[#This Row],[Pclass]]=2,"2nd",IF(Titanic_Dataset[[#This Row],[Pclass]]=3,"3rd")))</f>
        <v>3rd</v>
      </c>
      <c r="F435" s="1" t="s">
        <v>895</v>
      </c>
      <c r="G435" s="1" t="str">
        <f>TRIM(MID(Titanic_Dataset[[#This Row],[Name]],
FIND(",",Titanic_Dataset[[#This Row],[Name]])+2,
FIND(".",Titanic_Dataset[[#This Row],[Name]],FIND(",",Titanic_Dataset[[#This Row],[Name]]))-FIND(",",Titanic_Dataset[[#This Row],[Name]])-1))</f>
        <v>Mr.</v>
      </c>
      <c r="H435" s="1" t="s">
        <v>13</v>
      </c>
      <c r="I435">
        <v>17</v>
      </c>
      <c r="J435" t="str">
        <f>IF(Titanic_Dataset[[#This Row],[Age]]&lt;12,"0-11",
IF(Titanic_Dataset[[#This Row],[Age]]&lt;20,"12-19",
IF(Titanic_Dataset[[#This Row],[Age]]&lt;30,"20-29",
IF(Titanic_Dataset[[#This Row],[Age]]&lt;40,"30-39",
IF(Titanic_Dataset[[#This Row],[Age]]&lt;50,"40-49",
IF(Titanic_Dataset[[#This Row],[Age]]&lt;60,"50-59",
IF(Titanic_Dataset[[#This Row],[Age]]&lt;70,"60-69",)))))))</f>
        <v>12-19</v>
      </c>
      <c r="K435">
        <v>0</v>
      </c>
      <c r="L435">
        <v>0</v>
      </c>
      <c r="M435">
        <f>Titanic_Dataset[[#This Row],[Parch]]+Titanic_Dataset[[#This Row],[SibSp]]</f>
        <v>0</v>
      </c>
      <c r="N435" s="1" t="s">
        <v>896</v>
      </c>
      <c r="O435">
        <v>7.125</v>
      </c>
      <c r="P435" t="e">
        <f>IF(Titanic_Dataset[[#This Row],[Survived]]=1,Titanic_Dataset[[#This Row],[Fare]],NA())</f>
        <v>#N/A</v>
      </c>
      <c r="Q435">
        <f>IF(Titanic_Dataset[[#This Row],[Survived]]=0,Titanic_Dataset[[#This Row],[Fare]],NA())</f>
        <v>7.125</v>
      </c>
      <c r="R435" t="str">
        <f>VLOOKUP(Titanic_Dataset[[#This Row],[Fare]],Table2[],2,TRUE)</f>
        <v>low</v>
      </c>
      <c r="S435" s="1" t="s">
        <v>15</v>
      </c>
      <c r="T435" s="1" t="s">
        <v>16</v>
      </c>
      <c r="U435" s="1"/>
      <c r="V435" s="1"/>
      <c r="W435" s="1"/>
    </row>
    <row r="436" spans="1:23" x14ac:dyDescent="0.25">
      <c r="A436">
        <v>435</v>
      </c>
      <c r="B436">
        <v>0</v>
      </c>
      <c r="C436" t="str">
        <f>IF(Titanic_Dataset[[#This Row],[Survived]]=1,"Survived","Died")</f>
        <v>Died</v>
      </c>
      <c r="D436">
        <v>1</v>
      </c>
      <c r="E436" t="str">
        <f>IF(Titanic_Dataset[[#This Row],[Pclass]]=1,"1st",IF(Titanic_Dataset[[#This Row],[Pclass]]=2,"2nd",IF(Titanic_Dataset[[#This Row],[Pclass]]=3,"3rd")))</f>
        <v>1st</v>
      </c>
      <c r="F436" s="1" t="s">
        <v>897</v>
      </c>
      <c r="G436" s="1" t="str">
        <f>TRIM(MID(Titanic_Dataset[[#This Row],[Name]],
FIND(",",Titanic_Dataset[[#This Row],[Name]])+2,
FIND(".",Titanic_Dataset[[#This Row],[Name]],FIND(",",Titanic_Dataset[[#This Row],[Name]]))-FIND(",",Titanic_Dataset[[#This Row],[Name]])-1))</f>
        <v>Mr.</v>
      </c>
      <c r="H436" s="1" t="s">
        <v>13</v>
      </c>
      <c r="I436">
        <v>50</v>
      </c>
      <c r="J436" t="str">
        <f>IF(Titanic_Dataset[[#This Row],[Age]]&lt;12,"0-11",
IF(Titanic_Dataset[[#This Row],[Age]]&lt;20,"12-19",
IF(Titanic_Dataset[[#This Row],[Age]]&lt;30,"20-29",
IF(Titanic_Dataset[[#This Row],[Age]]&lt;40,"30-39",
IF(Titanic_Dataset[[#This Row],[Age]]&lt;50,"40-49",
IF(Titanic_Dataset[[#This Row],[Age]]&lt;60,"50-59",
IF(Titanic_Dataset[[#This Row],[Age]]&lt;70,"60-69",)))))))</f>
        <v>50-59</v>
      </c>
      <c r="K436">
        <v>1</v>
      </c>
      <c r="L436">
        <v>0</v>
      </c>
      <c r="M436">
        <f>Titanic_Dataset[[#This Row],[Parch]]+Titanic_Dataset[[#This Row],[SibSp]]</f>
        <v>1</v>
      </c>
      <c r="N436" s="1" t="s">
        <v>898</v>
      </c>
      <c r="O436">
        <v>55.9</v>
      </c>
      <c r="P436" t="e">
        <f>IF(Titanic_Dataset[[#This Row],[Survived]]=1,Titanic_Dataset[[#This Row],[Fare]],NA())</f>
        <v>#N/A</v>
      </c>
      <c r="Q436">
        <f>IF(Titanic_Dataset[[#This Row],[Survived]]=0,Titanic_Dataset[[#This Row],[Fare]],NA())</f>
        <v>55.9</v>
      </c>
      <c r="R436" t="str">
        <f>VLOOKUP(Titanic_Dataset[[#This Row],[Fare]],Table2[],2,TRUE)</f>
        <v>very hiegh</v>
      </c>
      <c r="S436" s="1" t="s">
        <v>899</v>
      </c>
      <c r="T436" s="1" t="s">
        <v>16</v>
      </c>
      <c r="U436" s="1"/>
      <c r="V436" s="1"/>
      <c r="W436" s="1"/>
    </row>
    <row r="437" spans="1:23" x14ac:dyDescent="0.25">
      <c r="A437">
        <v>436</v>
      </c>
      <c r="B437">
        <v>1</v>
      </c>
      <c r="C437" t="str">
        <f>IF(Titanic_Dataset[[#This Row],[Survived]]=1,"Survived","Died")</f>
        <v>Survived</v>
      </c>
      <c r="D437">
        <v>1</v>
      </c>
      <c r="E437" t="str">
        <f>IF(Titanic_Dataset[[#This Row],[Pclass]]=1,"1st",IF(Titanic_Dataset[[#This Row],[Pclass]]=2,"2nd",IF(Titanic_Dataset[[#This Row],[Pclass]]=3,"3rd")))</f>
        <v>1st</v>
      </c>
      <c r="F437" s="1" t="s">
        <v>900</v>
      </c>
      <c r="G437" s="1" t="str">
        <f>TRIM(MID(Titanic_Dataset[[#This Row],[Name]],
FIND(",",Titanic_Dataset[[#This Row],[Name]])+2,
FIND(".",Titanic_Dataset[[#This Row],[Name]],FIND(",",Titanic_Dataset[[#This Row],[Name]]))-FIND(",",Titanic_Dataset[[#This Row],[Name]])-1))</f>
        <v>Miss.</v>
      </c>
      <c r="H437" s="1" t="s">
        <v>18</v>
      </c>
      <c r="I437">
        <v>14</v>
      </c>
      <c r="J437" t="str">
        <f>IF(Titanic_Dataset[[#This Row],[Age]]&lt;12,"0-11",
IF(Titanic_Dataset[[#This Row],[Age]]&lt;20,"12-19",
IF(Titanic_Dataset[[#This Row],[Age]]&lt;30,"20-29",
IF(Titanic_Dataset[[#This Row],[Age]]&lt;40,"30-39",
IF(Titanic_Dataset[[#This Row],[Age]]&lt;50,"40-49",
IF(Titanic_Dataset[[#This Row],[Age]]&lt;60,"50-59",
IF(Titanic_Dataset[[#This Row],[Age]]&lt;70,"60-69",)))))))</f>
        <v>12-19</v>
      </c>
      <c r="K437">
        <v>1</v>
      </c>
      <c r="L437">
        <v>2</v>
      </c>
      <c r="M437">
        <f>Titanic_Dataset[[#This Row],[Parch]]+Titanic_Dataset[[#This Row],[SibSp]]</f>
        <v>3</v>
      </c>
      <c r="N437" s="1" t="s">
        <v>815</v>
      </c>
      <c r="O437">
        <v>120</v>
      </c>
      <c r="P437">
        <f>IF(Titanic_Dataset[[#This Row],[Survived]]=1,Titanic_Dataset[[#This Row],[Fare]],NA())</f>
        <v>120</v>
      </c>
      <c r="Q437" t="e">
        <f>IF(Titanic_Dataset[[#This Row],[Survived]]=0,Titanic_Dataset[[#This Row],[Fare]],NA())</f>
        <v>#N/A</v>
      </c>
      <c r="R437" t="str">
        <f>VLOOKUP(Titanic_Dataset[[#This Row],[Fare]],Table2[],2,TRUE)</f>
        <v>very hiegh</v>
      </c>
      <c r="S437" s="1" t="s">
        <v>816</v>
      </c>
      <c r="T437" s="1" t="s">
        <v>16</v>
      </c>
      <c r="U437" s="1"/>
      <c r="V437" s="1"/>
      <c r="W437" s="1"/>
    </row>
    <row r="438" spans="1:23" x14ac:dyDescent="0.25">
      <c r="A438">
        <v>437</v>
      </c>
      <c r="B438">
        <v>0</v>
      </c>
      <c r="C438" t="str">
        <f>IF(Titanic_Dataset[[#This Row],[Survived]]=1,"Survived","Died")</f>
        <v>Died</v>
      </c>
      <c r="D438">
        <v>3</v>
      </c>
      <c r="E438" t="str">
        <f>IF(Titanic_Dataset[[#This Row],[Pclass]]=1,"1st",IF(Titanic_Dataset[[#This Row],[Pclass]]=2,"2nd",IF(Titanic_Dataset[[#This Row],[Pclass]]=3,"3rd")))</f>
        <v>3rd</v>
      </c>
      <c r="F438" s="1" t="s">
        <v>901</v>
      </c>
      <c r="G438" s="1" t="str">
        <f>TRIM(MID(Titanic_Dataset[[#This Row],[Name]],
FIND(",",Titanic_Dataset[[#This Row],[Name]])+2,
FIND(".",Titanic_Dataset[[#This Row],[Name]],FIND(",",Titanic_Dataset[[#This Row],[Name]]))-FIND(",",Titanic_Dataset[[#This Row],[Name]])-1))</f>
        <v>Miss.</v>
      </c>
      <c r="H438" s="1" t="s">
        <v>18</v>
      </c>
      <c r="I438">
        <v>21</v>
      </c>
      <c r="J43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38">
        <v>2</v>
      </c>
      <c r="L438">
        <v>2</v>
      </c>
      <c r="M438">
        <f>Titanic_Dataset[[#This Row],[Parch]]+Titanic_Dataset[[#This Row],[SibSp]]</f>
        <v>4</v>
      </c>
      <c r="N438" s="1" t="s">
        <v>205</v>
      </c>
      <c r="O438">
        <v>34.375</v>
      </c>
      <c r="P438" t="e">
        <f>IF(Titanic_Dataset[[#This Row],[Survived]]=1,Titanic_Dataset[[#This Row],[Fare]],NA())</f>
        <v>#N/A</v>
      </c>
      <c r="Q438">
        <f>IF(Titanic_Dataset[[#This Row],[Survived]]=0,Titanic_Dataset[[#This Row],[Fare]],NA())</f>
        <v>34.375</v>
      </c>
      <c r="R438" t="str">
        <f>VLOOKUP(Titanic_Dataset[[#This Row],[Fare]],Table2[],2,TRUE)</f>
        <v>very hiegh</v>
      </c>
      <c r="S438" s="1" t="s">
        <v>15</v>
      </c>
      <c r="T438" s="1" t="s">
        <v>16</v>
      </c>
      <c r="U438" s="1"/>
      <c r="V438" s="1"/>
      <c r="W438" s="1"/>
    </row>
    <row r="439" spans="1:23" x14ac:dyDescent="0.25">
      <c r="A439">
        <v>438</v>
      </c>
      <c r="B439">
        <v>1</v>
      </c>
      <c r="C439" t="str">
        <f>IF(Titanic_Dataset[[#This Row],[Survived]]=1,"Survived","Died")</f>
        <v>Survived</v>
      </c>
      <c r="D439">
        <v>2</v>
      </c>
      <c r="E439" t="str">
        <f>IF(Titanic_Dataset[[#This Row],[Pclass]]=1,"1st",IF(Titanic_Dataset[[#This Row],[Pclass]]=2,"2nd",IF(Titanic_Dataset[[#This Row],[Pclass]]=3,"3rd")))</f>
        <v>2nd</v>
      </c>
      <c r="F439" s="1" t="s">
        <v>902</v>
      </c>
      <c r="G439" s="1" t="str">
        <f>TRIM(MID(Titanic_Dataset[[#This Row],[Name]],
FIND(",",Titanic_Dataset[[#This Row],[Name]])+2,
FIND(".",Titanic_Dataset[[#This Row],[Name]],FIND(",",Titanic_Dataset[[#This Row],[Name]]))-FIND(",",Titanic_Dataset[[#This Row],[Name]])-1))</f>
        <v>Mrs.</v>
      </c>
      <c r="H439" s="1" t="s">
        <v>18</v>
      </c>
      <c r="I439">
        <v>24</v>
      </c>
      <c r="J43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39">
        <v>2</v>
      </c>
      <c r="L439">
        <v>3</v>
      </c>
      <c r="M439">
        <f>Titanic_Dataset[[#This Row],[Parch]]+Titanic_Dataset[[#This Row],[SibSp]]</f>
        <v>5</v>
      </c>
      <c r="N439" s="1" t="s">
        <v>847</v>
      </c>
      <c r="O439">
        <v>18.75</v>
      </c>
      <c r="P439">
        <f>IF(Titanic_Dataset[[#This Row],[Survived]]=1,Titanic_Dataset[[#This Row],[Fare]],NA())</f>
        <v>18.75</v>
      </c>
      <c r="Q439" t="e">
        <f>IF(Titanic_Dataset[[#This Row],[Survived]]=0,Titanic_Dataset[[#This Row],[Fare]],NA())</f>
        <v>#N/A</v>
      </c>
      <c r="R439" t="str">
        <f>VLOOKUP(Titanic_Dataset[[#This Row],[Fare]],Table2[],2,TRUE)</f>
        <v>high</v>
      </c>
      <c r="S439" s="1" t="s">
        <v>15</v>
      </c>
      <c r="T439" s="1" t="s">
        <v>16</v>
      </c>
      <c r="U439" s="1"/>
      <c r="V439" s="1"/>
      <c r="W439" s="1"/>
    </row>
    <row r="440" spans="1:23" x14ac:dyDescent="0.25">
      <c r="A440">
        <v>439</v>
      </c>
      <c r="B440">
        <v>0</v>
      </c>
      <c r="C440" t="str">
        <f>IF(Titanic_Dataset[[#This Row],[Survived]]=1,"Survived","Died")</f>
        <v>Died</v>
      </c>
      <c r="D440">
        <v>1</v>
      </c>
      <c r="E440" t="str">
        <f>IF(Titanic_Dataset[[#This Row],[Pclass]]=1,"1st",IF(Titanic_Dataset[[#This Row],[Pclass]]=2,"2nd",IF(Titanic_Dataset[[#This Row],[Pclass]]=3,"3rd")))</f>
        <v>1st</v>
      </c>
      <c r="F440" s="1" t="s">
        <v>903</v>
      </c>
      <c r="G440" s="1" t="str">
        <f>TRIM(MID(Titanic_Dataset[[#This Row],[Name]],
FIND(",",Titanic_Dataset[[#This Row],[Name]])+2,
FIND(".",Titanic_Dataset[[#This Row],[Name]],FIND(",",Titanic_Dataset[[#This Row],[Name]]))-FIND(",",Titanic_Dataset[[#This Row],[Name]])-1))</f>
        <v>Mr.</v>
      </c>
      <c r="H440" s="1" t="s">
        <v>13</v>
      </c>
      <c r="I440">
        <v>64</v>
      </c>
      <c r="J440" t="str">
        <f>IF(Titanic_Dataset[[#This Row],[Age]]&lt;12,"0-11",
IF(Titanic_Dataset[[#This Row],[Age]]&lt;20,"12-19",
IF(Titanic_Dataset[[#This Row],[Age]]&lt;30,"20-29",
IF(Titanic_Dataset[[#This Row],[Age]]&lt;40,"30-39",
IF(Titanic_Dataset[[#This Row],[Age]]&lt;50,"40-49",
IF(Titanic_Dataset[[#This Row],[Age]]&lt;60,"50-59",
IF(Titanic_Dataset[[#This Row],[Age]]&lt;70,"60-69",)))))))</f>
        <v>60-69</v>
      </c>
      <c r="K440">
        <v>1</v>
      </c>
      <c r="L440">
        <v>4</v>
      </c>
      <c r="M440">
        <f>Titanic_Dataset[[#This Row],[Parch]]+Titanic_Dataset[[#This Row],[SibSp]]</f>
        <v>5</v>
      </c>
      <c r="N440" s="1" t="s">
        <v>79</v>
      </c>
      <c r="O440">
        <v>263</v>
      </c>
      <c r="P440" t="e">
        <f>IF(Titanic_Dataset[[#This Row],[Survived]]=1,Titanic_Dataset[[#This Row],[Fare]],NA())</f>
        <v>#N/A</v>
      </c>
      <c r="Q440">
        <f>IF(Titanic_Dataset[[#This Row],[Survived]]=0,Titanic_Dataset[[#This Row],[Fare]],NA())</f>
        <v>263</v>
      </c>
      <c r="R440" t="str">
        <f>VLOOKUP(Titanic_Dataset[[#This Row],[Fare]],Table2[],2,TRUE)</f>
        <v>very hiegh</v>
      </c>
      <c r="S440" s="1" t="s">
        <v>80</v>
      </c>
      <c r="T440" s="1" t="s">
        <v>16</v>
      </c>
      <c r="U440" s="1"/>
      <c r="V440" s="1"/>
      <c r="W440" s="1"/>
    </row>
    <row r="441" spans="1:23" x14ac:dyDescent="0.25">
      <c r="A441">
        <v>440</v>
      </c>
      <c r="B441">
        <v>0</v>
      </c>
      <c r="C441" t="str">
        <f>IF(Titanic_Dataset[[#This Row],[Survived]]=1,"Survived","Died")</f>
        <v>Died</v>
      </c>
      <c r="D441">
        <v>2</v>
      </c>
      <c r="E441" t="str">
        <f>IF(Titanic_Dataset[[#This Row],[Pclass]]=1,"1st",IF(Titanic_Dataset[[#This Row],[Pclass]]=2,"2nd",IF(Titanic_Dataset[[#This Row],[Pclass]]=3,"3rd")))</f>
        <v>2nd</v>
      </c>
      <c r="F441" s="1" t="s">
        <v>904</v>
      </c>
      <c r="G441" s="1" t="str">
        <f>TRIM(MID(Titanic_Dataset[[#This Row],[Name]],
FIND(",",Titanic_Dataset[[#This Row],[Name]])+2,
FIND(".",Titanic_Dataset[[#This Row],[Name]],FIND(",",Titanic_Dataset[[#This Row],[Name]]))-FIND(",",Titanic_Dataset[[#This Row],[Name]])-1))</f>
        <v>Mr.</v>
      </c>
      <c r="H441" s="1" t="s">
        <v>13</v>
      </c>
      <c r="I441">
        <v>31</v>
      </c>
      <c r="J441" t="str">
        <f>IF(Titanic_Dataset[[#This Row],[Age]]&lt;12,"0-11",
IF(Titanic_Dataset[[#This Row],[Age]]&lt;20,"12-19",
IF(Titanic_Dataset[[#This Row],[Age]]&lt;30,"20-29",
IF(Titanic_Dataset[[#This Row],[Age]]&lt;40,"30-39",
IF(Titanic_Dataset[[#This Row],[Age]]&lt;50,"40-49",
IF(Titanic_Dataset[[#This Row],[Age]]&lt;60,"50-59",
IF(Titanic_Dataset[[#This Row],[Age]]&lt;70,"60-69",)))))))</f>
        <v>30-39</v>
      </c>
      <c r="K441">
        <v>0</v>
      </c>
      <c r="L441">
        <v>0</v>
      </c>
      <c r="M441">
        <f>Titanic_Dataset[[#This Row],[Parch]]+Titanic_Dataset[[#This Row],[SibSp]]</f>
        <v>0</v>
      </c>
      <c r="N441" s="1" t="s">
        <v>905</v>
      </c>
      <c r="O441">
        <v>10.5</v>
      </c>
      <c r="P441" t="e">
        <f>IF(Titanic_Dataset[[#This Row],[Survived]]=1,Titanic_Dataset[[#This Row],[Fare]],NA())</f>
        <v>#N/A</v>
      </c>
      <c r="Q441">
        <f>IF(Titanic_Dataset[[#This Row],[Survived]]=0,Titanic_Dataset[[#This Row],[Fare]],NA())</f>
        <v>10.5</v>
      </c>
      <c r="R441" t="str">
        <f>VLOOKUP(Titanic_Dataset[[#This Row],[Fare]],Table2[],2,TRUE)</f>
        <v>medium</v>
      </c>
      <c r="S441" s="1" t="s">
        <v>15</v>
      </c>
      <c r="T441" s="1" t="s">
        <v>16</v>
      </c>
      <c r="U441" s="1"/>
      <c r="V441" s="1"/>
      <c r="W441" s="1"/>
    </row>
    <row r="442" spans="1:23" x14ac:dyDescent="0.25">
      <c r="A442">
        <v>441</v>
      </c>
      <c r="B442">
        <v>1</v>
      </c>
      <c r="C442" t="str">
        <f>IF(Titanic_Dataset[[#This Row],[Survived]]=1,"Survived","Died")</f>
        <v>Survived</v>
      </c>
      <c r="D442">
        <v>2</v>
      </c>
      <c r="E442" t="str">
        <f>IF(Titanic_Dataset[[#This Row],[Pclass]]=1,"1st",IF(Titanic_Dataset[[#This Row],[Pclass]]=2,"2nd",IF(Titanic_Dataset[[#This Row],[Pclass]]=3,"3rd")))</f>
        <v>2nd</v>
      </c>
      <c r="F442" s="1" t="s">
        <v>906</v>
      </c>
      <c r="G442" s="1" t="str">
        <f>TRIM(MID(Titanic_Dataset[[#This Row],[Name]],
FIND(",",Titanic_Dataset[[#This Row],[Name]])+2,
FIND(".",Titanic_Dataset[[#This Row],[Name]],FIND(",",Titanic_Dataset[[#This Row],[Name]]))-FIND(",",Titanic_Dataset[[#This Row],[Name]])-1))</f>
        <v>Mrs.</v>
      </c>
      <c r="H442" s="1" t="s">
        <v>18</v>
      </c>
      <c r="I442">
        <v>45</v>
      </c>
      <c r="J442" t="str">
        <f>IF(Titanic_Dataset[[#This Row],[Age]]&lt;12,"0-11",
IF(Titanic_Dataset[[#This Row],[Age]]&lt;20,"12-19",
IF(Titanic_Dataset[[#This Row],[Age]]&lt;30,"20-29",
IF(Titanic_Dataset[[#This Row],[Age]]&lt;40,"30-39",
IF(Titanic_Dataset[[#This Row],[Age]]&lt;50,"40-49",
IF(Titanic_Dataset[[#This Row],[Age]]&lt;60,"50-59",
IF(Titanic_Dataset[[#This Row],[Age]]&lt;70,"60-69",)))))))</f>
        <v>40-49</v>
      </c>
      <c r="K442">
        <v>1</v>
      </c>
      <c r="L442">
        <v>1</v>
      </c>
      <c r="M442">
        <f>Titanic_Dataset[[#This Row],[Parch]]+Titanic_Dataset[[#This Row],[SibSp]]</f>
        <v>2</v>
      </c>
      <c r="N442" s="1" t="s">
        <v>672</v>
      </c>
      <c r="O442">
        <v>26.25</v>
      </c>
      <c r="P442">
        <f>IF(Titanic_Dataset[[#This Row],[Survived]]=1,Titanic_Dataset[[#This Row],[Fare]],NA())</f>
        <v>26.25</v>
      </c>
      <c r="Q442" t="e">
        <f>IF(Titanic_Dataset[[#This Row],[Survived]]=0,Titanic_Dataset[[#This Row],[Fare]],NA())</f>
        <v>#N/A</v>
      </c>
      <c r="R442" t="str">
        <f>VLOOKUP(Titanic_Dataset[[#This Row],[Fare]],Table2[],2,TRUE)</f>
        <v>high</v>
      </c>
      <c r="S442" s="1" t="s">
        <v>15</v>
      </c>
      <c r="T442" s="1" t="s">
        <v>16</v>
      </c>
      <c r="U442" s="1"/>
      <c r="V442" s="1"/>
      <c r="W442" s="1"/>
    </row>
    <row r="443" spans="1:23" x14ac:dyDescent="0.25">
      <c r="A443">
        <v>442</v>
      </c>
      <c r="B443">
        <v>0</v>
      </c>
      <c r="C443" t="str">
        <f>IF(Titanic_Dataset[[#This Row],[Survived]]=1,"Survived","Died")</f>
        <v>Died</v>
      </c>
      <c r="D443">
        <v>3</v>
      </c>
      <c r="E443" t="str">
        <f>IF(Titanic_Dataset[[#This Row],[Pclass]]=1,"1st",IF(Titanic_Dataset[[#This Row],[Pclass]]=2,"2nd",IF(Titanic_Dataset[[#This Row],[Pclass]]=3,"3rd")))</f>
        <v>3rd</v>
      </c>
      <c r="F443" s="1" t="s">
        <v>907</v>
      </c>
      <c r="G443" s="1" t="str">
        <f>TRIM(MID(Titanic_Dataset[[#This Row],[Name]],
FIND(",",Titanic_Dataset[[#This Row],[Name]])+2,
FIND(".",Titanic_Dataset[[#This Row],[Name]],FIND(",",Titanic_Dataset[[#This Row],[Name]]))-FIND(",",Titanic_Dataset[[#This Row],[Name]])-1))</f>
        <v>Mr.</v>
      </c>
      <c r="H443" s="1" t="s">
        <v>13</v>
      </c>
      <c r="I443">
        <v>20</v>
      </c>
      <c r="J44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43">
        <v>0</v>
      </c>
      <c r="L443">
        <v>0</v>
      </c>
      <c r="M443">
        <f>Titanic_Dataset[[#This Row],[Parch]]+Titanic_Dataset[[#This Row],[SibSp]]</f>
        <v>0</v>
      </c>
      <c r="N443" s="1" t="s">
        <v>908</v>
      </c>
      <c r="O443">
        <v>9.5</v>
      </c>
      <c r="P443" t="e">
        <f>IF(Titanic_Dataset[[#This Row],[Survived]]=1,Titanic_Dataset[[#This Row],[Fare]],NA())</f>
        <v>#N/A</v>
      </c>
      <c r="Q443">
        <f>IF(Titanic_Dataset[[#This Row],[Survived]]=0,Titanic_Dataset[[#This Row],[Fare]],NA())</f>
        <v>9.5</v>
      </c>
      <c r="R443" t="str">
        <f>VLOOKUP(Titanic_Dataset[[#This Row],[Fare]],Table2[],2,TRUE)</f>
        <v>medium</v>
      </c>
      <c r="S443" s="1" t="s">
        <v>15</v>
      </c>
      <c r="T443" s="1" t="s">
        <v>16</v>
      </c>
      <c r="U443" s="1"/>
      <c r="V443" s="1"/>
      <c r="W443" s="1"/>
    </row>
    <row r="444" spans="1:23" x14ac:dyDescent="0.25">
      <c r="A444">
        <v>443</v>
      </c>
      <c r="B444">
        <v>0</v>
      </c>
      <c r="C444" t="str">
        <f>IF(Titanic_Dataset[[#This Row],[Survived]]=1,"Survived","Died")</f>
        <v>Died</v>
      </c>
      <c r="D444">
        <v>3</v>
      </c>
      <c r="E444" t="str">
        <f>IF(Titanic_Dataset[[#This Row],[Pclass]]=1,"1st",IF(Titanic_Dataset[[#This Row],[Pclass]]=2,"2nd",IF(Titanic_Dataset[[#This Row],[Pclass]]=3,"3rd")))</f>
        <v>3rd</v>
      </c>
      <c r="F444" s="1" t="s">
        <v>909</v>
      </c>
      <c r="G444" s="1" t="str">
        <f>TRIM(MID(Titanic_Dataset[[#This Row],[Name]],
FIND(",",Titanic_Dataset[[#This Row],[Name]])+2,
FIND(".",Titanic_Dataset[[#This Row],[Name]],FIND(",",Titanic_Dataset[[#This Row],[Name]]))-FIND(",",Titanic_Dataset[[#This Row],[Name]])-1))</f>
        <v>Mr.</v>
      </c>
      <c r="H444" s="1" t="s">
        <v>13</v>
      </c>
      <c r="I444">
        <v>25</v>
      </c>
      <c r="J44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44">
        <v>1</v>
      </c>
      <c r="L444">
        <v>0</v>
      </c>
      <c r="M444">
        <f>Titanic_Dataset[[#This Row],[Parch]]+Titanic_Dataset[[#This Row],[SibSp]]</f>
        <v>1</v>
      </c>
      <c r="N444" s="1" t="s">
        <v>910</v>
      </c>
      <c r="O444">
        <v>7.7750000000000004</v>
      </c>
      <c r="P444" t="e">
        <f>IF(Titanic_Dataset[[#This Row],[Survived]]=1,Titanic_Dataset[[#This Row],[Fare]],NA())</f>
        <v>#N/A</v>
      </c>
      <c r="Q444">
        <f>IF(Titanic_Dataset[[#This Row],[Survived]]=0,Titanic_Dataset[[#This Row],[Fare]],NA())</f>
        <v>7.7750000000000004</v>
      </c>
      <c r="R444" t="str">
        <f>VLOOKUP(Titanic_Dataset[[#This Row],[Fare]],Table2[],2,TRUE)</f>
        <v>low</v>
      </c>
      <c r="S444" s="1" t="s">
        <v>15</v>
      </c>
      <c r="T444" s="1" t="s">
        <v>16</v>
      </c>
      <c r="U444" s="1"/>
      <c r="V444" s="1"/>
      <c r="W444" s="1"/>
    </row>
    <row r="445" spans="1:23" x14ac:dyDescent="0.25">
      <c r="A445">
        <v>444</v>
      </c>
      <c r="B445">
        <v>1</v>
      </c>
      <c r="C445" t="str">
        <f>IF(Titanic_Dataset[[#This Row],[Survived]]=1,"Survived","Died")</f>
        <v>Survived</v>
      </c>
      <c r="D445">
        <v>2</v>
      </c>
      <c r="E445" t="str">
        <f>IF(Titanic_Dataset[[#This Row],[Pclass]]=1,"1st",IF(Titanic_Dataset[[#This Row],[Pclass]]=2,"2nd",IF(Titanic_Dataset[[#This Row],[Pclass]]=3,"3rd")))</f>
        <v>2nd</v>
      </c>
      <c r="F445" s="1" t="s">
        <v>911</v>
      </c>
      <c r="G445" s="1" t="str">
        <f>TRIM(MID(Titanic_Dataset[[#This Row],[Name]],
FIND(",",Titanic_Dataset[[#This Row],[Name]])+2,
FIND(".",Titanic_Dataset[[#This Row],[Name]],FIND(",",Titanic_Dataset[[#This Row],[Name]]))-FIND(",",Titanic_Dataset[[#This Row],[Name]])-1))</f>
        <v>Ms.</v>
      </c>
      <c r="H445" s="1" t="s">
        <v>18</v>
      </c>
      <c r="I445">
        <v>28</v>
      </c>
      <c r="J44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45">
        <v>0</v>
      </c>
      <c r="L445">
        <v>0</v>
      </c>
      <c r="M445">
        <f>Titanic_Dataset[[#This Row],[Parch]]+Titanic_Dataset[[#This Row],[SibSp]]</f>
        <v>0</v>
      </c>
      <c r="N445" s="1" t="s">
        <v>912</v>
      </c>
      <c r="O445">
        <v>13</v>
      </c>
      <c r="P445">
        <f>IF(Titanic_Dataset[[#This Row],[Survived]]=1,Titanic_Dataset[[#This Row],[Fare]],NA())</f>
        <v>13</v>
      </c>
      <c r="Q445" t="e">
        <f>IF(Titanic_Dataset[[#This Row],[Survived]]=0,Titanic_Dataset[[#This Row],[Fare]],NA())</f>
        <v>#N/A</v>
      </c>
      <c r="R445" t="str">
        <f>VLOOKUP(Titanic_Dataset[[#This Row],[Fare]],Table2[],2,TRUE)</f>
        <v>medium</v>
      </c>
      <c r="S445" s="1" t="s">
        <v>15</v>
      </c>
      <c r="T445" s="1" t="s">
        <v>16</v>
      </c>
      <c r="U445" s="1"/>
      <c r="V445" s="1"/>
      <c r="W445" s="1"/>
    </row>
    <row r="446" spans="1:23" x14ac:dyDescent="0.25">
      <c r="A446">
        <v>445</v>
      </c>
      <c r="B446">
        <v>1</v>
      </c>
      <c r="C446" t="str">
        <f>IF(Titanic_Dataset[[#This Row],[Survived]]=1,"Survived","Died")</f>
        <v>Survived</v>
      </c>
      <c r="D446">
        <v>3</v>
      </c>
      <c r="E446" t="str">
        <f>IF(Titanic_Dataset[[#This Row],[Pclass]]=1,"1st",IF(Titanic_Dataset[[#This Row],[Pclass]]=2,"2nd",IF(Titanic_Dataset[[#This Row],[Pclass]]=3,"3rd")))</f>
        <v>3rd</v>
      </c>
      <c r="F446" s="1" t="s">
        <v>913</v>
      </c>
      <c r="G446" s="1" t="str">
        <f>TRIM(MID(Titanic_Dataset[[#This Row],[Name]],
FIND(",",Titanic_Dataset[[#This Row],[Name]])+2,
FIND(".",Titanic_Dataset[[#This Row],[Name]],FIND(",",Titanic_Dataset[[#This Row],[Name]]))-FIND(",",Titanic_Dataset[[#This Row],[Name]])-1))</f>
        <v>Mr.</v>
      </c>
      <c r="H446" s="1" t="s">
        <v>13</v>
      </c>
      <c r="I446">
        <v>28</v>
      </c>
      <c r="J44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46">
        <v>0</v>
      </c>
      <c r="L446">
        <v>0</v>
      </c>
      <c r="M446">
        <f>Titanic_Dataset[[#This Row],[Parch]]+Titanic_Dataset[[#This Row],[SibSp]]</f>
        <v>0</v>
      </c>
      <c r="N446" s="1" t="s">
        <v>914</v>
      </c>
      <c r="O446">
        <v>8.1125000000000007</v>
      </c>
      <c r="P446">
        <f>IF(Titanic_Dataset[[#This Row],[Survived]]=1,Titanic_Dataset[[#This Row],[Fare]],NA())</f>
        <v>8.1125000000000007</v>
      </c>
      <c r="Q446" t="e">
        <f>IF(Titanic_Dataset[[#This Row],[Survived]]=0,Titanic_Dataset[[#This Row],[Fare]],NA())</f>
        <v>#N/A</v>
      </c>
      <c r="R446" t="str">
        <f>VLOOKUP(Titanic_Dataset[[#This Row],[Fare]],Table2[],2,TRUE)</f>
        <v>medium</v>
      </c>
      <c r="S446" s="1" t="s">
        <v>15</v>
      </c>
      <c r="T446" s="1" t="s">
        <v>16</v>
      </c>
      <c r="U446" s="1"/>
      <c r="V446" s="1"/>
      <c r="W446" s="1"/>
    </row>
    <row r="447" spans="1:23" x14ac:dyDescent="0.25">
      <c r="A447">
        <v>446</v>
      </c>
      <c r="B447">
        <v>1</v>
      </c>
      <c r="C447" t="str">
        <f>IF(Titanic_Dataset[[#This Row],[Survived]]=1,"Survived","Died")</f>
        <v>Survived</v>
      </c>
      <c r="D447">
        <v>1</v>
      </c>
      <c r="E447" t="str">
        <f>IF(Titanic_Dataset[[#This Row],[Pclass]]=1,"1st",IF(Titanic_Dataset[[#This Row],[Pclass]]=2,"2nd",IF(Titanic_Dataset[[#This Row],[Pclass]]=3,"3rd")))</f>
        <v>1st</v>
      </c>
      <c r="F447" s="1" t="s">
        <v>915</v>
      </c>
      <c r="G447" s="1" t="str">
        <f>TRIM(MID(Titanic_Dataset[[#This Row],[Name]],
FIND(",",Titanic_Dataset[[#This Row],[Name]])+2,
FIND(".",Titanic_Dataset[[#This Row],[Name]],FIND(",",Titanic_Dataset[[#This Row],[Name]]))-FIND(",",Titanic_Dataset[[#This Row],[Name]])-1))</f>
        <v>Master.</v>
      </c>
      <c r="H447" s="1" t="s">
        <v>13</v>
      </c>
      <c r="I447">
        <v>4</v>
      </c>
      <c r="J447" t="str">
        <f>IF(Titanic_Dataset[[#This Row],[Age]]&lt;12,"0-11",
IF(Titanic_Dataset[[#This Row],[Age]]&lt;20,"12-19",
IF(Titanic_Dataset[[#This Row],[Age]]&lt;30,"20-29",
IF(Titanic_Dataset[[#This Row],[Age]]&lt;40,"30-39",
IF(Titanic_Dataset[[#This Row],[Age]]&lt;50,"40-49",
IF(Titanic_Dataset[[#This Row],[Age]]&lt;60,"50-59",
IF(Titanic_Dataset[[#This Row],[Age]]&lt;70,"60-69",)))))))</f>
        <v>0-11</v>
      </c>
      <c r="K447">
        <v>0</v>
      </c>
      <c r="L447">
        <v>2</v>
      </c>
      <c r="M447">
        <f>Titanic_Dataset[[#This Row],[Parch]]+Titanic_Dataset[[#This Row],[SibSp]]</f>
        <v>2</v>
      </c>
      <c r="N447" s="1" t="s">
        <v>916</v>
      </c>
      <c r="O447">
        <v>81.8583</v>
      </c>
      <c r="P447">
        <f>IF(Titanic_Dataset[[#This Row],[Survived]]=1,Titanic_Dataset[[#This Row],[Fare]],NA())</f>
        <v>81.8583</v>
      </c>
      <c r="Q447" t="e">
        <f>IF(Titanic_Dataset[[#This Row],[Survived]]=0,Titanic_Dataset[[#This Row],[Fare]],NA())</f>
        <v>#N/A</v>
      </c>
      <c r="R447" t="str">
        <f>VLOOKUP(Titanic_Dataset[[#This Row],[Fare]],Table2[],2,TRUE)</f>
        <v>very hiegh</v>
      </c>
      <c r="S447" s="1" t="s">
        <v>917</v>
      </c>
      <c r="T447" s="1" t="s">
        <v>16</v>
      </c>
      <c r="U447" s="1"/>
      <c r="V447" s="1"/>
      <c r="W447" s="1"/>
    </row>
    <row r="448" spans="1:23" x14ac:dyDescent="0.25">
      <c r="A448">
        <v>447</v>
      </c>
      <c r="B448">
        <v>1</v>
      </c>
      <c r="C448" t="str">
        <f>IF(Titanic_Dataset[[#This Row],[Survived]]=1,"Survived","Died")</f>
        <v>Survived</v>
      </c>
      <c r="D448">
        <v>2</v>
      </c>
      <c r="E448" t="str">
        <f>IF(Titanic_Dataset[[#This Row],[Pclass]]=1,"1st",IF(Titanic_Dataset[[#This Row],[Pclass]]=2,"2nd",IF(Titanic_Dataset[[#This Row],[Pclass]]=3,"3rd")))</f>
        <v>2nd</v>
      </c>
      <c r="F448" s="1" t="s">
        <v>918</v>
      </c>
      <c r="G448" s="1" t="str">
        <f>TRIM(MID(Titanic_Dataset[[#This Row],[Name]],
FIND(",",Titanic_Dataset[[#This Row],[Name]])+2,
FIND(".",Titanic_Dataset[[#This Row],[Name]],FIND(",",Titanic_Dataset[[#This Row],[Name]]))-FIND(",",Titanic_Dataset[[#This Row],[Name]])-1))</f>
        <v>Miss.</v>
      </c>
      <c r="H448" s="1" t="s">
        <v>18</v>
      </c>
      <c r="I448">
        <v>13</v>
      </c>
      <c r="J448" t="str">
        <f>IF(Titanic_Dataset[[#This Row],[Age]]&lt;12,"0-11",
IF(Titanic_Dataset[[#This Row],[Age]]&lt;20,"12-19",
IF(Titanic_Dataset[[#This Row],[Age]]&lt;30,"20-29",
IF(Titanic_Dataset[[#This Row],[Age]]&lt;40,"30-39",
IF(Titanic_Dataset[[#This Row],[Age]]&lt;50,"40-49",
IF(Titanic_Dataset[[#This Row],[Age]]&lt;60,"50-59",
IF(Titanic_Dataset[[#This Row],[Age]]&lt;70,"60-69",)))))))</f>
        <v>12-19</v>
      </c>
      <c r="K448">
        <v>0</v>
      </c>
      <c r="L448">
        <v>1</v>
      </c>
      <c r="M448">
        <f>Titanic_Dataset[[#This Row],[Parch]]+Titanic_Dataset[[#This Row],[SibSp]]</f>
        <v>1</v>
      </c>
      <c r="N448" s="1" t="s">
        <v>581</v>
      </c>
      <c r="O448">
        <v>19.5</v>
      </c>
      <c r="P448">
        <f>IF(Titanic_Dataset[[#This Row],[Survived]]=1,Titanic_Dataset[[#This Row],[Fare]],NA())</f>
        <v>19.5</v>
      </c>
      <c r="Q448" t="e">
        <f>IF(Titanic_Dataset[[#This Row],[Survived]]=0,Titanic_Dataset[[#This Row],[Fare]],NA())</f>
        <v>#N/A</v>
      </c>
      <c r="R448" t="str">
        <f>VLOOKUP(Titanic_Dataset[[#This Row],[Fare]],Table2[],2,TRUE)</f>
        <v>high</v>
      </c>
      <c r="S448" s="1" t="s">
        <v>15</v>
      </c>
      <c r="T448" s="1" t="s">
        <v>16</v>
      </c>
      <c r="U448" s="1"/>
      <c r="V448" s="1"/>
      <c r="W448" s="1"/>
    </row>
    <row r="449" spans="1:23" x14ac:dyDescent="0.25">
      <c r="A449">
        <v>448</v>
      </c>
      <c r="B449">
        <v>1</v>
      </c>
      <c r="C449" t="str">
        <f>IF(Titanic_Dataset[[#This Row],[Survived]]=1,"Survived","Died")</f>
        <v>Survived</v>
      </c>
      <c r="D449">
        <v>1</v>
      </c>
      <c r="E449" t="str">
        <f>IF(Titanic_Dataset[[#This Row],[Pclass]]=1,"1st",IF(Titanic_Dataset[[#This Row],[Pclass]]=2,"2nd",IF(Titanic_Dataset[[#This Row],[Pclass]]=3,"3rd")))</f>
        <v>1st</v>
      </c>
      <c r="F449" s="1" t="s">
        <v>919</v>
      </c>
      <c r="G449" s="1" t="str">
        <f>TRIM(MID(Titanic_Dataset[[#This Row],[Name]],
FIND(",",Titanic_Dataset[[#This Row],[Name]])+2,
FIND(".",Titanic_Dataset[[#This Row],[Name]],FIND(",",Titanic_Dataset[[#This Row],[Name]]))-FIND(",",Titanic_Dataset[[#This Row],[Name]])-1))</f>
        <v>Mr.</v>
      </c>
      <c r="H449" s="1" t="s">
        <v>13</v>
      </c>
      <c r="I449">
        <v>34</v>
      </c>
      <c r="J449" t="str">
        <f>IF(Titanic_Dataset[[#This Row],[Age]]&lt;12,"0-11",
IF(Titanic_Dataset[[#This Row],[Age]]&lt;20,"12-19",
IF(Titanic_Dataset[[#This Row],[Age]]&lt;30,"20-29",
IF(Titanic_Dataset[[#This Row],[Age]]&lt;40,"30-39",
IF(Titanic_Dataset[[#This Row],[Age]]&lt;50,"40-49",
IF(Titanic_Dataset[[#This Row],[Age]]&lt;60,"50-59",
IF(Titanic_Dataset[[#This Row],[Age]]&lt;70,"60-69",)))))))</f>
        <v>30-39</v>
      </c>
      <c r="K449">
        <v>0</v>
      </c>
      <c r="L449">
        <v>0</v>
      </c>
      <c r="M449">
        <f>Titanic_Dataset[[#This Row],[Parch]]+Titanic_Dataset[[#This Row],[SibSp]]</f>
        <v>0</v>
      </c>
      <c r="N449" s="1" t="s">
        <v>920</v>
      </c>
      <c r="O449">
        <v>26.55</v>
      </c>
      <c r="P449">
        <f>IF(Titanic_Dataset[[#This Row],[Survived]]=1,Titanic_Dataset[[#This Row],[Fare]],NA())</f>
        <v>26.55</v>
      </c>
      <c r="Q449" t="e">
        <f>IF(Titanic_Dataset[[#This Row],[Survived]]=0,Titanic_Dataset[[#This Row],[Fare]],NA())</f>
        <v>#N/A</v>
      </c>
      <c r="R449" t="str">
        <f>VLOOKUP(Titanic_Dataset[[#This Row],[Fare]],Table2[],2,TRUE)</f>
        <v>high</v>
      </c>
      <c r="S449" s="1" t="s">
        <v>15</v>
      </c>
      <c r="T449" s="1" t="s">
        <v>16</v>
      </c>
      <c r="U449" s="1"/>
      <c r="V449" s="1"/>
      <c r="W449" s="1"/>
    </row>
    <row r="450" spans="1:23" x14ac:dyDescent="0.25">
      <c r="A450">
        <v>449</v>
      </c>
      <c r="B450">
        <v>1</v>
      </c>
      <c r="C450" t="str">
        <f>IF(Titanic_Dataset[[#This Row],[Survived]]=1,"Survived","Died")</f>
        <v>Survived</v>
      </c>
      <c r="D450">
        <v>3</v>
      </c>
      <c r="E450" t="str">
        <f>IF(Titanic_Dataset[[#This Row],[Pclass]]=1,"1st",IF(Titanic_Dataset[[#This Row],[Pclass]]=2,"2nd",IF(Titanic_Dataset[[#This Row],[Pclass]]=3,"3rd")))</f>
        <v>3rd</v>
      </c>
      <c r="F450" s="1" t="s">
        <v>921</v>
      </c>
      <c r="G450" s="1" t="str">
        <f>TRIM(MID(Titanic_Dataset[[#This Row],[Name]],
FIND(",",Titanic_Dataset[[#This Row],[Name]])+2,
FIND(".",Titanic_Dataset[[#This Row],[Name]],FIND(",",Titanic_Dataset[[#This Row],[Name]]))-FIND(",",Titanic_Dataset[[#This Row],[Name]])-1))</f>
        <v>Miss.</v>
      </c>
      <c r="H450" s="1" t="s">
        <v>18</v>
      </c>
      <c r="I450">
        <v>5</v>
      </c>
      <c r="J450" t="str">
        <f>IF(Titanic_Dataset[[#This Row],[Age]]&lt;12,"0-11",
IF(Titanic_Dataset[[#This Row],[Age]]&lt;20,"12-19",
IF(Titanic_Dataset[[#This Row],[Age]]&lt;30,"20-29",
IF(Titanic_Dataset[[#This Row],[Age]]&lt;40,"30-39",
IF(Titanic_Dataset[[#This Row],[Age]]&lt;50,"40-49",
IF(Titanic_Dataset[[#This Row],[Age]]&lt;60,"50-59",
IF(Titanic_Dataset[[#This Row],[Age]]&lt;70,"60-69",)))))))</f>
        <v>0-11</v>
      </c>
      <c r="K450">
        <v>2</v>
      </c>
      <c r="L450">
        <v>1</v>
      </c>
      <c r="M450">
        <f>Titanic_Dataset[[#This Row],[Parch]]+Titanic_Dataset[[#This Row],[SibSp]]</f>
        <v>3</v>
      </c>
      <c r="N450" s="1" t="s">
        <v>922</v>
      </c>
      <c r="O450">
        <v>19.258299999999998</v>
      </c>
      <c r="P450">
        <f>IF(Titanic_Dataset[[#This Row],[Survived]]=1,Titanic_Dataset[[#This Row],[Fare]],NA())</f>
        <v>19.258299999999998</v>
      </c>
      <c r="Q450" t="e">
        <f>IF(Titanic_Dataset[[#This Row],[Survived]]=0,Titanic_Dataset[[#This Row],[Fare]],NA())</f>
        <v>#N/A</v>
      </c>
      <c r="R450" t="str">
        <f>VLOOKUP(Titanic_Dataset[[#This Row],[Fare]],Table2[],2,TRUE)</f>
        <v>high</v>
      </c>
      <c r="S450" s="1" t="s">
        <v>15</v>
      </c>
      <c r="T450" s="1" t="s">
        <v>21</v>
      </c>
      <c r="U450" s="1"/>
      <c r="V450" s="1"/>
      <c r="W450" s="1"/>
    </row>
    <row r="451" spans="1:23" x14ac:dyDescent="0.25">
      <c r="A451">
        <v>450</v>
      </c>
      <c r="B451">
        <v>1</v>
      </c>
      <c r="C451" t="str">
        <f>IF(Titanic_Dataset[[#This Row],[Survived]]=1,"Survived","Died")</f>
        <v>Survived</v>
      </c>
      <c r="D451">
        <v>1</v>
      </c>
      <c r="E451" t="str">
        <f>IF(Titanic_Dataset[[#This Row],[Pclass]]=1,"1st",IF(Titanic_Dataset[[#This Row],[Pclass]]=2,"2nd",IF(Titanic_Dataset[[#This Row],[Pclass]]=3,"3rd")))</f>
        <v>1st</v>
      </c>
      <c r="F451" s="1" t="s">
        <v>923</v>
      </c>
      <c r="G451" s="1" t="str">
        <f>TRIM(MID(Titanic_Dataset[[#This Row],[Name]],
FIND(",",Titanic_Dataset[[#This Row],[Name]])+2,
FIND(".",Titanic_Dataset[[#This Row],[Name]],FIND(",",Titanic_Dataset[[#This Row],[Name]]))-FIND(",",Titanic_Dataset[[#This Row],[Name]])-1))</f>
        <v>Major.</v>
      </c>
      <c r="H451" s="1" t="s">
        <v>13</v>
      </c>
      <c r="I451">
        <v>52</v>
      </c>
      <c r="J451" t="str">
        <f>IF(Titanic_Dataset[[#This Row],[Age]]&lt;12,"0-11",
IF(Titanic_Dataset[[#This Row],[Age]]&lt;20,"12-19",
IF(Titanic_Dataset[[#This Row],[Age]]&lt;30,"20-29",
IF(Titanic_Dataset[[#This Row],[Age]]&lt;40,"30-39",
IF(Titanic_Dataset[[#This Row],[Age]]&lt;50,"40-49",
IF(Titanic_Dataset[[#This Row],[Age]]&lt;60,"50-59",
IF(Titanic_Dataset[[#This Row],[Age]]&lt;70,"60-69",)))))))</f>
        <v>50-59</v>
      </c>
      <c r="K451">
        <v>0</v>
      </c>
      <c r="L451">
        <v>0</v>
      </c>
      <c r="M451">
        <f>Titanic_Dataset[[#This Row],[Parch]]+Titanic_Dataset[[#This Row],[SibSp]]</f>
        <v>0</v>
      </c>
      <c r="N451" s="1" t="s">
        <v>924</v>
      </c>
      <c r="O451">
        <v>30.5</v>
      </c>
      <c r="P451">
        <f>IF(Titanic_Dataset[[#This Row],[Survived]]=1,Titanic_Dataset[[#This Row],[Fare]],NA())</f>
        <v>30.5</v>
      </c>
      <c r="Q451" t="e">
        <f>IF(Titanic_Dataset[[#This Row],[Survived]]=0,Titanic_Dataset[[#This Row],[Fare]],NA())</f>
        <v>#N/A</v>
      </c>
      <c r="R451" t="str">
        <f>VLOOKUP(Titanic_Dataset[[#This Row],[Fare]],Table2[],2,TRUE)</f>
        <v>very hiegh</v>
      </c>
      <c r="S451" s="1" t="s">
        <v>925</v>
      </c>
      <c r="T451" s="1" t="s">
        <v>16</v>
      </c>
      <c r="U451" s="1"/>
      <c r="V451" s="1"/>
      <c r="W451" s="1"/>
    </row>
    <row r="452" spans="1:23" x14ac:dyDescent="0.25">
      <c r="A452">
        <v>451</v>
      </c>
      <c r="B452">
        <v>0</v>
      </c>
      <c r="C452" t="str">
        <f>IF(Titanic_Dataset[[#This Row],[Survived]]=1,"Survived","Died")</f>
        <v>Died</v>
      </c>
      <c r="D452">
        <v>2</v>
      </c>
      <c r="E452" t="str">
        <f>IF(Titanic_Dataset[[#This Row],[Pclass]]=1,"1st",IF(Titanic_Dataset[[#This Row],[Pclass]]=2,"2nd",IF(Titanic_Dataset[[#This Row],[Pclass]]=3,"3rd")))</f>
        <v>2nd</v>
      </c>
      <c r="F452" s="1" t="s">
        <v>926</v>
      </c>
      <c r="G452" s="1" t="str">
        <f>TRIM(MID(Titanic_Dataset[[#This Row],[Name]],
FIND(",",Titanic_Dataset[[#This Row],[Name]])+2,
FIND(".",Titanic_Dataset[[#This Row],[Name]],FIND(",",Titanic_Dataset[[#This Row],[Name]]))-FIND(",",Titanic_Dataset[[#This Row],[Name]])-1))</f>
        <v>Mr.</v>
      </c>
      <c r="H452" s="1" t="s">
        <v>13</v>
      </c>
      <c r="I452">
        <v>36</v>
      </c>
      <c r="J452" t="str">
        <f>IF(Titanic_Dataset[[#This Row],[Age]]&lt;12,"0-11",
IF(Titanic_Dataset[[#This Row],[Age]]&lt;20,"12-19",
IF(Titanic_Dataset[[#This Row],[Age]]&lt;30,"20-29",
IF(Titanic_Dataset[[#This Row],[Age]]&lt;40,"30-39",
IF(Titanic_Dataset[[#This Row],[Age]]&lt;50,"40-49",
IF(Titanic_Dataset[[#This Row],[Age]]&lt;60,"50-59",
IF(Titanic_Dataset[[#This Row],[Age]]&lt;70,"60-69",)))))))</f>
        <v>30-39</v>
      </c>
      <c r="K452">
        <v>1</v>
      </c>
      <c r="L452">
        <v>2</v>
      </c>
      <c r="M452">
        <f>Titanic_Dataset[[#This Row],[Parch]]+Titanic_Dataset[[#This Row],[SibSp]]</f>
        <v>3</v>
      </c>
      <c r="N452" s="1" t="s">
        <v>146</v>
      </c>
      <c r="O452">
        <v>27.75</v>
      </c>
      <c r="P452" t="e">
        <f>IF(Titanic_Dataset[[#This Row],[Survived]]=1,Titanic_Dataset[[#This Row],[Fare]],NA())</f>
        <v>#N/A</v>
      </c>
      <c r="Q452">
        <f>IF(Titanic_Dataset[[#This Row],[Survived]]=0,Titanic_Dataset[[#This Row],[Fare]],NA())</f>
        <v>27.75</v>
      </c>
      <c r="R452" t="str">
        <f>VLOOKUP(Titanic_Dataset[[#This Row],[Fare]],Table2[],2,TRUE)</f>
        <v>high</v>
      </c>
      <c r="S452" s="1" t="s">
        <v>15</v>
      </c>
      <c r="T452" s="1" t="s">
        <v>16</v>
      </c>
      <c r="U452" s="1"/>
      <c r="V452" s="1"/>
      <c r="W452" s="1"/>
    </row>
    <row r="453" spans="1:23" x14ac:dyDescent="0.25">
      <c r="A453">
        <v>452</v>
      </c>
      <c r="B453">
        <v>0</v>
      </c>
      <c r="C453" t="str">
        <f>IF(Titanic_Dataset[[#This Row],[Survived]]=1,"Survived","Died")</f>
        <v>Died</v>
      </c>
      <c r="D453">
        <v>3</v>
      </c>
      <c r="E453" t="str">
        <f>IF(Titanic_Dataset[[#This Row],[Pclass]]=1,"1st",IF(Titanic_Dataset[[#This Row],[Pclass]]=2,"2nd",IF(Titanic_Dataset[[#This Row],[Pclass]]=3,"3rd")))</f>
        <v>3rd</v>
      </c>
      <c r="F453" s="1" t="s">
        <v>927</v>
      </c>
      <c r="G453" s="1" t="str">
        <f>TRIM(MID(Titanic_Dataset[[#This Row],[Name]],
FIND(",",Titanic_Dataset[[#This Row],[Name]])+2,
FIND(".",Titanic_Dataset[[#This Row],[Name]],FIND(",",Titanic_Dataset[[#This Row],[Name]]))-FIND(",",Titanic_Dataset[[#This Row],[Name]])-1))</f>
        <v>Mr.</v>
      </c>
      <c r="H453" s="1" t="s">
        <v>13</v>
      </c>
      <c r="I453">
        <v>28</v>
      </c>
      <c r="J45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53">
        <v>1</v>
      </c>
      <c r="L453">
        <v>0</v>
      </c>
      <c r="M453">
        <f>Titanic_Dataset[[#This Row],[Parch]]+Titanic_Dataset[[#This Row],[SibSp]]</f>
        <v>1</v>
      </c>
      <c r="N453" s="1" t="s">
        <v>928</v>
      </c>
      <c r="O453">
        <v>19.966699999999999</v>
      </c>
      <c r="P453" t="e">
        <f>IF(Titanic_Dataset[[#This Row],[Survived]]=1,Titanic_Dataset[[#This Row],[Fare]],NA())</f>
        <v>#N/A</v>
      </c>
      <c r="Q453">
        <f>IF(Titanic_Dataset[[#This Row],[Survived]]=0,Titanic_Dataset[[#This Row],[Fare]],NA())</f>
        <v>19.966699999999999</v>
      </c>
      <c r="R453" t="str">
        <f>VLOOKUP(Titanic_Dataset[[#This Row],[Fare]],Table2[],2,TRUE)</f>
        <v>high</v>
      </c>
      <c r="S453" s="1" t="s">
        <v>15</v>
      </c>
      <c r="T453" s="1" t="s">
        <v>16</v>
      </c>
      <c r="U453" s="1"/>
      <c r="V453" s="1"/>
      <c r="W453" s="1"/>
    </row>
    <row r="454" spans="1:23" x14ac:dyDescent="0.25">
      <c r="A454">
        <v>453</v>
      </c>
      <c r="B454">
        <v>0</v>
      </c>
      <c r="C454" t="str">
        <f>IF(Titanic_Dataset[[#This Row],[Survived]]=1,"Survived","Died")</f>
        <v>Died</v>
      </c>
      <c r="D454">
        <v>1</v>
      </c>
      <c r="E454" t="str">
        <f>IF(Titanic_Dataset[[#This Row],[Pclass]]=1,"1st",IF(Titanic_Dataset[[#This Row],[Pclass]]=2,"2nd",IF(Titanic_Dataset[[#This Row],[Pclass]]=3,"3rd")))</f>
        <v>1st</v>
      </c>
      <c r="F454" s="1" t="s">
        <v>929</v>
      </c>
      <c r="G454" s="1" t="str">
        <f>TRIM(MID(Titanic_Dataset[[#This Row],[Name]],
FIND(",",Titanic_Dataset[[#This Row],[Name]])+2,
FIND(".",Titanic_Dataset[[#This Row],[Name]],FIND(",",Titanic_Dataset[[#This Row],[Name]]))-FIND(",",Titanic_Dataset[[#This Row],[Name]])-1))</f>
        <v>Mr.</v>
      </c>
      <c r="H454" s="1" t="s">
        <v>13</v>
      </c>
      <c r="I454">
        <v>30</v>
      </c>
      <c r="J454" t="str">
        <f>IF(Titanic_Dataset[[#This Row],[Age]]&lt;12,"0-11",
IF(Titanic_Dataset[[#This Row],[Age]]&lt;20,"12-19",
IF(Titanic_Dataset[[#This Row],[Age]]&lt;30,"20-29",
IF(Titanic_Dataset[[#This Row],[Age]]&lt;40,"30-39",
IF(Titanic_Dataset[[#This Row],[Age]]&lt;50,"40-49",
IF(Titanic_Dataset[[#This Row],[Age]]&lt;60,"50-59",
IF(Titanic_Dataset[[#This Row],[Age]]&lt;70,"60-69",)))))))</f>
        <v>30-39</v>
      </c>
      <c r="K454">
        <v>0</v>
      </c>
      <c r="L454">
        <v>0</v>
      </c>
      <c r="M454">
        <f>Titanic_Dataset[[#This Row],[Parch]]+Titanic_Dataset[[#This Row],[SibSp]]</f>
        <v>0</v>
      </c>
      <c r="N454" s="1" t="s">
        <v>930</v>
      </c>
      <c r="O454">
        <v>27.75</v>
      </c>
      <c r="P454" t="e">
        <f>IF(Titanic_Dataset[[#This Row],[Survived]]=1,Titanic_Dataset[[#This Row],[Fare]],NA())</f>
        <v>#N/A</v>
      </c>
      <c r="Q454">
        <f>IF(Titanic_Dataset[[#This Row],[Survived]]=0,Titanic_Dataset[[#This Row],[Fare]],NA())</f>
        <v>27.75</v>
      </c>
      <c r="R454" t="str">
        <f>VLOOKUP(Titanic_Dataset[[#This Row],[Fare]],Table2[],2,TRUE)</f>
        <v>high</v>
      </c>
      <c r="S454" s="1" t="s">
        <v>931</v>
      </c>
      <c r="T454" s="1" t="s">
        <v>21</v>
      </c>
      <c r="U454" s="1"/>
      <c r="V454" s="1"/>
      <c r="W454" s="1"/>
    </row>
    <row r="455" spans="1:23" x14ac:dyDescent="0.25">
      <c r="A455">
        <v>454</v>
      </c>
      <c r="B455">
        <v>1</v>
      </c>
      <c r="C455" t="str">
        <f>IF(Titanic_Dataset[[#This Row],[Survived]]=1,"Survived","Died")</f>
        <v>Survived</v>
      </c>
      <c r="D455">
        <v>1</v>
      </c>
      <c r="E455" t="str">
        <f>IF(Titanic_Dataset[[#This Row],[Pclass]]=1,"1st",IF(Titanic_Dataset[[#This Row],[Pclass]]=2,"2nd",IF(Titanic_Dataset[[#This Row],[Pclass]]=3,"3rd")))</f>
        <v>1st</v>
      </c>
      <c r="F455" s="1" t="s">
        <v>932</v>
      </c>
      <c r="G455" s="1" t="str">
        <f>TRIM(MID(Titanic_Dataset[[#This Row],[Name]],
FIND(",",Titanic_Dataset[[#This Row],[Name]])+2,
FIND(".",Titanic_Dataset[[#This Row],[Name]],FIND(",",Titanic_Dataset[[#This Row],[Name]]))-FIND(",",Titanic_Dataset[[#This Row],[Name]])-1))</f>
        <v>Mr.</v>
      </c>
      <c r="H455" s="1" t="s">
        <v>13</v>
      </c>
      <c r="I455">
        <v>49</v>
      </c>
      <c r="J455" t="str">
        <f>IF(Titanic_Dataset[[#This Row],[Age]]&lt;12,"0-11",
IF(Titanic_Dataset[[#This Row],[Age]]&lt;20,"12-19",
IF(Titanic_Dataset[[#This Row],[Age]]&lt;30,"20-29",
IF(Titanic_Dataset[[#This Row],[Age]]&lt;40,"30-39",
IF(Titanic_Dataset[[#This Row],[Age]]&lt;50,"40-49",
IF(Titanic_Dataset[[#This Row],[Age]]&lt;60,"50-59",
IF(Titanic_Dataset[[#This Row],[Age]]&lt;70,"60-69",)))))))</f>
        <v>40-49</v>
      </c>
      <c r="K455">
        <v>1</v>
      </c>
      <c r="L455">
        <v>0</v>
      </c>
      <c r="M455">
        <f>Titanic_Dataset[[#This Row],[Parch]]+Titanic_Dataset[[#This Row],[SibSp]]</f>
        <v>1</v>
      </c>
      <c r="N455" s="1" t="s">
        <v>933</v>
      </c>
      <c r="O455">
        <v>89.104200000000006</v>
      </c>
      <c r="P455">
        <f>IF(Titanic_Dataset[[#This Row],[Survived]]=1,Titanic_Dataset[[#This Row],[Fare]],NA())</f>
        <v>89.104200000000006</v>
      </c>
      <c r="Q455" t="e">
        <f>IF(Titanic_Dataset[[#This Row],[Survived]]=0,Titanic_Dataset[[#This Row],[Fare]],NA())</f>
        <v>#N/A</v>
      </c>
      <c r="R455" t="str">
        <f>VLOOKUP(Titanic_Dataset[[#This Row],[Fare]],Table2[],2,TRUE)</f>
        <v>very hiegh</v>
      </c>
      <c r="S455" s="1" t="s">
        <v>934</v>
      </c>
      <c r="T455" s="1" t="s">
        <v>21</v>
      </c>
      <c r="U455" s="1"/>
      <c r="V455" s="1"/>
      <c r="W455" s="1"/>
    </row>
    <row r="456" spans="1:23" x14ac:dyDescent="0.25">
      <c r="A456">
        <v>455</v>
      </c>
      <c r="B456">
        <v>0</v>
      </c>
      <c r="C456" t="str">
        <f>IF(Titanic_Dataset[[#This Row],[Survived]]=1,"Survived","Died")</f>
        <v>Died</v>
      </c>
      <c r="D456">
        <v>3</v>
      </c>
      <c r="E456" t="str">
        <f>IF(Titanic_Dataset[[#This Row],[Pclass]]=1,"1st",IF(Titanic_Dataset[[#This Row],[Pclass]]=2,"2nd",IF(Titanic_Dataset[[#This Row],[Pclass]]=3,"3rd")))</f>
        <v>3rd</v>
      </c>
      <c r="F456" s="1" t="s">
        <v>935</v>
      </c>
      <c r="G456" s="1" t="str">
        <f>TRIM(MID(Titanic_Dataset[[#This Row],[Name]],
FIND(",",Titanic_Dataset[[#This Row],[Name]])+2,
FIND(".",Titanic_Dataset[[#This Row],[Name]],FIND(",",Titanic_Dataset[[#This Row],[Name]]))-FIND(",",Titanic_Dataset[[#This Row],[Name]])-1))</f>
        <v>Mr.</v>
      </c>
      <c r="H456" s="1" t="s">
        <v>13</v>
      </c>
      <c r="I456">
        <v>28</v>
      </c>
      <c r="J45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56">
        <v>0</v>
      </c>
      <c r="L456">
        <v>0</v>
      </c>
      <c r="M456">
        <f>Titanic_Dataset[[#This Row],[Parch]]+Titanic_Dataset[[#This Row],[SibSp]]</f>
        <v>0</v>
      </c>
      <c r="N456" s="1" t="s">
        <v>936</v>
      </c>
      <c r="O456">
        <v>8.0500000000000007</v>
      </c>
      <c r="P456" t="e">
        <f>IF(Titanic_Dataset[[#This Row],[Survived]]=1,Titanic_Dataset[[#This Row],[Fare]],NA())</f>
        <v>#N/A</v>
      </c>
      <c r="Q456">
        <f>IF(Titanic_Dataset[[#This Row],[Survived]]=0,Titanic_Dataset[[#This Row],[Fare]],NA())</f>
        <v>8.0500000000000007</v>
      </c>
      <c r="R456" t="str">
        <f>VLOOKUP(Titanic_Dataset[[#This Row],[Fare]],Table2[],2,TRUE)</f>
        <v>medium</v>
      </c>
      <c r="S456" s="1" t="s">
        <v>15</v>
      </c>
      <c r="T456" s="1" t="s">
        <v>16</v>
      </c>
      <c r="U456" s="1"/>
      <c r="V456" s="1"/>
      <c r="W456" s="1"/>
    </row>
    <row r="457" spans="1:23" x14ac:dyDescent="0.25">
      <c r="A457">
        <v>456</v>
      </c>
      <c r="B457">
        <v>1</v>
      </c>
      <c r="C457" t="str">
        <f>IF(Titanic_Dataset[[#This Row],[Survived]]=1,"Survived","Died")</f>
        <v>Survived</v>
      </c>
      <c r="D457">
        <v>3</v>
      </c>
      <c r="E457" t="str">
        <f>IF(Titanic_Dataset[[#This Row],[Pclass]]=1,"1st",IF(Titanic_Dataset[[#This Row],[Pclass]]=2,"2nd",IF(Titanic_Dataset[[#This Row],[Pclass]]=3,"3rd")))</f>
        <v>3rd</v>
      </c>
      <c r="F457" s="1" t="s">
        <v>937</v>
      </c>
      <c r="G457" s="1" t="str">
        <f>TRIM(MID(Titanic_Dataset[[#This Row],[Name]],
FIND(",",Titanic_Dataset[[#This Row],[Name]])+2,
FIND(".",Titanic_Dataset[[#This Row],[Name]],FIND(",",Titanic_Dataset[[#This Row],[Name]]))-FIND(",",Titanic_Dataset[[#This Row],[Name]])-1))</f>
        <v>Mr.</v>
      </c>
      <c r="H457" s="1" t="s">
        <v>13</v>
      </c>
      <c r="I457">
        <v>29</v>
      </c>
      <c r="J45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57">
        <v>0</v>
      </c>
      <c r="L457">
        <v>0</v>
      </c>
      <c r="M457">
        <f>Titanic_Dataset[[#This Row],[Parch]]+Titanic_Dataset[[#This Row],[SibSp]]</f>
        <v>0</v>
      </c>
      <c r="N457" s="1" t="s">
        <v>938</v>
      </c>
      <c r="O457">
        <v>7.8958000000000004</v>
      </c>
      <c r="P457">
        <f>IF(Titanic_Dataset[[#This Row],[Survived]]=1,Titanic_Dataset[[#This Row],[Fare]],NA())</f>
        <v>7.8958000000000004</v>
      </c>
      <c r="Q457" t="e">
        <f>IF(Titanic_Dataset[[#This Row],[Survived]]=0,Titanic_Dataset[[#This Row],[Fare]],NA())</f>
        <v>#N/A</v>
      </c>
      <c r="R457" t="str">
        <f>VLOOKUP(Titanic_Dataset[[#This Row],[Fare]],Table2[],2,TRUE)</f>
        <v>low</v>
      </c>
      <c r="S457" s="1" t="s">
        <v>15</v>
      </c>
      <c r="T457" s="1" t="s">
        <v>21</v>
      </c>
      <c r="U457" s="1"/>
      <c r="V457" s="1"/>
      <c r="W457" s="1"/>
    </row>
    <row r="458" spans="1:23" x14ac:dyDescent="0.25">
      <c r="A458">
        <v>457</v>
      </c>
      <c r="B458">
        <v>0</v>
      </c>
      <c r="C458" t="str">
        <f>IF(Titanic_Dataset[[#This Row],[Survived]]=1,"Survived","Died")</f>
        <v>Died</v>
      </c>
      <c r="D458">
        <v>1</v>
      </c>
      <c r="E458" t="str">
        <f>IF(Titanic_Dataset[[#This Row],[Pclass]]=1,"1st",IF(Titanic_Dataset[[#This Row],[Pclass]]=2,"2nd",IF(Titanic_Dataset[[#This Row],[Pclass]]=3,"3rd")))</f>
        <v>1st</v>
      </c>
      <c r="F458" s="1" t="s">
        <v>939</v>
      </c>
      <c r="G458" s="1" t="str">
        <f>TRIM(MID(Titanic_Dataset[[#This Row],[Name]],
FIND(",",Titanic_Dataset[[#This Row],[Name]])+2,
FIND(".",Titanic_Dataset[[#This Row],[Name]],FIND(",",Titanic_Dataset[[#This Row],[Name]]))-FIND(",",Titanic_Dataset[[#This Row],[Name]])-1))</f>
        <v>Mr.</v>
      </c>
      <c r="H458" s="1" t="s">
        <v>13</v>
      </c>
      <c r="I458">
        <v>65</v>
      </c>
      <c r="J458" t="str">
        <f>IF(Titanic_Dataset[[#This Row],[Age]]&lt;12,"0-11",
IF(Titanic_Dataset[[#This Row],[Age]]&lt;20,"12-19",
IF(Titanic_Dataset[[#This Row],[Age]]&lt;30,"20-29",
IF(Titanic_Dataset[[#This Row],[Age]]&lt;40,"30-39",
IF(Titanic_Dataset[[#This Row],[Age]]&lt;50,"40-49",
IF(Titanic_Dataset[[#This Row],[Age]]&lt;60,"50-59",
IF(Titanic_Dataset[[#This Row],[Age]]&lt;70,"60-69",)))))))</f>
        <v>60-69</v>
      </c>
      <c r="K458">
        <v>0</v>
      </c>
      <c r="L458">
        <v>0</v>
      </c>
      <c r="M458">
        <f>Titanic_Dataset[[#This Row],[Parch]]+Titanic_Dataset[[#This Row],[SibSp]]</f>
        <v>0</v>
      </c>
      <c r="N458" s="1" t="s">
        <v>940</v>
      </c>
      <c r="O458">
        <v>26.55</v>
      </c>
      <c r="P458" t="e">
        <f>IF(Titanic_Dataset[[#This Row],[Survived]]=1,Titanic_Dataset[[#This Row],[Fare]],NA())</f>
        <v>#N/A</v>
      </c>
      <c r="Q458">
        <f>IF(Titanic_Dataset[[#This Row],[Survived]]=0,Titanic_Dataset[[#This Row],[Fare]],NA())</f>
        <v>26.55</v>
      </c>
      <c r="R458" t="str">
        <f>VLOOKUP(Titanic_Dataset[[#This Row],[Fare]],Table2[],2,TRUE)</f>
        <v>high</v>
      </c>
      <c r="S458" s="1" t="s">
        <v>941</v>
      </c>
      <c r="T458" s="1" t="s">
        <v>16</v>
      </c>
      <c r="U458" s="1"/>
      <c r="V458" s="1"/>
      <c r="W458" s="1"/>
    </row>
    <row r="459" spans="1:23" x14ac:dyDescent="0.25">
      <c r="A459">
        <v>458</v>
      </c>
      <c r="B459">
        <v>1</v>
      </c>
      <c r="C459" t="str">
        <f>IF(Titanic_Dataset[[#This Row],[Survived]]=1,"Survived","Died")</f>
        <v>Survived</v>
      </c>
      <c r="D459">
        <v>1</v>
      </c>
      <c r="E459" t="str">
        <f>IF(Titanic_Dataset[[#This Row],[Pclass]]=1,"1st",IF(Titanic_Dataset[[#This Row],[Pclass]]=2,"2nd",IF(Titanic_Dataset[[#This Row],[Pclass]]=3,"3rd")))</f>
        <v>1st</v>
      </c>
      <c r="F459" s="1" t="s">
        <v>942</v>
      </c>
      <c r="G459" s="1" t="str">
        <f>TRIM(MID(Titanic_Dataset[[#This Row],[Name]],
FIND(",",Titanic_Dataset[[#This Row],[Name]])+2,
FIND(".",Titanic_Dataset[[#This Row],[Name]],FIND(",",Titanic_Dataset[[#This Row],[Name]]))-FIND(",",Titanic_Dataset[[#This Row],[Name]])-1))</f>
        <v>Mrs.</v>
      </c>
      <c r="H459" s="1" t="s">
        <v>18</v>
      </c>
      <c r="I459">
        <v>28</v>
      </c>
      <c r="J45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59">
        <v>1</v>
      </c>
      <c r="L459">
        <v>0</v>
      </c>
      <c r="M459">
        <f>Titanic_Dataset[[#This Row],[Parch]]+Titanic_Dataset[[#This Row],[SibSp]]</f>
        <v>1</v>
      </c>
      <c r="N459" s="1" t="s">
        <v>943</v>
      </c>
      <c r="O459">
        <v>51.862499999999997</v>
      </c>
      <c r="P459">
        <f>IF(Titanic_Dataset[[#This Row],[Survived]]=1,Titanic_Dataset[[#This Row],[Fare]],NA())</f>
        <v>51.862499999999997</v>
      </c>
      <c r="Q459" t="e">
        <f>IF(Titanic_Dataset[[#This Row],[Survived]]=0,Titanic_Dataset[[#This Row],[Fare]],NA())</f>
        <v>#N/A</v>
      </c>
      <c r="R459" t="str">
        <f>VLOOKUP(Titanic_Dataset[[#This Row],[Fare]],Table2[],2,TRUE)</f>
        <v>very hiegh</v>
      </c>
      <c r="S459" s="1" t="s">
        <v>944</v>
      </c>
      <c r="T459" s="1" t="s">
        <v>16</v>
      </c>
      <c r="U459" s="1"/>
      <c r="V459" s="1"/>
      <c r="W459" s="1"/>
    </row>
    <row r="460" spans="1:23" x14ac:dyDescent="0.25">
      <c r="A460">
        <v>459</v>
      </c>
      <c r="B460">
        <v>1</v>
      </c>
      <c r="C460" t="str">
        <f>IF(Titanic_Dataset[[#This Row],[Survived]]=1,"Survived","Died")</f>
        <v>Survived</v>
      </c>
      <c r="D460">
        <v>2</v>
      </c>
      <c r="E460" t="str">
        <f>IF(Titanic_Dataset[[#This Row],[Pclass]]=1,"1st",IF(Titanic_Dataset[[#This Row],[Pclass]]=2,"2nd",IF(Titanic_Dataset[[#This Row],[Pclass]]=3,"3rd")))</f>
        <v>2nd</v>
      </c>
      <c r="F460" s="1" t="s">
        <v>945</v>
      </c>
      <c r="G460" s="1" t="str">
        <f>TRIM(MID(Titanic_Dataset[[#This Row],[Name]],
FIND(",",Titanic_Dataset[[#This Row],[Name]])+2,
FIND(".",Titanic_Dataset[[#This Row],[Name]],FIND(",",Titanic_Dataset[[#This Row],[Name]]))-FIND(",",Titanic_Dataset[[#This Row],[Name]])-1))</f>
        <v>Miss.</v>
      </c>
      <c r="H460" s="1" t="s">
        <v>18</v>
      </c>
      <c r="I460">
        <v>50</v>
      </c>
      <c r="J460" t="str">
        <f>IF(Titanic_Dataset[[#This Row],[Age]]&lt;12,"0-11",
IF(Titanic_Dataset[[#This Row],[Age]]&lt;20,"12-19",
IF(Titanic_Dataset[[#This Row],[Age]]&lt;30,"20-29",
IF(Titanic_Dataset[[#This Row],[Age]]&lt;40,"30-39",
IF(Titanic_Dataset[[#This Row],[Age]]&lt;50,"40-49",
IF(Titanic_Dataset[[#This Row],[Age]]&lt;60,"50-59",
IF(Titanic_Dataset[[#This Row],[Age]]&lt;70,"60-69",)))))))</f>
        <v>50-59</v>
      </c>
      <c r="K460">
        <v>0</v>
      </c>
      <c r="L460">
        <v>0</v>
      </c>
      <c r="M460">
        <f>Titanic_Dataset[[#This Row],[Parch]]+Titanic_Dataset[[#This Row],[SibSp]]</f>
        <v>0</v>
      </c>
      <c r="N460" s="1" t="s">
        <v>946</v>
      </c>
      <c r="O460">
        <v>10.5</v>
      </c>
      <c r="P460">
        <f>IF(Titanic_Dataset[[#This Row],[Survived]]=1,Titanic_Dataset[[#This Row],[Fare]],NA())</f>
        <v>10.5</v>
      </c>
      <c r="Q460" t="e">
        <f>IF(Titanic_Dataset[[#This Row],[Survived]]=0,Titanic_Dataset[[#This Row],[Fare]],NA())</f>
        <v>#N/A</v>
      </c>
      <c r="R460" t="str">
        <f>VLOOKUP(Titanic_Dataset[[#This Row],[Fare]],Table2[],2,TRUE)</f>
        <v>medium</v>
      </c>
      <c r="S460" s="1" t="s">
        <v>15</v>
      </c>
      <c r="T460" s="1" t="s">
        <v>16</v>
      </c>
      <c r="U460" s="1"/>
      <c r="V460" s="1"/>
      <c r="W460" s="1"/>
    </row>
    <row r="461" spans="1:23" x14ac:dyDescent="0.25">
      <c r="A461">
        <v>460</v>
      </c>
      <c r="B461">
        <v>0</v>
      </c>
      <c r="C461" t="str">
        <f>IF(Titanic_Dataset[[#This Row],[Survived]]=1,"Survived","Died")</f>
        <v>Died</v>
      </c>
      <c r="D461">
        <v>3</v>
      </c>
      <c r="E461" t="str">
        <f>IF(Titanic_Dataset[[#This Row],[Pclass]]=1,"1st",IF(Titanic_Dataset[[#This Row],[Pclass]]=2,"2nd",IF(Titanic_Dataset[[#This Row],[Pclass]]=3,"3rd")))</f>
        <v>3rd</v>
      </c>
      <c r="F461" s="1" t="s">
        <v>947</v>
      </c>
      <c r="G461" s="1" t="str">
        <f>TRIM(MID(Titanic_Dataset[[#This Row],[Name]],
FIND(",",Titanic_Dataset[[#This Row],[Name]])+2,
FIND(".",Titanic_Dataset[[#This Row],[Name]],FIND(",",Titanic_Dataset[[#This Row],[Name]]))-FIND(",",Titanic_Dataset[[#This Row],[Name]])-1))</f>
        <v>Mr.</v>
      </c>
      <c r="H461" s="1" t="s">
        <v>13</v>
      </c>
      <c r="I461">
        <v>28</v>
      </c>
      <c r="J46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61">
        <v>0</v>
      </c>
      <c r="L461">
        <v>0</v>
      </c>
      <c r="M461">
        <f>Titanic_Dataset[[#This Row],[Parch]]+Titanic_Dataset[[#This Row],[SibSp]]</f>
        <v>0</v>
      </c>
      <c r="N461" s="1" t="s">
        <v>948</v>
      </c>
      <c r="O461">
        <v>7.75</v>
      </c>
      <c r="P461" t="e">
        <f>IF(Titanic_Dataset[[#This Row],[Survived]]=1,Titanic_Dataset[[#This Row],[Fare]],NA())</f>
        <v>#N/A</v>
      </c>
      <c r="Q461">
        <f>IF(Titanic_Dataset[[#This Row],[Survived]]=0,Titanic_Dataset[[#This Row],[Fare]],NA())</f>
        <v>7.75</v>
      </c>
      <c r="R461" t="str">
        <f>VLOOKUP(Titanic_Dataset[[#This Row],[Fare]],Table2[],2,TRUE)</f>
        <v>low</v>
      </c>
      <c r="S461" s="1" t="s">
        <v>15</v>
      </c>
      <c r="T461" s="1" t="s">
        <v>31</v>
      </c>
      <c r="U461" s="1"/>
      <c r="V461" s="1"/>
      <c r="W461" s="1"/>
    </row>
    <row r="462" spans="1:23" x14ac:dyDescent="0.25">
      <c r="A462">
        <v>461</v>
      </c>
      <c r="B462">
        <v>1</v>
      </c>
      <c r="C462" t="str">
        <f>IF(Titanic_Dataset[[#This Row],[Survived]]=1,"Survived","Died")</f>
        <v>Survived</v>
      </c>
      <c r="D462">
        <v>1</v>
      </c>
      <c r="E462" t="str">
        <f>IF(Titanic_Dataset[[#This Row],[Pclass]]=1,"1st",IF(Titanic_Dataset[[#This Row],[Pclass]]=2,"2nd",IF(Titanic_Dataset[[#This Row],[Pclass]]=3,"3rd")))</f>
        <v>1st</v>
      </c>
      <c r="F462" s="1" t="s">
        <v>949</v>
      </c>
      <c r="G462" s="1" t="str">
        <f>TRIM(MID(Titanic_Dataset[[#This Row],[Name]],
FIND(",",Titanic_Dataset[[#This Row],[Name]])+2,
FIND(".",Titanic_Dataset[[#This Row],[Name]],FIND(",",Titanic_Dataset[[#This Row],[Name]]))-FIND(",",Titanic_Dataset[[#This Row],[Name]])-1))</f>
        <v>Mr.</v>
      </c>
      <c r="H462" s="1" t="s">
        <v>13</v>
      </c>
      <c r="I462">
        <v>48</v>
      </c>
      <c r="J462" t="str">
        <f>IF(Titanic_Dataset[[#This Row],[Age]]&lt;12,"0-11",
IF(Titanic_Dataset[[#This Row],[Age]]&lt;20,"12-19",
IF(Titanic_Dataset[[#This Row],[Age]]&lt;30,"20-29",
IF(Titanic_Dataset[[#This Row],[Age]]&lt;40,"30-39",
IF(Titanic_Dataset[[#This Row],[Age]]&lt;50,"40-49",
IF(Titanic_Dataset[[#This Row],[Age]]&lt;60,"50-59",
IF(Titanic_Dataset[[#This Row],[Age]]&lt;70,"60-69",)))))))</f>
        <v>40-49</v>
      </c>
      <c r="K462">
        <v>0</v>
      </c>
      <c r="L462">
        <v>0</v>
      </c>
      <c r="M462">
        <f>Titanic_Dataset[[#This Row],[Parch]]+Titanic_Dataset[[#This Row],[SibSp]]</f>
        <v>0</v>
      </c>
      <c r="N462" s="1" t="s">
        <v>950</v>
      </c>
      <c r="O462">
        <v>26.55</v>
      </c>
      <c r="P462">
        <f>IF(Titanic_Dataset[[#This Row],[Survived]]=1,Titanic_Dataset[[#This Row],[Fare]],NA())</f>
        <v>26.55</v>
      </c>
      <c r="Q462" t="e">
        <f>IF(Titanic_Dataset[[#This Row],[Survived]]=0,Titanic_Dataset[[#This Row],[Fare]],NA())</f>
        <v>#N/A</v>
      </c>
      <c r="R462" t="str">
        <f>VLOOKUP(Titanic_Dataset[[#This Row],[Fare]],Table2[],2,TRUE)</f>
        <v>high</v>
      </c>
      <c r="S462" s="1" t="s">
        <v>951</v>
      </c>
      <c r="T462" s="1" t="s">
        <v>16</v>
      </c>
      <c r="U462" s="1"/>
      <c r="V462" s="1"/>
      <c r="W462" s="1"/>
    </row>
    <row r="463" spans="1:23" x14ac:dyDescent="0.25">
      <c r="A463">
        <v>462</v>
      </c>
      <c r="B463">
        <v>0</v>
      </c>
      <c r="C463" t="str">
        <f>IF(Titanic_Dataset[[#This Row],[Survived]]=1,"Survived","Died")</f>
        <v>Died</v>
      </c>
      <c r="D463">
        <v>3</v>
      </c>
      <c r="E463" t="str">
        <f>IF(Titanic_Dataset[[#This Row],[Pclass]]=1,"1st",IF(Titanic_Dataset[[#This Row],[Pclass]]=2,"2nd",IF(Titanic_Dataset[[#This Row],[Pclass]]=3,"3rd")))</f>
        <v>3rd</v>
      </c>
      <c r="F463" s="1" t="s">
        <v>952</v>
      </c>
      <c r="G463" s="1" t="str">
        <f>TRIM(MID(Titanic_Dataset[[#This Row],[Name]],
FIND(",",Titanic_Dataset[[#This Row],[Name]])+2,
FIND(".",Titanic_Dataset[[#This Row],[Name]],FIND(",",Titanic_Dataset[[#This Row],[Name]]))-FIND(",",Titanic_Dataset[[#This Row],[Name]])-1))</f>
        <v>Mr.</v>
      </c>
      <c r="H463" s="1" t="s">
        <v>13</v>
      </c>
      <c r="I463">
        <v>34</v>
      </c>
      <c r="J463" t="str">
        <f>IF(Titanic_Dataset[[#This Row],[Age]]&lt;12,"0-11",
IF(Titanic_Dataset[[#This Row],[Age]]&lt;20,"12-19",
IF(Titanic_Dataset[[#This Row],[Age]]&lt;30,"20-29",
IF(Titanic_Dataset[[#This Row],[Age]]&lt;40,"30-39",
IF(Titanic_Dataset[[#This Row],[Age]]&lt;50,"40-49",
IF(Titanic_Dataset[[#This Row],[Age]]&lt;60,"50-59",
IF(Titanic_Dataset[[#This Row],[Age]]&lt;70,"60-69",)))))))</f>
        <v>30-39</v>
      </c>
      <c r="K463">
        <v>0</v>
      </c>
      <c r="L463">
        <v>0</v>
      </c>
      <c r="M463">
        <f>Titanic_Dataset[[#This Row],[Parch]]+Titanic_Dataset[[#This Row],[SibSp]]</f>
        <v>0</v>
      </c>
      <c r="N463" s="1" t="s">
        <v>953</v>
      </c>
      <c r="O463">
        <v>8.0500000000000007</v>
      </c>
      <c r="P463" t="e">
        <f>IF(Titanic_Dataset[[#This Row],[Survived]]=1,Titanic_Dataset[[#This Row],[Fare]],NA())</f>
        <v>#N/A</v>
      </c>
      <c r="Q463">
        <f>IF(Titanic_Dataset[[#This Row],[Survived]]=0,Titanic_Dataset[[#This Row],[Fare]],NA())</f>
        <v>8.0500000000000007</v>
      </c>
      <c r="R463" t="str">
        <f>VLOOKUP(Titanic_Dataset[[#This Row],[Fare]],Table2[],2,TRUE)</f>
        <v>medium</v>
      </c>
      <c r="S463" s="1" t="s">
        <v>15</v>
      </c>
      <c r="T463" s="1" t="s">
        <v>16</v>
      </c>
      <c r="U463" s="1"/>
      <c r="V463" s="1"/>
      <c r="W463" s="1"/>
    </row>
    <row r="464" spans="1:23" x14ac:dyDescent="0.25">
      <c r="A464">
        <v>463</v>
      </c>
      <c r="B464">
        <v>0</v>
      </c>
      <c r="C464" t="str">
        <f>IF(Titanic_Dataset[[#This Row],[Survived]]=1,"Survived","Died")</f>
        <v>Died</v>
      </c>
      <c r="D464">
        <v>1</v>
      </c>
      <c r="E464" t="str">
        <f>IF(Titanic_Dataset[[#This Row],[Pclass]]=1,"1st",IF(Titanic_Dataset[[#This Row],[Pclass]]=2,"2nd",IF(Titanic_Dataset[[#This Row],[Pclass]]=3,"3rd")))</f>
        <v>1st</v>
      </c>
      <c r="F464" s="1" t="s">
        <v>954</v>
      </c>
      <c r="G464" s="1" t="str">
        <f>TRIM(MID(Titanic_Dataset[[#This Row],[Name]],
FIND(",",Titanic_Dataset[[#This Row],[Name]])+2,
FIND(".",Titanic_Dataset[[#This Row],[Name]],FIND(",",Titanic_Dataset[[#This Row],[Name]]))-FIND(",",Titanic_Dataset[[#This Row],[Name]])-1))</f>
        <v>Mr.</v>
      </c>
      <c r="H464" s="1" t="s">
        <v>13</v>
      </c>
      <c r="I464">
        <v>47</v>
      </c>
      <c r="J464" t="str">
        <f>IF(Titanic_Dataset[[#This Row],[Age]]&lt;12,"0-11",
IF(Titanic_Dataset[[#This Row],[Age]]&lt;20,"12-19",
IF(Titanic_Dataset[[#This Row],[Age]]&lt;30,"20-29",
IF(Titanic_Dataset[[#This Row],[Age]]&lt;40,"30-39",
IF(Titanic_Dataset[[#This Row],[Age]]&lt;50,"40-49",
IF(Titanic_Dataset[[#This Row],[Age]]&lt;60,"50-59",
IF(Titanic_Dataset[[#This Row],[Age]]&lt;70,"60-69",)))))))</f>
        <v>40-49</v>
      </c>
      <c r="K464">
        <v>0</v>
      </c>
      <c r="L464">
        <v>0</v>
      </c>
      <c r="M464">
        <f>Titanic_Dataset[[#This Row],[Parch]]+Titanic_Dataset[[#This Row],[SibSp]]</f>
        <v>0</v>
      </c>
      <c r="N464" s="1" t="s">
        <v>955</v>
      </c>
      <c r="O464">
        <v>38.5</v>
      </c>
      <c r="P464" t="e">
        <f>IF(Titanic_Dataset[[#This Row],[Survived]]=1,Titanic_Dataset[[#This Row],[Fare]],NA())</f>
        <v>#N/A</v>
      </c>
      <c r="Q464">
        <f>IF(Titanic_Dataset[[#This Row],[Survived]]=0,Titanic_Dataset[[#This Row],[Fare]],NA())</f>
        <v>38.5</v>
      </c>
      <c r="R464" t="str">
        <f>VLOOKUP(Titanic_Dataset[[#This Row],[Fare]],Table2[],2,TRUE)</f>
        <v>very hiegh</v>
      </c>
      <c r="S464" s="1" t="s">
        <v>956</v>
      </c>
      <c r="T464" s="1" t="s">
        <v>16</v>
      </c>
      <c r="U464" s="1"/>
      <c r="V464" s="1"/>
      <c r="W464" s="1"/>
    </row>
    <row r="465" spans="1:23" x14ac:dyDescent="0.25">
      <c r="A465">
        <v>464</v>
      </c>
      <c r="B465">
        <v>0</v>
      </c>
      <c r="C465" t="str">
        <f>IF(Titanic_Dataset[[#This Row],[Survived]]=1,"Survived","Died")</f>
        <v>Died</v>
      </c>
      <c r="D465">
        <v>2</v>
      </c>
      <c r="E465" t="str">
        <f>IF(Titanic_Dataset[[#This Row],[Pclass]]=1,"1st",IF(Titanic_Dataset[[#This Row],[Pclass]]=2,"2nd",IF(Titanic_Dataset[[#This Row],[Pclass]]=3,"3rd")))</f>
        <v>2nd</v>
      </c>
      <c r="F465" s="1" t="s">
        <v>957</v>
      </c>
      <c r="G465" s="1" t="str">
        <f>TRIM(MID(Titanic_Dataset[[#This Row],[Name]],
FIND(",",Titanic_Dataset[[#This Row],[Name]])+2,
FIND(".",Titanic_Dataset[[#This Row],[Name]],FIND(",",Titanic_Dataset[[#This Row],[Name]]))-FIND(",",Titanic_Dataset[[#This Row],[Name]])-1))</f>
        <v>Mr.</v>
      </c>
      <c r="H465" s="1" t="s">
        <v>13</v>
      </c>
      <c r="I465">
        <v>48</v>
      </c>
      <c r="J465" t="str">
        <f>IF(Titanic_Dataset[[#This Row],[Age]]&lt;12,"0-11",
IF(Titanic_Dataset[[#This Row],[Age]]&lt;20,"12-19",
IF(Titanic_Dataset[[#This Row],[Age]]&lt;30,"20-29",
IF(Titanic_Dataset[[#This Row],[Age]]&lt;40,"30-39",
IF(Titanic_Dataset[[#This Row],[Age]]&lt;50,"40-49",
IF(Titanic_Dataset[[#This Row],[Age]]&lt;60,"50-59",
IF(Titanic_Dataset[[#This Row],[Age]]&lt;70,"60-69",)))))))</f>
        <v>40-49</v>
      </c>
      <c r="K465">
        <v>0</v>
      </c>
      <c r="L465">
        <v>0</v>
      </c>
      <c r="M465">
        <f>Titanic_Dataset[[#This Row],[Parch]]+Titanic_Dataset[[#This Row],[SibSp]]</f>
        <v>0</v>
      </c>
      <c r="N465" s="1" t="s">
        <v>958</v>
      </c>
      <c r="O465">
        <v>13</v>
      </c>
      <c r="P465" t="e">
        <f>IF(Titanic_Dataset[[#This Row],[Survived]]=1,Titanic_Dataset[[#This Row],[Fare]],NA())</f>
        <v>#N/A</v>
      </c>
      <c r="Q465">
        <f>IF(Titanic_Dataset[[#This Row],[Survived]]=0,Titanic_Dataset[[#This Row],[Fare]],NA())</f>
        <v>13</v>
      </c>
      <c r="R465" t="str">
        <f>VLOOKUP(Titanic_Dataset[[#This Row],[Fare]],Table2[],2,TRUE)</f>
        <v>medium</v>
      </c>
      <c r="S465" s="1" t="s">
        <v>15</v>
      </c>
      <c r="T465" s="1" t="s">
        <v>16</v>
      </c>
      <c r="U465" s="1"/>
      <c r="V465" s="1"/>
      <c r="W465" s="1"/>
    </row>
    <row r="466" spans="1:23" x14ac:dyDescent="0.25">
      <c r="A466">
        <v>465</v>
      </c>
      <c r="B466">
        <v>0</v>
      </c>
      <c r="C466" t="str">
        <f>IF(Titanic_Dataset[[#This Row],[Survived]]=1,"Survived","Died")</f>
        <v>Died</v>
      </c>
      <c r="D466">
        <v>3</v>
      </c>
      <c r="E466" t="str">
        <f>IF(Titanic_Dataset[[#This Row],[Pclass]]=1,"1st",IF(Titanic_Dataset[[#This Row],[Pclass]]=2,"2nd",IF(Titanic_Dataset[[#This Row],[Pclass]]=3,"3rd")))</f>
        <v>3rd</v>
      </c>
      <c r="F466" s="1" t="s">
        <v>959</v>
      </c>
      <c r="G466" s="1" t="str">
        <f>TRIM(MID(Titanic_Dataset[[#This Row],[Name]],
FIND(",",Titanic_Dataset[[#This Row],[Name]])+2,
FIND(".",Titanic_Dataset[[#This Row],[Name]],FIND(",",Titanic_Dataset[[#This Row],[Name]]))-FIND(",",Titanic_Dataset[[#This Row],[Name]])-1))</f>
        <v>Mr.</v>
      </c>
      <c r="H466" s="1" t="s">
        <v>13</v>
      </c>
      <c r="I466">
        <v>28</v>
      </c>
      <c r="J46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66">
        <v>0</v>
      </c>
      <c r="L466">
        <v>0</v>
      </c>
      <c r="M466">
        <f>Titanic_Dataset[[#This Row],[Parch]]+Titanic_Dataset[[#This Row],[SibSp]]</f>
        <v>0</v>
      </c>
      <c r="N466" s="1" t="s">
        <v>960</v>
      </c>
      <c r="O466">
        <v>8.0500000000000007</v>
      </c>
      <c r="P466" t="e">
        <f>IF(Titanic_Dataset[[#This Row],[Survived]]=1,Titanic_Dataset[[#This Row],[Fare]],NA())</f>
        <v>#N/A</v>
      </c>
      <c r="Q466">
        <f>IF(Titanic_Dataset[[#This Row],[Survived]]=0,Titanic_Dataset[[#This Row],[Fare]],NA())</f>
        <v>8.0500000000000007</v>
      </c>
      <c r="R466" t="str">
        <f>VLOOKUP(Titanic_Dataset[[#This Row],[Fare]],Table2[],2,TRUE)</f>
        <v>medium</v>
      </c>
      <c r="S466" s="1" t="s">
        <v>15</v>
      </c>
      <c r="T466" s="1" t="s">
        <v>16</v>
      </c>
      <c r="U466" s="1"/>
      <c r="V466" s="1"/>
      <c r="W466" s="1"/>
    </row>
    <row r="467" spans="1:23" x14ac:dyDescent="0.25">
      <c r="A467">
        <v>466</v>
      </c>
      <c r="B467">
        <v>0</v>
      </c>
      <c r="C467" t="str">
        <f>IF(Titanic_Dataset[[#This Row],[Survived]]=1,"Survived","Died")</f>
        <v>Died</v>
      </c>
      <c r="D467">
        <v>3</v>
      </c>
      <c r="E467" t="str">
        <f>IF(Titanic_Dataset[[#This Row],[Pclass]]=1,"1st",IF(Titanic_Dataset[[#This Row],[Pclass]]=2,"2nd",IF(Titanic_Dataset[[#This Row],[Pclass]]=3,"3rd")))</f>
        <v>3rd</v>
      </c>
      <c r="F467" s="1" t="s">
        <v>961</v>
      </c>
      <c r="G467" s="1" t="str">
        <f>TRIM(MID(Titanic_Dataset[[#This Row],[Name]],
FIND(",",Titanic_Dataset[[#This Row],[Name]])+2,
FIND(".",Titanic_Dataset[[#This Row],[Name]],FIND(",",Titanic_Dataset[[#This Row],[Name]]))-FIND(",",Titanic_Dataset[[#This Row],[Name]])-1))</f>
        <v>Mr.</v>
      </c>
      <c r="H467" s="1" t="s">
        <v>13</v>
      </c>
      <c r="I467">
        <v>38</v>
      </c>
      <c r="J467" t="str">
        <f>IF(Titanic_Dataset[[#This Row],[Age]]&lt;12,"0-11",
IF(Titanic_Dataset[[#This Row],[Age]]&lt;20,"12-19",
IF(Titanic_Dataset[[#This Row],[Age]]&lt;30,"20-29",
IF(Titanic_Dataset[[#This Row],[Age]]&lt;40,"30-39",
IF(Titanic_Dataset[[#This Row],[Age]]&lt;50,"40-49",
IF(Titanic_Dataset[[#This Row],[Age]]&lt;60,"50-59",
IF(Titanic_Dataset[[#This Row],[Age]]&lt;70,"60-69",)))))))</f>
        <v>30-39</v>
      </c>
      <c r="K467">
        <v>0</v>
      </c>
      <c r="L467">
        <v>0</v>
      </c>
      <c r="M467">
        <f>Titanic_Dataset[[#This Row],[Parch]]+Titanic_Dataset[[#This Row],[SibSp]]</f>
        <v>0</v>
      </c>
      <c r="N467" s="1" t="s">
        <v>962</v>
      </c>
      <c r="O467">
        <v>7.05</v>
      </c>
      <c r="P467" t="e">
        <f>IF(Titanic_Dataset[[#This Row],[Survived]]=1,Titanic_Dataset[[#This Row],[Fare]],NA())</f>
        <v>#N/A</v>
      </c>
      <c r="Q467">
        <f>IF(Titanic_Dataset[[#This Row],[Survived]]=0,Titanic_Dataset[[#This Row],[Fare]],NA())</f>
        <v>7.05</v>
      </c>
      <c r="R467" t="str">
        <f>VLOOKUP(Titanic_Dataset[[#This Row],[Fare]],Table2[],2,TRUE)</f>
        <v>low</v>
      </c>
      <c r="S467" s="1" t="s">
        <v>15</v>
      </c>
      <c r="T467" s="1" t="s">
        <v>16</v>
      </c>
      <c r="U467" s="1"/>
      <c r="V467" s="1"/>
      <c r="W467" s="1"/>
    </row>
    <row r="468" spans="1:23" x14ac:dyDescent="0.25">
      <c r="A468">
        <v>467</v>
      </c>
      <c r="B468">
        <v>0</v>
      </c>
      <c r="C468" t="str">
        <f>IF(Titanic_Dataset[[#This Row],[Survived]]=1,"Survived","Died")</f>
        <v>Died</v>
      </c>
      <c r="D468">
        <v>2</v>
      </c>
      <c r="E468" t="str">
        <f>IF(Titanic_Dataset[[#This Row],[Pclass]]=1,"1st",IF(Titanic_Dataset[[#This Row],[Pclass]]=2,"2nd",IF(Titanic_Dataset[[#This Row],[Pclass]]=3,"3rd")))</f>
        <v>2nd</v>
      </c>
      <c r="F468" s="1" t="s">
        <v>963</v>
      </c>
      <c r="G468" s="1" t="str">
        <f>TRIM(MID(Titanic_Dataset[[#This Row],[Name]],
FIND(",",Titanic_Dataset[[#This Row],[Name]])+2,
FIND(".",Titanic_Dataset[[#This Row],[Name]],FIND(",",Titanic_Dataset[[#This Row],[Name]]))-FIND(",",Titanic_Dataset[[#This Row],[Name]])-1))</f>
        <v>Mr.</v>
      </c>
      <c r="H468" s="1" t="s">
        <v>13</v>
      </c>
      <c r="I468">
        <v>28</v>
      </c>
      <c r="J46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68">
        <v>0</v>
      </c>
      <c r="L468">
        <v>0</v>
      </c>
      <c r="M468">
        <f>Titanic_Dataset[[#This Row],[Parch]]+Titanic_Dataset[[#This Row],[SibSp]]</f>
        <v>0</v>
      </c>
      <c r="N468" s="1" t="s">
        <v>593</v>
      </c>
      <c r="O468">
        <v>0</v>
      </c>
      <c r="P468" t="e">
        <f>IF(Titanic_Dataset[[#This Row],[Survived]]=1,Titanic_Dataset[[#This Row],[Fare]],NA())</f>
        <v>#N/A</v>
      </c>
      <c r="Q468">
        <f>IF(Titanic_Dataset[[#This Row],[Survived]]=0,Titanic_Dataset[[#This Row],[Fare]],NA())</f>
        <v>0</v>
      </c>
      <c r="R468" t="str">
        <f>VLOOKUP(Titanic_Dataset[[#This Row],[Fare]],Table2[],2,TRUE)</f>
        <v>low</v>
      </c>
      <c r="S468" s="1" t="s">
        <v>15</v>
      </c>
      <c r="T468" s="1" t="s">
        <v>16</v>
      </c>
      <c r="U468" s="1"/>
      <c r="V468" s="1"/>
      <c r="W468" s="1"/>
    </row>
    <row r="469" spans="1:23" x14ac:dyDescent="0.25">
      <c r="A469">
        <v>468</v>
      </c>
      <c r="B469">
        <v>0</v>
      </c>
      <c r="C469" t="str">
        <f>IF(Titanic_Dataset[[#This Row],[Survived]]=1,"Survived","Died")</f>
        <v>Died</v>
      </c>
      <c r="D469">
        <v>1</v>
      </c>
      <c r="E469" t="str">
        <f>IF(Titanic_Dataset[[#This Row],[Pclass]]=1,"1st",IF(Titanic_Dataset[[#This Row],[Pclass]]=2,"2nd",IF(Titanic_Dataset[[#This Row],[Pclass]]=3,"3rd")))</f>
        <v>1st</v>
      </c>
      <c r="F469" s="1" t="s">
        <v>964</v>
      </c>
      <c r="G469" s="1" t="str">
        <f>TRIM(MID(Titanic_Dataset[[#This Row],[Name]],
FIND(",",Titanic_Dataset[[#This Row],[Name]])+2,
FIND(".",Titanic_Dataset[[#This Row],[Name]],FIND(",",Titanic_Dataset[[#This Row],[Name]]))-FIND(",",Titanic_Dataset[[#This Row],[Name]])-1))</f>
        <v>Mr.</v>
      </c>
      <c r="H469" s="1" t="s">
        <v>13</v>
      </c>
      <c r="I469">
        <v>56</v>
      </c>
      <c r="J469" t="str">
        <f>IF(Titanic_Dataset[[#This Row],[Age]]&lt;12,"0-11",
IF(Titanic_Dataset[[#This Row],[Age]]&lt;20,"12-19",
IF(Titanic_Dataset[[#This Row],[Age]]&lt;30,"20-29",
IF(Titanic_Dataset[[#This Row],[Age]]&lt;40,"30-39",
IF(Titanic_Dataset[[#This Row],[Age]]&lt;50,"40-49",
IF(Titanic_Dataset[[#This Row],[Age]]&lt;60,"50-59",
IF(Titanic_Dataset[[#This Row],[Age]]&lt;70,"60-69",)))))))</f>
        <v>50-59</v>
      </c>
      <c r="K469">
        <v>0</v>
      </c>
      <c r="L469">
        <v>0</v>
      </c>
      <c r="M469">
        <f>Titanic_Dataset[[#This Row],[Parch]]+Titanic_Dataset[[#This Row],[SibSp]]</f>
        <v>0</v>
      </c>
      <c r="N469" s="1" t="s">
        <v>965</v>
      </c>
      <c r="O469">
        <v>26.55</v>
      </c>
      <c r="P469" t="e">
        <f>IF(Titanic_Dataset[[#This Row],[Survived]]=1,Titanic_Dataset[[#This Row],[Fare]],NA())</f>
        <v>#N/A</v>
      </c>
      <c r="Q469">
        <f>IF(Titanic_Dataset[[#This Row],[Survived]]=0,Titanic_Dataset[[#This Row],[Fare]],NA())</f>
        <v>26.55</v>
      </c>
      <c r="R469" t="str">
        <f>VLOOKUP(Titanic_Dataset[[#This Row],[Fare]],Table2[],2,TRUE)</f>
        <v>high</v>
      </c>
      <c r="S469" s="1" t="s">
        <v>15</v>
      </c>
      <c r="T469" s="1" t="s">
        <v>16</v>
      </c>
      <c r="U469" s="1"/>
      <c r="V469" s="1"/>
      <c r="W469" s="1"/>
    </row>
    <row r="470" spans="1:23" x14ac:dyDescent="0.25">
      <c r="A470">
        <v>469</v>
      </c>
      <c r="B470">
        <v>0</v>
      </c>
      <c r="C470" t="str">
        <f>IF(Titanic_Dataset[[#This Row],[Survived]]=1,"Survived","Died")</f>
        <v>Died</v>
      </c>
      <c r="D470">
        <v>3</v>
      </c>
      <c r="E470" t="str">
        <f>IF(Titanic_Dataset[[#This Row],[Pclass]]=1,"1st",IF(Titanic_Dataset[[#This Row],[Pclass]]=2,"2nd",IF(Titanic_Dataset[[#This Row],[Pclass]]=3,"3rd")))</f>
        <v>3rd</v>
      </c>
      <c r="F470" s="1" t="s">
        <v>966</v>
      </c>
      <c r="G470" s="1" t="str">
        <f>TRIM(MID(Titanic_Dataset[[#This Row],[Name]],
FIND(",",Titanic_Dataset[[#This Row],[Name]])+2,
FIND(".",Titanic_Dataset[[#This Row],[Name]],FIND(",",Titanic_Dataset[[#This Row],[Name]]))-FIND(",",Titanic_Dataset[[#This Row],[Name]])-1))</f>
        <v>Mr.</v>
      </c>
      <c r="H470" s="1" t="s">
        <v>13</v>
      </c>
      <c r="I470">
        <v>28</v>
      </c>
      <c r="J47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70">
        <v>0</v>
      </c>
      <c r="L470">
        <v>0</v>
      </c>
      <c r="M470">
        <f>Titanic_Dataset[[#This Row],[Parch]]+Titanic_Dataset[[#This Row],[SibSp]]</f>
        <v>0</v>
      </c>
      <c r="N470" s="1" t="s">
        <v>967</v>
      </c>
      <c r="O470">
        <v>7.7249999999999996</v>
      </c>
      <c r="P470" t="e">
        <f>IF(Titanic_Dataset[[#This Row],[Survived]]=1,Titanic_Dataset[[#This Row],[Fare]],NA())</f>
        <v>#N/A</v>
      </c>
      <c r="Q470">
        <f>IF(Titanic_Dataset[[#This Row],[Survived]]=0,Titanic_Dataset[[#This Row],[Fare]],NA())</f>
        <v>7.7249999999999996</v>
      </c>
      <c r="R470" t="str">
        <f>VLOOKUP(Titanic_Dataset[[#This Row],[Fare]],Table2[],2,TRUE)</f>
        <v>low</v>
      </c>
      <c r="S470" s="1" t="s">
        <v>15</v>
      </c>
      <c r="T470" s="1" t="s">
        <v>31</v>
      </c>
      <c r="U470" s="1"/>
      <c r="V470" s="1"/>
      <c r="W470" s="1"/>
    </row>
    <row r="471" spans="1:23" x14ac:dyDescent="0.25">
      <c r="A471">
        <v>470</v>
      </c>
      <c r="B471">
        <v>1</v>
      </c>
      <c r="C471" t="str">
        <f>IF(Titanic_Dataset[[#This Row],[Survived]]=1,"Survived","Died")</f>
        <v>Survived</v>
      </c>
      <c r="D471">
        <v>3</v>
      </c>
      <c r="E471" t="str">
        <f>IF(Titanic_Dataset[[#This Row],[Pclass]]=1,"1st",IF(Titanic_Dataset[[#This Row],[Pclass]]=2,"2nd",IF(Titanic_Dataset[[#This Row],[Pclass]]=3,"3rd")))</f>
        <v>3rd</v>
      </c>
      <c r="F471" s="1" t="s">
        <v>968</v>
      </c>
      <c r="G471" s="1" t="str">
        <f>TRIM(MID(Titanic_Dataset[[#This Row],[Name]],
FIND(",",Titanic_Dataset[[#This Row],[Name]])+2,
FIND(".",Titanic_Dataset[[#This Row],[Name]],FIND(",",Titanic_Dataset[[#This Row],[Name]]))-FIND(",",Titanic_Dataset[[#This Row],[Name]])-1))</f>
        <v>Miss.</v>
      </c>
      <c r="H471" s="1" t="s">
        <v>18</v>
      </c>
      <c r="I471">
        <v>0.75</v>
      </c>
      <c r="J471" t="str">
        <f>IF(Titanic_Dataset[[#This Row],[Age]]&lt;12,"0-11",
IF(Titanic_Dataset[[#This Row],[Age]]&lt;20,"12-19",
IF(Titanic_Dataset[[#This Row],[Age]]&lt;30,"20-29",
IF(Titanic_Dataset[[#This Row],[Age]]&lt;40,"30-39",
IF(Titanic_Dataset[[#This Row],[Age]]&lt;50,"40-49",
IF(Titanic_Dataset[[#This Row],[Age]]&lt;60,"50-59",
IF(Titanic_Dataset[[#This Row],[Age]]&lt;70,"60-69",)))))))</f>
        <v>0-11</v>
      </c>
      <c r="K471">
        <v>2</v>
      </c>
      <c r="L471">
        <v>1</v>
      </c>
      <c r="M471">
        <f>Titanic_Dataset[[#This Row],[Parch]]+Titanic_Dataset[[#This Row],[SibSp]]</f>
        <v>3</v>
      </c>
      <c r="N471" s="1" t="s">
        <v>922</v>
      </c>
      <c r="O471">
        <v>19.258299999999998</v>
      </c>
      <c r="P471">
        <f>IF(Titanic_Dataset[[#This Row],[Survived]]=1,Titanic_Dataset[[#This Row],[Fare]],NA())</f>
        <v>19.258299999999998</v>
      </c>
      <c r="Q471" t="e">
        <f>IF(Titanic_Dataset[[#This Row],[Survived]]=0,Titanic_Dataset[[#This Row],[Fare]],NA())</f>
        <v>#N/A</v>
      </c>
      <c r="R471" t="str">
        <f>VLOOKUP(Titanic_Dataset[[#This Row],[Fare]],Table2[],2,TRUE)</f>
        <v>high</v>
      </c>
      <c r="S471" s="1" t="s">
        <v>15</v>
      </c>
      <c r="T471" s="1" t="s">
        <v>21</v>
      </c>
      <c r="U471" s="1"/>
      <c r="V471" s="1"/>
      <c r="W471" s="1"/>
    </row>
    <row r="472" spans="1:23" x14ac:dyDescent="0.25">
      <c r="A472">
        <v>471</v>
      </c>
      <c r="B472">
        <v>0</v>
      </c>
      <c r="C472" t="str">
        <f>IF(Titanic_Dataset[[#This Row],[Survived]]=1,"Survived","Died")</f>
        <v>Died</v>
      </c>
      <c r="D472">
        <v>3</v>
      </c>
      <c r="E472" t="str">
        <f>IF(Titanic_Dataset[[#This Row],[Pclass]]=1,"1st",IF(Titanic_Dataset[[#This Row],[Pclass]]=2,"2nd",IF(Titanic_Dataset[[#This Row],[Pclass]]=3,"3rd")))</f>
        <v>3rd</v>
      </c>
      <c r="F472" s="1" t="s">
        <v>969</v>
      </c>
      <c r="G472" s="1" t="str">
        <f>TRIM(MID(Titanic_Dataset[[#This Row],[Name]],
FIND(",",Titanic_Dataset[[#This Row],[Name]])+2,
FIND(".",Titanic_Dataset[[#This Row],[Name]],FIND(",",Titanic_Dataset[[#This Row],[Name]]))-FIND(",",Titanic_Dataset[[#This Row],[Name]])-1))</f>
        <v>Mr.</v>
      </c>
      <c r="H472" s="1" t="s">
        <v>13</v>
      </c>
      <c r="I472">
        <v>28</v>
      </c>
      <c r="J47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72">
        <v>0</v>
      </c>
      <c r="L472">
        <v>0</v>
      </c>
      <c r="M472">
        <f>Titanic_Dataset[[#This Row],[Parch]]+Titanic_Dataset[[#This Row],[SibSp]]</f>
        <v>0</v>
      </c>
      <c r="N472" s="1" t="s">
        <v>970</v>
      </c>
      <c r="O472">
        <v>7.25</v>
      </c>
      <c r="P472" t="e">
        <f>IF(Titanic_Dataset[[#This Row],[Survived]]=1,Titanic_Dataset[[#This Row],[Fare]],NA())</f>
        <v>#N/A</v>
      </c>
      <c r="Q472">
        <f>IF(Titanic_Dataset[[#This Row],[Survived]]=0,Titanic_Dataset[[#This Row],[Fare]],NA())</f>
        <v>7.25</v>
      </c>
      <c r="R472" t="str">
        <f>VLOOKUP(Titanic_Dataset[[#This Row],[Fare]],Table2[],2,TRUE)</f>
        <v>low</v>
      </c>
      <c r="S472" s="1" t="s">
        <v>15</v>
      </c>
      <c r="T472" s="1" t="s">
        <v>16</v>
      </c>
      <c r="U472" s="1"/>
      <c r="V472" s="1"/>
      <c r="W472" s="1"/>
    </row>
    <row r="473" spans="1:23" x14ac:dyDescent="0.25">
      <c r="A473">
        <v>472</v>
      </c>
      <c r="B473">
        <v>0</v>
      </c>
      <c r="C473" t="str">
        <f>IF(Titanic_Dataset[[#This Row],[Survived]]=1,"Survived","Died")</f>
        <v>Died</v>
      </c>
      <c r="D473">
        <v>3</v>
      </c>
      <c r="E473" t="str">
        <f>IF(Titanic_Dataset[[#This Row],[Pclass]]=1,"1st",IF(Titanic_Dataset[[#This Row],[Pclass]]=2,"2nd",IF(Titanic_Dataset[[#This Row],[Pclass]]=3,"3rd")))</f>
        <v>3rd</v>
      </c>
      <c r="F473" s="1" t="s">
        <v>971</v>
      </c>
      <c r="G473" s="1" t="str">
        <f>TRIM(MID(Titanic_Dataset[[#This Row],[Name]],
FIND(",",Titanic_Dataset[[#This Row],[Name]])+2,
FIND(".",Titanic_Dataset[[#This Row],[Name]],FIND(",",Titanic_Dataset[[#This Row],[Name]]))-FIND(",",Titanic_Dataset[[#This Row],[Name]])-1))</f>
        <v>Mr.</v>
      </c>
      <c r="H473" s="1" t="s">
        <v>13</v>
      </c>
      <c r="I473">
        <v>38</v>
      </c>
      <c r="J473" t="str">
        <f>IF(Titanic_Dataset[[#This Row],[Age]]&lt;12,"0-11",
IF(Titanic_Dataset[[#This Row],[Age]]&lt;20,"12-19",
IF(Titanic_Dataset[[#This Row],[Age]]&lt;30,"20-29",
IF(Titanic_Dataset[[#This Row],[Age]]&lt;40,"30-39",
IF(Titanic_Dataset[[#This Row],[Age]]&lt;50,"40-49",
IF(Titanic_Dataset[[#This Row],[Age]]&lt;60,"50-59",
IF(Titanic_Dataset[[#This Row],[Age]]&lt;70,"60-69",)))))))</f>
        <v>30-39</v>
      </c>
      <c r="K473">
        <v>0</v>
      </c>
      <c r="L473">
        <v>0</v>
      </c>
      <c r="M473">
        <f>Titanic_Dataset[[#This Row],[Parch]]+Titanic_Dataset[[#This Row],[SibSp]]</f>
        <v>0</v>
      </c>
      <c r="N473" s="1" t="s">
        <v>972</v>
      </c>
      <c r="O473">
        <v>8.6624999999999996</v>
      </c>
      <c r="P473" t="e">
        <f>IF(Titanic_Dataset[[#This Row],[Survived]]=1,Titanic_Dataset[[#This Row],[Fare]],NA())</f>
        <v>#N/A</v>
      </c>
      <c r="Q473">
        <f>IF(Titanic_Dataset[[#This Row],[Survived]]=0,Titanic_Dataset[[#This Row],[Fare]],NA())</f>
        <v>8.6624999999999996</v>
      </c>
      <c r="R473" t="str">
        <f>VLOOKUP(Titanic_Dataset[[#This Row],[Fare]],Table2[],2,TRUE)</f>
        <v>medium</v>
      </c>
      <c r="S473" s="1" t="s">
        <v>15</v>
      </c>
      <c r="T473" s="1" t="s">
        <v>16</v>
      </c>
      <c r="U473" s="1"/>
      <c r="V473" s="1"/>
      <c r="W473" s="1"/>
    </row>
    <row r="474" spans="1:23" x14ac:dyDescent="0.25">
      <c r="A474">
        <v>473</v>
      </c>
      <c r="B474">
        <v>1</v>
      </c>
      <c r="C474" t="str">
        <f>IF(Titanic_Dataset[[#This Row],[Survived]]=1,"Survived","Died")</f>
        <v>Survived</v>
      </c>
      <c r="D474">
        <v>2</v>
      </c>
      <c r="E474" t="str">
        <f>IF(Titanic_Dataset[[#This Row],[Pclass]]=1,"1st",IF(Titanic_Dataset[[#This Row],[Pclass]]=2,"2nd",IF(Titanic_Dataset[[#This Row],[Pclass]]=3,"3rd")))</f>
        <v>2nd</v>
      </c>
      <c r="F474" s="1" t="s">
        <v>973</v>
      </c>
      <c r="G474" s="1" t="str">
        <f>TRIM(MID(Titanic_Dataset[[#This Row],[Name]],
FIND(",",Titanic_Dataset[[#This Row],[Name]])+2,
FIND(".",Titanic_Dataset[[#This Row],[Name]],FIND(",",Titanic_Dataset[[#This Row],[Name]]))-FIND(",",Titanic_Dataset[[#This Row],[Name]])-1))</f>
        <v>Mrs.</v>
      </c>
      <c r="H474" s="1" t="s">
        <v>18</v>
      </c>
      <c r="I474">
        <v>33</v>
      </c>
      <c r="J474" t="str">
        <f>IF(Titanic_Dataset[[#This Row],[Age]]&lt;12,"0-11",
IF(Titanic_Dataset[[#This Row],[Age]]&lt;20,"12-19",
IF(Titanic_Dataset[[#This Row],[Age]]&lt;30,"20-29",
IF(Titanic_Dataset[[#This Row],[Age]]&lt;40,"30-39",
IF(Titanic_Dataset[[#This Row],[Age]]&lt;50,"40-49",
IF(Titanic_Dataset[[#This Row],[Age]]&lt;60,"50-59",
IF(Titanic_Dataset[[#This Row],[Age]]&lt;70,"60-69",)))))))</f>
        <v>30-39</v>
      </c>
      <c r="K474">
        <v>1</v>
      </c>
      <c r="L474">
        <v>2</v>
      </c>
      <c r="M474">
        <f>Titanic_Dataset[[#This Row],[Parch]]+Titanic_Dataset[[#This Row],[SibSp]]</f>
        <v>3</v>
      </c>
      <c r="N474" s="1" t="s">
        <v>146</v>
      </c>
      <c r="O474">
        <v>27.75</v>
      </c>
      <c r="P474">
        <f>IF(Titanic_Dataset[[#This Row],[Survived]]=1,Titanic_Dataset[[#This Row],[Fare]],NA())</f>
        <v>27.75</v>
      </c>
      <c r="Q474" t="e">
        <f>IF(Titanic_Dataset[[#This Row],[Survived]]=0,Titanic_Dataset[[#This Row],[Fare]],NA())</f>
        <v>#N/A</v>
      </c>
      <c r="R474" t="str">
        <f>VLOOKUP(Titanic_Dataset[[#This Row],[Fare]],Table2[],2,TRUE)</f>
        <v>high</v>
      </c>
      <c r="S474" s="1" t="s">
        <v>15</v>
      </c>
      <c r="T474" s="1" t="s">
        <v>16</v>
      </c>
      <c r="U474" s="1"/>
      <c r="V474" s="1"/>
      <c r="W474" s="1"/>
    </row>
    <row r="475" spans="1:23" x14ac:dyDescent="0.25">
      <c r="A475">
        <v>474</v>
      </c>
      <c r="B475">
        <v>1</v>
      </c>
      <c r="C475" t="str">
        <f>IF(Titanic_Dataset[[#This Row],[Survived]]=1,"Survived","Died")</f>
        <v>Survived</v>
      </c>
      <c r="D475">
        <v>2</v>
      </c>
      <c r="E475" t="str">
        <f>IF(Titanic_Dataset[[#This Row],[Pclass]]=1,"1st",IF(Titanic_Dataset[[#This Row],[Pclass]]=2,"2nd",IF(Titanic_Dataset[[#This Row],[Pclass]]=3,"3rd")))</f>
        <v>2nd</v>
      </c>
      <c r="F475" s="1" t="s">
        <v>974</v>
      </c>
      <c r="G475" s="1" t="str">
        <f>TRIM(MID(Titanic_Dataset[[#This Row],[Name]],
FIND(",",Titanic_Dataset[[#This Row],[Name]])+2,
FIND(".",Titanic_Dataset[[#This Row],[Name]],FIND(",",Titanic_Dataset[[#This Row],[Name]]))-FIND(",",Titanic_Dataset[[#This Row],[Name]])-1))</f>
        <v>Mrs.</v>
      </c>
      <c r="H475" s="1" t="s">
        <v>18</v>
      </c>
      <c r="I475">
        <v>23</v>
      </c>
      <c r="J47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75">
        <v>0</v>
      </c>
      <c r="L475">
        <v>0</v>
      </c>
      <c r="M475">
        <f>Titanic_Dataset[[#This Row],[Parch]]+Titanic_Dataset[[#This Row],[SibSp]]</f>
        <v>0</v>
      </c>
      <c r="N475" s="1" t="s">
        <v>975</v>
      </c>
      <c r="O475">
        <v>13.791700000000001</v>
      </c>
      <c r="P475">
        <f>IF(Titanic_Dataset[[#This Row],[Survived]]=1,Titanic_Dataset[[#This Row],[Fare]],NA())</f>
        <v>13.791700000000001</v>
      </c>
      <c r="Q475" t="e">
        <f>IF(Titanic_Dataset[[#This Row],[Survived]]=0,Titanic_Dataset[[#This Row],[Fare]],NA())</f>
        <v>#N/A</v>
      </c>
      <c r="R475" t="str">
        <f>VLOOKUP(Titanic_Dataset[[#This Row],[Fare]],Table2[],2,TRUE)</f>
        <v>medium</v>
      </c>
      <c r="S475" s="1" t="s">
        <v>625</v>
      </c>
      <c r="T475" s="1" t="s">
        <v>21</v>
      </c>
      <c r="U475" s="1"/>
      <c r="V475" s="1"/>
      <c r="W475" s="1"/>
    </row>
    <row r="476" spans="1:23" x14ac:dyDescent="0.25">
      <c r="A476">
        <v>475</v>
      </c>
      <c r="B476">
        <v>0</v>
      </c>
      <c r="C476" t="str">
        <f>IF(Titanic_Dataset[[#This Row],[Survived]]=1,"Survived","Died")</f>
        <v>Died</v>
      </c>
      <c r="D476">
        <v>3</v>
      </c>
      <c r="E476" t="str">
        <f>IF(Titanic_Dataset[[#This Row],[Pclass]]=1,"1st",IF(Titanic_Dataset[[#This Row],[Pclass]]=2,"2nd",IF(Titanic_Dataset[[#This Row],[Pclass]]=3,"3rd")))</f>
        <v>3rd</v>
      </c>
      <c r="F476" s="1" t="s">
        <v>976</v>
      </c>
      <c r="G476" s="1" t="str">
        <f>TRIM(MID(Titanic_Dataset[[#This Row],[Name]],
FIND(",",Titanic_Dataset[[#This Row],[Name]])+2,
FIND(".",Titanic_Dataset[[#This Row],[Name]],FIND(",",Titanic_Dataset[[#This Row],[Name]]))-FIND(",",Titanic_Dataset[[#This Row],[Name]])-1))</f>
        <v>Miss.</v>
      </c>
      <c r="H476" s="1" t="s">
        <v>18</v>
      </c>
      <c r="I476">
        <v>22</v>
      </c>
      <c r="J47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76">
        <v>0</v>
      </c>
      <c r="L476">
        <v>0</v>
      </c>
      <c r="M476">
        <f>Titanic_Dataset[[#This Row],[Parch]]+Titanic_Dataset[[#This Row],[SibSp]]</f>
        <v>0</v>
      </c>
      <c r="N476" s="1" t="s">
        <v>977</v>
      </c>
      <c r="O476">
        <v>9.8375000000000004</v>
      </c>
      <c r="P476" t="e">
        <f>IF(Titanic_Dataset[[#This Row],[Survived]]=1,Titanic_Dataset[[#This Row],[Fare]],NA())</f>
        <v>#N/A</v>
      </c>
      <c r="Q476">
        <f>IF(Titanic_Dataset[[#This Row],[Survived]]=0,Titanic_Dataset[[#This Row],[Fare]],NA())</f>
        <v>9.8375000000000004</v>
      </c>
      <c r="R476" t="str">
        <f>VLOOKUP(Titanic_Dataset[[#This Row],[Fare]],Table2[],2,TRUE)</f>
        <v>medium</v>
      </c>
      <c r="S476" s="1" t="s">
        <v>15</v>
      </c>
      <c r="T476" s="1" t="s">
        <v>16</v>
      </c>
      <c r="U476" s="1"/>
      <c r="V476" s="1"/>
      <c r="W476" s="1"/>
    </row>
    <row r="477" spans="1:23" x14ac:dyDescent="0.25">
      <c r="A477">
        <v>476</v>
      </c>
      <c r="B477">
        <v>0</v>
      </c>
      <c r="C477" t="str">
        <f>IF(Titanic_Dataset[[#This Row],[Survived]]=1,"Survived","Died")</f>
        <v>Died</v>
      </c>
      <c r="D477">
        <v>1</v>
      </c>
      <c r="E477" t="str">
        <f>IF(Titanic_Dataset[[#This Row],[Pclass]]=1,"1st",IF(Titanic_Dataset[[#This Row],[Pclass]]=2,"2nd",IF(Titanic_Dataset[[#This Row],[Pclass]]=3,"3rd")))</f>
        <v>1st</v>
      </c>
      <c r="F477" s="1" t="s">
        <v>978</v>
      </c>
      <c r="G477" s="1" t="str">
        <f>TRIM(MID(Titanic_Dataset[[#This Row],[Name]],
FIND(",",Titanic_Dataset[[#This Row],[Name]])+2,
FIND(".",Titanic_Dataset[[#This Row],[Name]],FIND(",",Titanic_Dataset[[#This Row],[Name]]))-FIND(",",Titanic_Dataset[[#This Row],[Name]])-1))</f>
        <v>Mr.</v>
      </c>
      <c r="H477" s="1" t="s">
        <v>13</v>
      </c>
      <c r="I477">
        <v>28</v>
      </c>
      <c r="J47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77">
        <v>0</v>
      </c>
      <c r="L477">
        <v>0</v>
      </c>
      <c r="M477">
        <f>Titanic_Dataset[[#This Row],[Parch]]+Titanic_Dataset[[#This Row],[SibSp]]</f>
        <v>0</v>
      </c>
      <c r="N477" s="1" t="s">
        <v>256</v>
      </c>
      <c r="O477">
        <v>52</v>
      </c>
      <c r="P477" t="e">
        <f>IF(Titanic_Dataset[[#This Row],[Survived]]=1,Titanic_Dataset[[#This Row],[Fare]],NA())</f>
        <v>#N/A</v>
      </c>
      <c r="Q477">
        <f>IF(Titanic_Dataset[[#This Row],[Survived]]=0,Titanic_Dataset[[#This Row],[Fare]],NA())</f>
        <v>52</v>
      </c>
      <c r="R477" t="str">
        <f>VLOOKUP(Titanic_Dataset[[#This Row],[Fare]],Table2[],2,TRUE)</f>
        <v>very hiegh</v>
      </c>
      <c r="S477" s="1" t="s">
        <v>979</v>
      </c>
      <c r="T477" s="1" t="s">
        <v>16</v>
      </c>
      <c r="U477" s="1"/>
      <c r="V477" s="1"/>
      <c r="W477" s="1"/>
    </row>
    <row r="478" spans="1:23" x14ac:dyDescent="0.25">
      <c r="A478">
        <v>477</v>
      </c>
      <c r="B478">
        <v>0</v>
      </c>
      <c r="C478" t="str">
        <f>IF(Titanic_Dataset[[#This Row],[Survived]]=1,"Survived","Died")</f>
        <v>Died</v>
      </c>
      <c r="D478">
        <v>2</v>
      </c>
      <c r="E478" t="str">
        <f>IF(Titanic_Dataset[[#This Row],[Pclass]]=1,"1st",IF(Titanic_Dataset[[#This Row],[Pclass]]=2,"2nd",IF(Titanic_Dataset[[#This Row],[Pclass]]=3,"3rd")))</f>
        <v>2nd</v>
      </c>
      <c r="F478" s="1" t="s">
        <v>980</v>
      </c>
      <c r="G478" s="1" t="str">
        <f>TRIM(MID(Titanic_Dataset[[#This Row],[Name]],
FIND(",",Titanic_Dataset[[#This Row],[Name]])+2,
FIND(".",Titanic_Dataset[[#This Row],[Name]],FIND(",",Titanic_Dataset[[#This Row],[Name]]))-FIND(",",Titanic_Dataset[[#This Row],[Name]])-1))</f>
        <v>Mr.</v>
      </c>
      <c r="H478" s="1" t="s">
        <v>13</v>
      </c>
      <c r="I478">
        <v>34</v>
      </c>
      <c r="J478" t="str">
        <f>IF(Titanic_Dataset[[#This Row],[Age]]&lt;12,"0-11",
IF(Titanic_Dataset[[#This Row],[Age]]&lt;20,"12-19",
IF(Titanic_Dataset[[#This Row],[Age]]&lt;30,"20-29",
IF(Titanic_Dataset[[#This Row],[Age]]&lt;40,"30-39",
IF(Titanic_Dataset[[#This Row],[Age]]&lt;50,"40-49",
IF(Titanic_Dataset[[#This Row],[Age]]&lt;60,"50-59",
IF(Titanic_Dataset[[#This Row],[Age]]&lt;70,"60-69",)))))))</f>
        <v>30-39</v>
      </c>
      <c r="K478">
        <v>1</v>
      </c>
      <c r="L478">
        <v>0</v>
      </c>
      <c r="M478">
        <f>Titanic_Dataset[[#This Row],[Parch]]+Titanic_Dataset[[#This Row],[SibSp]]</f>
        <v>1</v>
      </c>
      <c r="N478" s="1" t="s">
        <v>981</v>
      </c>
      <c r="O478">
        <v>21</v>
      </c>
      <c r="P478" t="e">
        <f>IF(Titanic_Dataset[[#This Row],[Survived]]=1,Titanic_Dataset[[#This Row],[Fare]],NA())</f>
        <v>#N/A</v>
      </c>
      <c r="Q478">
        <f>IF(Titanic_Dataset[[#This Row],[Survived]]=0,Titanic_Dataset[[#This Row],[Fare]],NA())</f>
        <v>21</v>
      </c>
      <c r="R478" t="str">
        <f>VLOOKUP(Titanic_Dataset[[#This Row],[Fare]],Table2[],2,TRUE)</f>
        <v>high</v>
      </c>
      <c r="S478" s="1" t="s">
        <v>15</v>
      </c>
      <c r="T478" s="1" t="s">
        <v>16</v>
      </c>
      <c r="U478" s="1"/>
      <c r="V478" s="1"/>
      <c r="W478" s="1"/>
    </row>
    <row r="479" spans="1:23" x14ac:dyDescent="0.25">
      <c r="A479">
        <v>478</v>
      </c>
      <c r="B479">
        <v>0</v>
      </c>
      <c r="C479" t="str">
        <f>IF(Titanic_Dataset[[#This Row],[Survived]]=1,"Survived","Died")</f>
        <v>Died</v>
      </c>
      <c r="D479">
        <v>3</v>
      </c>
      <c r="E479" t="str">
        <f>IF(Titanic_Dataset[[#This Row],[Pclass]]=1,"1st",IF(Titanic_Dataset[[#This Row],[Pclass]]=2,"2nd",IF(Titanic_Dataset[[#This Row],[Pclass]]=3,"3rd")))</f>
        <v>3rd</v>
      </c>
      <c r="F479" s="1" t="s">
        <v>982</v>
      </c>
      <c r="G479" s="1" t="str">
        <f>TRIM(MID(Titanic_Dataset[[#This Row],[Name]],
FIND(",",Titanic_Dataset[[#This Row],[Name]])+2,
FIND(".",Titanic_Dataset[[#This Row],[Name]],FIND(",",Titanic_Dataset[[#This Row],[Name]]))-FIND(",",Titanic_Dataset[[#This Row],[Name]])-1))</f>
        <v>Mr.</v>
      </c>
      <c r="H479" s="1" t="s">
        <v>13</v>
      </c>
      <c r="I479">
        <v>29</v>
      </c>
      <c r="J47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79">
        <v>1</v>
      </c>
      <c r="L479">
        <v>0</v>
      </c>
      <c r="M479">
        <f>Titanic_Dataset[[#This Row],[Parch]]+Titanic_Dataset[[#This Row],[SibSp]]</f>
        <v>1</v>
      </c>
      <c r="N479" s="1" t="s">
        <v>983</v>
      </c>
      <c r="O479">
        <v>7.0457999999999998</v>
      </c>
      <c r="P479" t="e">
        <f>IF(Titanic_Dataset[[#This Row],[Survived]]=1,Titanic_Dataset[[#This Row],[Fare]],NA())</f>
        <v>#N/A</v>
      </c>
      <c r="Q479">
        <f>IF(Titanic_Dataset[[#This Row],[Survived]]=0,Titanic_Dataset[[#This Row],[Fare]],NA())</f>
        <v>7.0457999999999998</v>
      </c>
      <c r="R479" t="str">
        <f>VLOOKUP(Titanic_Dataset[[#This Row],[Fare]],Table2[],2,TRUE)</f>
        <v>low</v>
      </c>
      <c r="S479" s="1" t="s">
        <v>15</v>
      </c>
      <c r="T479" s="1" t="s">
        <v>16</v>
      </c>
      <c r="U479" s="1"/>
      <c r="V479" s="1"/>
      <c r="W479" s="1"/>
    </row>
    <row r="480" spans="1:23" x14ac:dyDescent="0.25">
      <c r="A480">
        <v>479</v>
      </c>
      <c r="B480">
        <v>0</v>
      </c>
      <c r="C480" t="str">
        <f>IF(Titanic_Dataset[[#This Row],[Survived]]=1,"Survived","Died")</f>
        <v>Died</v>
      </c>
      <c r="D480">
        <v>3</v>
      </c>
      <c r="E480" t="str">
        <f>IF(Titanic_Dataset[[#This Row],[Pclass]]=1,"1st",IF(Titanic_Dataset[[#This Row],[Pclass]]=2,"2nd",IF(Titanic_Dataset[[#This Row],[Pclass]]=3,"3rd")))</f>
        <v>3rd</v>
      </c>
      <c r="F480" s="1" t="s">
        <v>984</v>
      </c>
      <c r="G480" s="1" t="str">
        <f>TRIM(MID(Titanic_Dataset[[#This Row],[Name]],
FIND(",",Titanic_Dataset[[#This Row],[Name]])+2,
FIND(".",Titanic_Dataset[[#This Row],[Name]],FIND(",",Titanic_Dataset[[#This Row],[Name]]))-FIND(",",Titanic_Dataset[[#This Row],[Name]])-1))</f>
        <v>Mr.</v>
      </c>
      <c r="H480" s="1" t="s">
        <v>13</v>
      </c>
      <c r="I480">
        <v>22</v>
      </c>
      <c r="J48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80">
        <v>0</v>
      </c>
      <c r="L480">
        <v>0</v>
      </c>
      <c r="M480">
        <f>Titanic_Dataset[[#This Row],[Parch]]+Titanic_Dataset[[#This Row],[SibSp]]</f>
        <v>0</v>
      </c>
      <c r="N480" s="1" t="s">
        <v>985</v>
      </c>
      <c r="O480">
        <v>7.5208000000000004</v>
      </c>
      <c r="P480" t="e">
        <f>IF(Titanic_Dataset[[#This Row],[Survived]]=1,Titanic_Dataset[[#This Row],[Fare]],NA())</f>
        <v>#N/A</v>
      </c>
      <c r="Q480">
        <f>IF(Titanic_Dataset[[#This Row],[Survived]]=0,Titanic_Dataset[[#This Row],[Fare]],NA())</f>
        <v>7.5208000000000004</v>
      </c>
      <c r="R480" t="str">
        <f>VLOOKUP(Titanic_Dataset[[#This Row],[Fare]],Table2[],2,TRUE)</f>
        <v>low</v>
      </c>
      <c r="S480" s="1" t="s">
        <v>15</v>
      </c>
      <c r="T480" s="1" t="s">
        <v>16</v>
      </c>
      <c r="U480" s="1"/>
      <c r="V480" s="1"/>
      <c r="W480" s="1"/>
    </row>
    <row r="481" spans="1:23" x14ac:dyDescent="0.25">
      <c r="A481">
        <v>480</v>
      </c>
      <c r="B481">
        <v>1</v>
      </c>
      <c r="C481" t="str">
        <f>IF(Titanic_Dataset[[#This Row],[Survived]]=1,"Survived","Died")</f>
        <v>Survived</v>
      </c>
      <c r="D481">
        <v>3</v>
      </c>
      <c r="E481" t="str">
        <f>IF(Titanic_Dataset[[#This Row],[Pclass]]=1,"1st",IF(Titanic_Dataset[[#This Row],[Pclass]]=2,"2nd",IF(Titanic_Dataset[[#This Row],[Pclass]]=3,"3rd")))</f>
        <v>3rd</v>
      </c>
      <c r="F481" s="1" t="s">
        <v>986</v>
      </c>
      <c r="G481" s="1" t="str">
        <f>TRIM(MID(Titanic_Dataset[[#This Row],[Name]],
FIND(",",Titanic_Dataset[[#This Row],[Name]])+2,
FIND(".",Titanic_Dataset[[#This Row],[Name]],FIND(",",Titanic_Dataset[[#This Row],[Name]]))-FIND(",",Titanic_Dataset[[#This Row],[Name]])-1))</f>
        <v>Miss.</v>
      </c>
      <c r="H481" s="1" t="s">
        <v>18</v>
      </c>
      <c r="I481">
        <v>2</v>
      </c>
      <c r="J481" t="str">
        <f>IF(Titanic_Dataset[[#This Row],[Age]]&lt;12,"0-11",
IF(Titanic_Dataset[[#This Row],[Age]]&lt;20,"12-19",
IF(Titanic_Dataset[[#This Row],[Age]]&lt;30,"20-29",
IF(Titanic_Dataset[[#This Row],[Age]]&lt;40,"30-39",
IF(Titanic_Dataset[[#This Row],[Age]]&lt;50,"40-49",
IF(Titanic_Dataset[[#This Row],[Age]]&lt;60,"50-59",
IF(Titanic_Dataset[[#This Row],[Age]]&lt;70,"60-69",)))))))</f>
        <v>0-11</v>
      </c>
      <c r="K481">
        <v>0</v>
      </c>
      <c r="L481">
        <v>1</v>
      </c>
      <c r="M481">
        <f>Titanic_Dataset[[#This Row],[Parch]]+Titanic_Dataset[[#This Row],[SibSp]]</f>
        <v>1</v>
      </c>
      <c r="N481" s="1" t="s">
        <v>987</v>
      </c>
      <c r="O481">
        <v>12.2875</v>
      </c>
      <c r="P481">
        <f>IF(Titanic_Dataset[[#This Row],[Survived]]=1,Titanic_Dataset[[#This Row],[Fare]],NA())</f>
        <v>12.2875</v>
      </c>
      <c r="Q481" t="e">
        <f>IF(Titanic_Dataset[[#This Row],[Survived]]=0,Titanic_Dataset[[#This Row],[Fare]],NA())</f>
        <v>#N/A</v>
      </c>
      <c r="R481" t="str">
        <f>VLOOKUP(Titanic_Dataset[[#This Row],[Fare]],Table2[],2,TRUE)</f>
        <v>medium</v>
      </c>
      <c r="S481" s="1" t="s">
        <v>15</v>
      </c>
      <c r="T481" s="1" t="s">
        <v>16</v>
      </c>
      <c r="U481" s="1"/>
      <c r="V481" s="1"/>
      <c r="W481" s="1"/>
    </row>
    <row r="482" spans="1:23" x14ac:dyDescent="0.25">
      <c r="A482">
        <v>481</v>
      </c>
      <c r="B482">
        <v>0</v>
      </c>
      <c r="C482" t="str">
        <f>IF(Titanic_Dataset[[#This Row],[Survived]]=1,"Survived","Died")</f>
        <v>Died</v>
      </c>
      <c r="D482">
        <v>3</v>
      </c>
      <c r="E482" t="str">
        <f>IF(Titanic_Dataset[[#This Row],[Pclass]]=1,"1st",IF(Titanic_Dataset[[#This Row],[Pclass]]=2,"2nd",IF(Titanic_Dataset[[#This Row],[Pclass]]=3,"3rd")))</f>
        <v>3rd</v>
      </c>
      <c r="F482" s="1" t="s">
        <v>988</v>
      </c>
      <c r="G482" s="1" t="str">
        <f>TRIM(MID(Titanic_Dataset[[#This Row],[Name]],
FIND(",",Titanic_Dataset[[#This Row],[Name]])+2,
FIND(".",Titanic_Dataset[[#This Row],[Name]],FIND(",",Titanic_Dataset[[#This Row],[Name]]))-FIND(",",Titanic_Dataset[[#This Row],[Name]])-1))</f>
        <v>Master.</v>
      </c>
      <c r="H482" s="1" t="s">
        <v>13</v>
      </c>
      <c r="I482">
        <v>9</v>
      </c>
      <c r="J482" t="str">
        <f>IF(Titanic_Dataset[[#This Row],[Age]]&lt;12,"0-11",
IF(Titanic_Dataset[[#This Row],[Age]]&lt;20,"12-19",
IF(Titanic_Dataset[[#This Row],[Age]]&lt;30,"20-29",
IF(Titanic_Dataset[[#This Row],[Age]]&lt;40,"30-39",
IF(Titanic_Dataset[[#This Row],[Age]]&lt;50,"40-49",
IF(Titanic_Dataset[[#This Row],[Age]]&lt;60,"50-59",
IF(Titanic_Dataset[[#This Row],[Age]]&lt;70,"60-69",)))))))</f>
        <v>0-11</v>
      </c>
      <c r="K482">
        <v>5</v>
      </c>
      <c r="L482">
        <v>2</v>
      </c>
      <c r="M482">
        <f>Titanic_Dataset[[#This Row],[Parch]]+Titanic_Dataset[[#This Row],[SibSp]]</f>
        <v>7</v>
      </c>
      <c r="N482" s="1" t="s">
        <v>148</v>
      </c>
      <c r="O482">
        <v>46.9</v>
      </c>
      <c r="P482" t="e">
        <f>IF(Titanic_Dataset[[#This Row],[Survived]]=1,Titanic_Dataset[[#This Row],[Fare]],NA())</f>
        <v>#N/A</v>
      </c>
      <c r="Q482">
        <f>IF(Titanic_Dataset[[#This Row],[Survived]]=0,Titanic_Dataset[[#This Row],[Fare]],NA())</f>
        <v>46.9</v>
      </c>
      <c r="R482" t="str">
        <f>VLOOKUP(Titanic_Dataset[[#This Row],[Fare]],Table2[],2,TRUE)</f>
        <v>very hiegh</v>
      </c>
      <c r="S482" s="1" t="s">
        <v>15</v>
      </c>
      <c r="T482" s="1" t="s">
        <v>16</v>
      </c>
      <c r="U482" s="1"/>
      <c r="V482" s="1"/>
      <c r="W482" s="1"/>
    </row>
    <row r="483" spans="1:23" x14ac:dyDescent="0.25">
      <c r="A483">
        <v>482</v>
      </c>
      <c r="B483">
        <v>0</v>
      </c>
      <c r="C483" t="str">
        <f>IF(Titanic_Dataset[[#This Row],[Survived]]=1,"Survived","Died")</f>
        <v>Died</v>
      </c>
      <c r="D483">
        <v>2</v>
      </c>
      <c r="E483" t="str">
        <f>IF(Titanic_Dataset[[#This Row],[Pclass]]=1,"1st",IF(Titanic_Dataset[[#This Row],[Pclass]]=2,"2nd",IF(Titanic_Dataset[[#This Row],[Pclass]]=3,"3rd")))</f>
        <v>2nd</v>
      </c>
      <c r="F483" s="1" t="s">
        <v>989</v>
      </c>
      <c r="G483" s="1" t="str">
        <f>TRIM(MID(Titanic_Dataset[[#This Row],[Name]],
FIND(",",Titanic_Dataset[[#This Row],[Name]])+2,
FIND(".",Titanic_Dataset[[#This Row],[Name]],FIND(",",Titanic_Dataset[[#This Row],[Name]]))-FIND(",",Titanic_Dataset[[#This Row],[Name]])-1))</f>
        <v>Mr.</v>
      </c>
      <c r="H483" s="1" t="s">
        <v>13</v>
      </c>
      <c r="I483">
        <v>28</v>
      </c>
      <c r="J48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83">
        <v>0</v>
      </c>
      <c r="L483">
        <v>0</v>
      </c>
      <c r="M483">
        <f>Titanic_Dataset[[#This Row],[Parch]]+Titanic_Dataset[[#This Row],[SibSp]]</f>
        <v>0</v>
      </c>
      <c r="N483" s="1" t="s">
        <v>990</v>
      </c>
      <c r="O483">
        <v>0</v>
      </c>
      <c r="P483" t="e">
        <f>IF(Titanic_Dataset[[#This Row],[Survived]]=1,Titanic_Dataset[[#This Row],[Fare]],NA())</f>
        <v>#N/A</v>
      </c>
      <c r="Q483">
        <f>IF(Titanic_Dataset[[#This Row],[Survived]]=0,Titanic_Dataset[[#This Row],[Fare]],NA())</f>
        <v>0</v>
      </c>
      <c r="R483" t="str">
        <f>VLOOKUP(Titanic_Dataset[[#This Row],[Fare]],Table2[],2,TRUE)</f>
        <v>low</v>
      </c>
      <c r="S483" s="1" t="s">
        <v>15</v>
      </c>
      <c r="T483" s="1" t="s">
        <v>16</v>
      </c>
      <c r="U483" s="1"/>
      <c r="V483" s="1"/>
      <c r="W483" s="1"/>
    </row>
    <row r="484" spans="1:23" x14ac:dyDescent="0.25">
      <c r="A484">
        <v>483</v>
      </c>
      <c r="B484">
        <v>0</v>
      </c>
      <c r="C484" t="str">
        <f>IF(Titanic_Dataset[[#This Row],[Survived]]=1,"Survived","Died")</f>
        <v>Died</v>
      </c>
      <c r="D484">
        <v>3</v>
      </c>
      <c r="E484" t="str">
        <f>IF(Titanic_Dataset[[#This Row],[Pclass]]=1,"1st",IF(Titanic_Dataset[[#This Row],[Pclass]]=2,"2nd",IF(Titanic_Dataset[[#This Row],[Pclass]]=3,"3rd")))</f>
        <v>3rd</v>
      </c>
      <c r="F484" s="1" t="s">
        <v>991</v>
      </c>
      <c r="G484" s="1" t="str">
        <f>TRIM(MID(Titanic_Dataset[[#This Row],[Name]],
FIND(",",Titanic_Dataset[[#This Row],[Name]])+2,
FIND(".",Titanic_Dataset[[#This Row],[Name]],FIND(",",Titanic_Dataset[[#This Row],[Name]]))-FIND(",",Titanic_Dataset[[#This Row],[Name]])-1))</f>
        <v>Mr.</v>
      </c>
      <c r="H484" s="1" t="s">
        <v>13</v>
      </c>
      <c r="I484">
        <v>50</v>
      </c>
      <c r="J484" t="str">
        <f>IF(Titanic_Dataset[[#This Row],[Age]]&lt;12,"0-11",
IF(Titanic_Dataset[[#This Row],[Age]]&lt;20,"12-19",
IF(Titanic_Dataset[[#This Row],[Age]]&lt;30,"20-29",
IF(Titanic_Dataset[[#This Row],[Age]]&lt;40,"30-39",
IF(Titanic_Dataset[[#This Row],[Age]]&lt;50,"40-49",
IF(Titanic_Dataset[[#This Row],[Age]]&lt;60,"50-59",
IF(Titanic_Dataset[[#This Row],[Age]]&lt;70,"60-69",)))))))</f>
        <v>50-59</v>
      </c>
      <c r="K484">
        <v>0</v>
      </c>
      <c r="L484">
        <v>0</v>
      </c>
      <c r="M484">
        <f>Titanic_Dataset[[#This Row],[Parch]]+Titanic_Dataset[[#This Row],[SibSp]]</f>
        <v>0</v>
      </c>
      <c r="N484" s="1" t="s">
        <v>992</v>
      </c>
      <c r="O484">
        <v>8.0500000000000007</v>
      </c>
      <c r="P484" t="e">
        <f>IF(Titanic_Dataset[[#This Row],[Survived]]=1,Titanic_Dataset[[#This Row],[Fare]],NA())</f>
        <v>#N/A</v>
      </c>
      <c r="Q484">
        <f>IF(Titanic_Dataset[[#This Row],[Survived]]=0,Titanic_Dataset[[#This Row],[Fare]],NA())</f>
        <v>8.0500000000000007</v>
      </c>
      <c r="R484" t="str">
        <f>VLOOKUP(Titanic_Dataset[[#This Row],[Fare]],Table2[],2,TRUE)</f>
        <v>medium</v>
      </c>
      <c r="S484" s="1" t="s">
        <v>15</v>
      </c>
      <c r="T484" s="1" t="s">
        <v>16</v>
      </c>
      <c r="U484" s="1"/>
      <c r="V484" s="1"/>
      <c r="W484" s="1"/>
    </row>
    <row r="485" spans="1:23" x14ac:dyDescent="0.25">
      <c r="A485">
        <v>484</v>
      </c>
      <c r="B485">
        <v>1</v>
      </c>
      <c r="C485" t="str">
        <f>IF(Titanic_Dataset[[#This Row],[Survived]]=1,"Survived","Died")</f>
        <v>Survived</v>
      </c>
      <c r="D485">
        <v>3</v>
      </c>
      <c r="E485" t="str">
        <f>IF(Titanic_Dataset[[#This Row],[Pclass]]=1,"1st",IF(Titanic_Dataset[[#This Row],[Pclass]]=2,"2nd",IF(Titanic_Dataset[[#This Row],[Pclass]]=3,"3rd")))</f>
        <v>3rd</v>
      </c>
      <c r="F485" s="1" t="s">
        <v>993</v>
      </c>
      <c r="G485" s="1" t="str">
        <f>TRIM(MID(Titanic_Dataset[[#This Row],[Name]],
FIND(",",Titanic_Dataset[[#This Row],[Name]])+2,
FIND(".",Titanic_Dataset[[#This Row],[Name]],FIND(",",Titanic_Dataset[[#This Row],[Name]]))-FIND(",",Titanic_Dataset[[#This Row],[Name]])-1))</f>
        <v>Mrs.</v>
      </c>
      <c r="H485" s="1" t="s">
        <v>18</v>
      </c>
      <c r="I485">
        <v>63</v>
      </c>
      <c r="J485" t="str">
        <f>IF(Titanic_Dataset[[#This Row],[Age]]&lt;12,"0-11",
IF(Titanic_Dataset[[#This Row],[Age]]&lt;20,"12-19",
IF(Titanic_Dataset[[#This Row],[Age]]&lt;30,"20-29",
IF(Titanic_Dataset[[#This Row],[Age]]&lt;40,"30-39",
IF(Titanic_Dataset[[#This Row],[Age]]&lt;50,"40-49",
IF(Titanic_Dataset[[#This Row],[Age]]&lt;60,"50-59",
IF(Titanic_Dataset[[#This Row],[Age]]&lt;70,"60-69",)))))))</f>
        <v>60-69</v>
      </c>
      <c r="K485">
        <v>0</v>
      </c>
      <c r="L485">
        <v>0</v>
      </c>
      <c r="M485">
        <f>Titanic_Dataset[[#This Row],[Parch]]+Titanic_Dataset[[#This Row],[SibSp]]</f>
        <v>0</v>
      </c>
      <c r="N485" s="1" t="s">
        <v>994</v>
      </c>
      <c r="O485">
        <v>9.5875000000000004</v>
      </c>
      <c r="P485">
        <f>IF(Titanic_Dataset[[#This Row],[Survived]]=1,Titanic_Dataset[[#This Row],[Fare]],NA())</f>
        <v>9.5875000000000004</v>
      </c>
      <c r="Q485" t="e">
        <f>IF(Titanic_Dataset[[#This Row],[Survived]]=0,Titanic_Dataset[[#This Row],[Fare]],NA())</f>
        <v>#N/A</v>
      </c>
      <c r="R485" t="str">
        <f>VLOOKUP(Titanic_Dataset[[#This Row],[Fare]],Table2[],2,TRUE)</f>
        <v>medium</v>
      </c>
      <c r="S485" s="1" t="s">
        <v>15</v>
      </c>
      <c r="T485" s="1" t="s">
        <v>16</v>
      </c>
      <c r="U485" s="1"/>
      <c r="V485" s="1"/>
      <c r="W485" s="1"/>
    </row>
    <row r="486" spans="1:23" x14ac:dyDescent="0.25">
      <c r="A486">
        <v>485</v>
      </c>
      <c r="B486">
        <v>1</v>
      </c>
      <c r="C486" t="str">
        <f>IF(Titanic_Dataset[[#This Row],[Survived]]=1,"Survived","Died")</f>
        <v>Survived</v>
      </c>
      <c r="D486">
        <v>1</v>
      </c>
      <c r="E486" t="str">
        <f>IF(Titanic_Dataset[[#This Row],[Pclass]]=1,"1st",IF(Titanic_Dataset[[#This Row],[Pclass]]=2,"2nd",IF(Titanic_Dataset[[#This Row],[Pclass]]=3,"3rd")))</f>
        <v>1st</v>
      </c>
      <c r="F486" s="1" t="s">
        <v>995</v>
      </c>
      <c r="G486" s="1" t="str">
        <f>TRIM(MID(Titanic_Dataset[[#This Row],[Name]],
FIND(",",Titanic_Dataset[[#This Row],[Name]])+2,
FIND(".",Titanic_Dataset[[#This Row],[Name]],FIND(",",Titanic_Dataset[[#This Row],[Name]]))-FIND(",",Titanic_Dataset[[#This Row],[Name]])-1))</f>
        <v>Mr.</v>
      </c>
      <c r="H486" s="1" t="s">
        <v>13</v>
      </c>
      <c r="I486">
        <v>25</v>
      </c>
      <c r="J48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86">
        <v>1</v>
      </c>
      <c r="L486">
        <v>0</v>
      </c>
      <c r="M486">
        <f>Titanic_Dataset[[#This Row],[Parch]]+Titanic_Dataset[[#This Row],[SibSp]]</f>
        <v>1</v>
      </c>
      <c r="N486" s="1" t="s">
        <v>621</v>
      </c>
      <c r="O486">
        <v>91.0792</v>
      </c>
      <c r="P486">
        <f>IF(Titanic_Dataset[[#This Row],[Survived]]=1,Titanic_Dataset[[#This Row],[Fare]],NA())</f>
        <v>91.0792</v>
      </c>
      <c r="Q486" t="e">
        <f>IF(Titanic_Dataset[[#This Row],[Survived]]=0,Titanic_Dataset[[#This Row],[Fare]],NA())</f>
        <v>#N/A</v>
      </c>
      <c r="R486" t="str">
        <f>VLOOKUP(Titanic_Dataset[[#This Row],[Fare]],Table2[],2,TRUE)</f>
        <v>very hiegh</v>
      </c>
      <c r="S486" s="1" t="s">
        <v>622</v>
      </c>
      <c r="T486" s="1" t="s">
        <v>21</v>
      </c>
      <c r="U486" s="1"/>
      <c r="V486" s="1"/>
      <c r="W486" s="1"/>
    </row>
    <row r="487" spans="1:23" x14ac:dyDescent="0.25">
      <c r="A487">
        <v>486</v>
      </c>
      <c r="B487">
        <v>0</v>
      </c>
      <c r="C487" t="str">
        <f>IF(Titanic_Dataset[[#This Row],[Survived]]=1,"Survived","Died")</f>
        <v>Died</v>
      </c>
      <c r="D487">
        <v>3</v>
      </c>
      <c r="E487" t="str">
        <f>IF(Titanic_Dataset[[#This Row],[Pclass]]=1,"1st",IF(Titanic_Dataset[[#This Row],[Pclass]]=2,"2nd",IF(Titanic_Dataset[[#This Row],[Pclass]]=3,"3rd")))</f>
        <v>3rd</v>
      </c>
      <c r="F487" s="1" t="s">
        <v>996</v>
      </c>
      <c r="G487" s="1" t="str">
        <f>TRIM(MID(Titanic_Dataset[[#This Row],[Name]],
FIND(",",Titanic_Dataset[[#This Row],[Name]])+2,
FIND(".",Titanic_Dataset[[#This Row],[Name]],FIND(",",Titanic_Dataset[[#This Row],[Name]]))-FIND(",",Titanic_Dataset[[#This Row],[Name]])-1))</f>
        <v>Miss.</v>
      </c>
      <c r="H487" s="1" t="s">
        <v>18</v>
      </c>
      <c r="I487">
        <v>28</v>
      </c>
      <c r="J48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87">
        <v>3</v>
      </c>
      <c r="L487">
        <v>1</v>
      </c>
      <c r="M487">
        <f>Titanic_Dataset[[#This Row],[Parch]]+Titanic_Dataset[[#This Row],[SibSp]]</f>
        <v>4</v>
      </c>
      <c r="N487" s="1" t="s">
        <v>386</v>
      </c>
      <c r="O487">
        <v>25.466699999999999</v>
      </c>
      <c r="P487" t="e">
        <f>IF(Titanic_Dataset[[#This Row],[Survived]]=1,Titanic_Dataset[[#This Row],[Fare]],NA())</f>
        <v>#N/A</v>
      </c>
      <c r="Q487">
        <f>IF(Titanic_Dataset[[#This Row],[Survived]]=0,Titanic_Dataset[[#This Row],[Fare]],NA())</f>
        <v>25.466699999999999</v>
      </c>
      <c r="R487" t="str">
        <f>VLOOKUP(Titanic_Dataset[[#This Row],[Fare]],Table2[],2,TRUE)</f>
        <v>high</v>
      </c>
      <c r="S487" s="1" t="s">
        <v>15</v>
      </c>
      <c r="T487" s="1" t="s">
        <v>16</v>
      </c>
      <c r="U487" s="1"/>
      <c r="V487" s="1"/>
      <c r="W487" s="1"/>
    </row>
    <row r="488" spans="1:23" x14ac:dyDescent="0.25">
      <c r="A488">
        <v>487</v>
      </c>
      <c r="B488">
        <v>1</v>
      </c>
      <c r="C488" t="str">
        <f>IF(Titanic_Dataset[[#This Row],[Survived]]=1,"Survived","Died")</f>
        <v>Survived</v>
      </c>
      <c r="D488">
        <v>1</v>
      </c>
      <c r="E488" t="str">
        <f>IF(Titanic_Dataset[[#This Row],[Pclass]]=1,"1st",IF(Titanic_Dataset[[#This Row],[Pclass]]=2,"2nd",IF(Titanic_Dataset[[#This Row],[Pclass]]=3,"3rd")))</f>
        <v>1st</v>
      </c>
      <c r="F488" s="1" t="s">
        <v>997</v>
      </c>
      <c r="G488" s="1" t="str">
        <f>TRIM(MID(Titanic_Dataset[[#This Row],[Name]],
FIND(",",Titanic_Dataset[[#This Row],[Name]])+2,
FIND(".",Titanic_Dataset[[#This Row],[Name]],FIND(",",Titanic_Dataset[[#This Row],[Name]]))-FIND(",",Titanic_Dataset[[#This Row],[Name]])-1))</f>
        <v>Mrs.</v>
      </c>
      <c r="H488" s="1" t="s">
        <v>18</v>
      </c>
      <c r="I488">
        <v>35</v>
      </c>
      <c r="J488" t="str">
        <f>IF(Titanic_Dataset[[#This Row],[Age]]&lt;12,"0-11",
IF(Titanic_Dataset[[#This Row],[Age]]&lt;20,"12-19",
IF(Titanic_Dataset[[#This Row],[Age]]&lt;30,"20-29",
IF(Titanic_Dataset[[#This Row],[Age]]&lt;40,"30-39",
IF(Titanic_Dataset[[#This Row],[Age]]&lt;50,"40-49",
IF(Titanic_Dataset[[#This Row],[Age]]&lt;60,"50-59",
IF(Titanic_Dataset[[#This Row],[Age]]&lt;70,"60-69",)))))))</f>
        <v>30-39</v>
      </c>
      <c r="K488">
        <v>1</v>
      </c>
      <c r="L488">
        <v>0</v>
      </c>
      <c r="M488">
        <f>Titanic_Dataset[[#This Row],[Parch]]+Titanic_Dataset[[#This Row],[SibSp]]</f>
        <v>1</v>
      </c>
      <c r="N488" s="1" t="s">
        <v>484</v>
      </c>
      <c r="O488">
        <v>90</v>
      </c>
      <c r="P488">
        <f>IF(Titanic_Dataset[[#This Row],[Survived]]=1,Titanic_Dataset[[#This Row],[Fare]],NA())</f>
        <v>90</v>
      </c>
      <c r="Q488" t="e">
        <f>IF(Titanic_Dataset[[#This Row],[Survived]]=0,Titanic_Dataset[[#This Row],[Fare]],NA())</f>
        <v>#N/A</v>
      </c>
      <c r="R488" t="str">
        <f>VLOOKUP(Titanic_Dataset[[#This Row],[Fare]],Table2[],2,TRUE)</f>
        <v>very hiegh</v>
      </c>
      <c r="S488" s="1" t="s">
        <v>485</v>
      </c>
      <c r="T488" s="1" t="s">
        <v>16</v>
      </c>
      <c r="U488" s="1"/>
      <c r="V488" s="1"/>
      <c r="W488" s="1"/>
    </row>
    <row r="489" spans="1:23" x14ac:dyDescent="0.25">
      <c r="A489">
        <v>488</v>
      </c>
      <c r="B489">
        <v>0</v>
      </c>
      <c r="C489" t="str">
        <f>IF(Titanic_Dataset[[#This Row],[Survived]]=1,"Survived","Died")</f>
        <v>Died</v>
      </c>
      <c r="D489">
        <v>1</v>
      </c>
      <c r="E489" t="str">
        <f>IF(Titanic_Dataset[[#This Row],[Pclass]]=1,"1st",IF(Titanic_Dataset[[#This Row],[Pclass]]=2,"2nd",IF(Titanic_Dataset[[#This Row],[Pclass]]=3,"3rd")))</f>
        <v>1st</v>
      </c>
      <c r="F489" s="1" t="s">
        <v>998</v>
      </c>
      <c r="G489" s="1" t="str">
        <f>TRIM(MID(Titanic_Dataset[[#This Row],[Name]],
FIND(",",Titanic_Dataset[[#This Row],[Name]])+2,
FIND(".",Titanic_Dataset[[#This Row],[Name]],FIND(",",Titanic_Dataset[[#This Row],[Name]]))-FIND(",",Titanic_Dataset[[#This Row],[Name]])-1))</f>
        <v>Mr.</v>
      </c>
      <c r="H489" s="1" t="s">
        <v>13</v>
      </c>
      <c r="I489">
        <v>58</v>
      </c>
      <c r="J489" t="str">
        <f>IF(Titanic_Dataset[[#This Row],[Age]]&lt;12,"0-11",
IF(Titanic_Dataset[[#This Row],[Age]]&lt;20,"12-19",
IF(Titanic_Dataset[[#This Row],[Age]]&lt;30,"20-29",
IF(Titanic_Dataset[[#This Row],[Age]]&lt;40,"30-39",
IF(Titanic_Dataset[[#This Row],[Age]]&lt;50,"40-49",
IF(Titanic_Dataset[[#This Row],[Age]]&lt;60,"50-59",
IF(Titanic_Dataset[[#This Row],[Age]]&lt;70,"60-69",)))))))</f>
        <v>50-59</v>
      </c>
      <c r="K489">
        <v>0</v>
      </c>
      <c r="L489">
        <v>0</v>
      </c>
      <c r="M489">
        <f>Titanic_Dataset[[#This Row],[Parch]]+Titanic_Dataset[[#This Row],[SibSp]]</f>
        <v>0</v>
      </c>
      <c r="N489" s="1" t="s">
        <v>999</v>
      </c>
      <c r="O489">
        <v>29.7</v>
      </c>
      <c r="P489" t="e">
        <f>IF(Titanic_Dataset[[#This Row],[Survived]]=1,Titanic_Dataset[[#This Row],[Fare]],NA())</f>
        <v>#N/A</v>
      </c>
      <c r="Q489">
        <f>IF(Titanic_Dataset[[#This Row],[Survived]]=0,Titanic_Dataset[[#This Row],[Fare]],NA())</f>
        <v>29.7</v>
      </c>
      <c r="R489" t="str">
        <f>VLOOKUP(Titanic_Dataset[[#This Row],[Fare]],Table2[],2,TRUE)</f>
        <v>high</v>
      </c>
      <c r="S489" s="1" t="s">
        <v>1000</v>
      </c>
      <c r="T489" s="1" t="s">
        <v>21</v>
      </c>
      <c r="U489" s="1"/>
      <c r="V489" s="1"/>
      <c r="W489" s="1"/>
    </row>
    <row r="490" spans="1:23" x14ac:dyDescent="0.25">
      <c r="A490">
        <v>489</v>
      </c>
      <c r="B490">
        <v>0</v>
      </c>
      <c r="C490" t="str">
        <f>IF(Titanic_Dataset[[#This Row],[Survived]]=1,"Survived","Died")</f>
        <v>Died</v>
      </c>
      <c r="D490">
        <v>3</v>
      </c>
      <c r="E490" t="str">
        <f>IF(Titanic_Dataset[[#This Row],[Pclass]]=1,"1st",IF(Titanic_Dataset[[#This Row],[Pclass]]=2,"2nd",IF(Titanic_Dataset[[#This Row],[Pclass]]=3,"3rd")))</f>
        <v>3rd</v>
      </c>
      <c r="F490" s="1" t="s">
        <v>1001</v>
      </c>
      <c r="G490" s="1" t="str">
        <f>TRIM(MID(Titanic_Dataset[[#This Row],[Name]],
FIND(",",Titanic_Dataset[[#This Row],[Name]])+2,
FIND(".",Titanic_Dataset[[#This Row],[Name]],FIND(",",Titanic_Dataset[[#This Row],[Name]]))-FIND(",",Titanic_Dataset[[#This Row],[Name]])-1))</f>
        <v>Mr.</v>
      </c>
      <c r="H490" s="1" t="s">
        <v>13</v>
      </c>
      <c r="I490">
        <v>30</v>
      </c>
      <c r="J490" t="str">
        <f>IF(Titanic_Dataset[[#This Row],[Age]]&lt;12,"0-11",
IF(Titanic_Dataset[[#This Row],[Age]]&lt;20,"12-19",
IF(Titanic_Dataset[[#This Row],[Age]]&lt;30,"20-29",
IF(Titanic_Dataset[[#This Row],[Age]]&lt;40,"30-39",
IF(Titanic_Dataset[[#This Row],[Age]]&lt;50,"40-49",
IF(Titanic_Dataset[[#This Row],[Age]]&lt;60,"50-59",
IF(Titanic_Dataset[[#This Row],[Age]]&lt;70,"60-69",)))))))</f>
        <v>30-39</v>
      </c>
      <c r="K490">
        <v>0</v>
      </c>
      <c r="L490">
        <v>0</v>
      </c>
      <c r="M490">
        <f>Titanic_Dataset[[#This Row],[Parch]]+Titanic_Dataset[[#This Row],[SibSp]]</f>
        <v>0</v>
      </c>
      <c r="N490" s="1" t="s">
        <v>1002</v>
      </c>
      <c r="O490">
        <v>8.0500000000000007</v>
      </c>
      <c r="P490" t="e">
        <f>IF(Titanic_Dataset[[#This Row],[Survived]]=1,Titanic_Dataset[[#This Row],[Fare]],NA())</f>
        <v>#N/A</v>
      </c>
      <c r="Q490">
        <f>IF(Titanic_Dataset[[#This Row],[Survived]]=0,Titanic_Dataset[[#This Row],[Fare]],NA())</f>
        <v>8.0500000000000007</v>
      </c>
      <c r="R490" t="str">
        <f>VLOOKUP(Titanic_Dataset[[#This Row],[Fare]],Table2[],2,TRUE)</f>
        <v>medium</v>
      </c>
      <c r="S490" s="1" t="s">
        <v>15</v>
      </c>
      <c r="T490" s="1" t="s">
        <v>16</v>
      </c>
      <c r="U490" s="1"/>
      <c r="V490" s="1"/>
      <c r="W490" s="1"/>
    </row>
    <row r="491" spans="1:23" x14ac:dyDescent="0.25">
      <c r="A491">
        <v>490</v>
      </c>
      <c r="B491">
        <v>1</v>
      </c>
      <c r="C491" t="str">
        <f>IF(Titanic_Dataset[[#This Row],[Survived]]=1,"Survived","Died")</f>
        <v>Survived</v>
      </c>
      <c r="D491">
        <v>3</v>
      </c>
      <c r="E491" t="str">
        <f>IF(Titanic_Dataset[[#This Row],[Pclass]]=1,"1st",IF(Titanic_Dataset[[#This Row],[Pclass]]=2,"2nd",IF(Titanic_Dataset[[#This Row],[Pclass]]=3,"3rd")))</f>
        <v>3rd</v>
      </c>
      <c r="F491" s="1" t="s">
        <v>1003</v>
      </c>
      <c r="G491" s="1" t="str">
        <f>TRIM(MID(Titanic_Dataset[[#This Row],[Name]],
FIND(",",Titanic_Dataset[[#This Row],[Name]])+2,
FIND(".",Titanic_Dataset[[#This Row],[Name]],FIND(",",Titanic_Dataset[[#This Row],[Name]]))-FIND(",",Titanic_Dataset[[#This Row],[Name]])-1))</f>
        <v>Master.</v>
      </c>
      <c r="H491" s="1" t="s">
        <v>13</v>
      </c>
      <c r="I491">
        <v>9</v>
      </c>
      <c r="J491" t="str">
        <f>IF(Titanic_Dataset[[#This Row],[Age]]&lt;12,"0-11",
IF(Titanic_Dataset[[#This Row],[Age]]&lt;20,"12-19",
IF(Titanic_Dataset[[#This Row],[Age]]&lt;30,"20-29",
IF(Titanic_Dataset[[#This Row],[Age]]&lt;40,"30-39",
IF(Titanic_Dataset[[#This Row],[Age]]&lt;50,"40-49",
IF(Titanic_Dataset[[#This Row],[Age]]&lt;60,"50-59",
IF(Titanic_Dataset[[#This Row],[Age]]&lt;70,"60-69",)))))))</f>
        <v>0-11</v>
      </c>
      <c r="K491">
        <v>1</v>
      </c>
      <c r="L491">
        <v>1</v>
      </c>
      <c r="M491">
        <f>Titanic_Dataset[[#This Row],[Parch]]+Titanic_Dataset[[#This Row],[SibSp]]</f>
        <v>2</v>
      </c>
      <c r="N491" s="1" t="s">
        <v>736</v>
      </c>
      <c r="O491">
        <v>15.9</v>
      </c>
      <c r="P491">
        <f>IF(Titanic_Dataset[[#This Row],[Survived]]=1,Titanic_Dataset[[#This Row],[Fare]],NA())</f>
        <v>15.9</v>
      </c>
      <c r="Q491" t="e">
        <f>IF(Titanic_Dataset[[#This Row],[Survived]]=0,Titanic_Dataset[[#This Row],[Fare]],NA())</f>
        <v>#N/A</v>
      </c>
      <c r="R491" t="str">
        <f>VLOOKUP(Titanic_Dataset[[#This Row],[Fare]],Table2[],2,TRUE)</f>
        <v>high</v>
      </c>
      <c r="S491" s="1" t="s">
        <v>15</v>
      </c>
      <c r="T491" s="1" t="s">
        <v>16</v>
      </c>
      <c r="U491" s="1"/>
      <c r="V491" s="1"/>
      <c r="W491" s="1"/>
    </row>
    <row r="492" spans="1:23" x14ac:dyDescent="0.25">
      <c r="A492">
        <v>491</v>
      </c>
      <c r="B492">
        <v>0</v>
      </c>
      <c r="C492" t="str">
        <f>IF(Titanic_Dataset[[#This Row],[Survived]]=1,"Survived","Died")</f>
        <v>Died</v>
      </c>
      <c r="D492">
        <v>3</v>
      </c>
      <c r="E492" t="str">
        <f>IF(Titanic_Dataset[[#This Row],[Pclass]]=1,"1st",IF(Titanic_Dataset[[#This Row],[Pclass]]=2,"2nd",IF(Titanic_Dataset[[#This Row],[Pclass]]=3,"3rd")))</f>
        <v>3rd</v>
      </c>
      <c r="F492" s="1" t="s">
        <v>1004</v>
      </c>
      <c r="G492" s="1" t="str">
        <f>TRIM(MID(Titanic_Dataset[[#This Row],[Name]],
FIND(",",Titanic_Dataset[[#This Row],[Name]])+2,
FIND(".",Titanic_Dataset[[#This Row],[Name]],FIND(",",Titanic_Dataset[[#This Row],[Name]]))-FIND(",",Titanic_Dataset[[#This Row],[Name]])-1))</f>
        <v>Mr.</v>
      </c>
      <c r="H492" s="1" t="s">
        <v>13</v>
      </c>
      <c r="I492">
        <v>28</v>
      </c>
      <c r="J49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92">
        <v>1</v>
      </c>
      <c r="L492">
        <v>0</v>
      </c>
      <c r="M492">
        <f>Titanic_Dataset[[#This Row],[Parch]]+Titanic_Dataset[[#This Row],[SibSp]]</f>
        <v>1</v>
      </c>
      <c r="N492" s="1" t="s">
        <v>1005</v>
      </c>
      <c r="O492">
        <v>19.966699999999999</v>
      </c>
      <c r="P492" t="e">
        <f>IF(Titanic_Dataset[[#This Row],[Survived]]=1,Titanic_Dataset[[#This Row],[Fare]],NA())</f>
        <v>#N/A</v>
      </c>
      <c r="Q492">
        <f>IF(Titanic_Dataset[[#This Row],[Survived]]=0,Titanic_Dataset[[#This Row],[Fare]],NA())</f>
        <v>19.966699999999999</v>
      </c>
      <c r="R492" t="str">
        <f>VLOOKUP(Titanic_Dataset[[#This Row],[Fare]],Table2[],2,TRUE)</f>
        <v>high</v>
      </c>
      <c r="S492" s="1" t="s">
        <v>15</v>
      </c>
      <c r="T492" s="1" t="s">
        <v>16</v>
      </c>
      <c r="U492" s="1"/>
      <c r="V492" s="1"/>
      <c r="W492" s="1"/>
    </row>
    <row r="493" spans="1:23" x14ac:dyDescent="0.25">
      <c r="A493">
        <v>492</v>
      </c>
      <c r="B493">
        <v>0</v>
      </c>
      <c r="C493" t="str">
        <f>IF(Titanic_Dataset[[#This Row],[Survived]]=1,"Survived","Died")</f>
        <v>Died</v>
      </c>
      <c r="D493">
        <v>3</v>
      </c>
      <c r="E493" t="str">
        <f>IF(Titanic_Dataset[[#This Row],[Pclass]]=1,"1st",IF(Titanic_Dataset[[#This Row],[Pclass]]=2,"2nd",IF(Titanic_Dataset[[#This Row],[Pclass]]=3,"3rd")))</f>
        <v>3rd</v>
      </c>
      <c r="F493" s="1" t="s">
        <v>1006</v>
      </c>
      <c r="G493" s="1" t="str">
        <f>TRIM(MID(Titanic_Dataset[[#This Row],[Name]],
FIND(",",Titanic_Dataset[[#This Row],[Name]])+2,
FIND(".",Titanic_Dataset[[#This Row],[Name]],FIND(",",Titanic_Dataset[[#This Row],[Name]]))-FIND(",",Titanic_Dataset[[#This Row],[Name]])-1))</f>
        <v>Mr.</v>
      </c>
      <c r="H493" s="1" t="s">
        <v>13</v>
      </c>
      <c r="I493">
        <v>21</v>
      </c>
      <c r="J49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93">
        <v>0</v>
      </c>
      <c r="L493">
        <v>0</v>
      </c>
      <c r="M493">
        <f>Titanic_Dataset[[#This Row],[Parch]]+Titanic_Dataset[[#This Row],[SibSp]]</f>
        <v>0</v>
      </c>
      <c r="N493" s="1" t="s">
        <v>1007</v>
      </c>
      <c r="O493">
        <v>7.25</v>
      </c>
      <c r="P493" t="e">
        <f>IF(Titanic_Dataset[[#This Row],[Survived]]=1,Titanic_Dataset[[#This Row],[Fare]],NA())</f>
        <v>#N/A</v>
      </c>
      <c r="Q493">
        <f>IF(Titanic_Dataset[[#This Row],[Survived]]=0,Titanic_Dataset[[#This Row],[Fare]],NA())</f>
        <v>7.25</v>
      </c>
      <c r="R493" t="str">
        <f>VLOOKUP(Titanic_Dataset[[#This Row],[Fare]],Table2[],2,TRUE)</f>
        <v>low</v>
      </c>
      <c r="S493" s="1" t="s">
        <v>15</v>
      </c>
      <c r="T493" s="1" t="s">
        <v>16</v>
      </c>
      <c r="U493" s="1"/>
      <c r="V493" s="1"/>
      <c r="W493" s="1"/>
    </row>
    <row r="494" spans="1:23" x14ac:dyDescent="0.25">
      <c r="A494">
        <v>493</v>
      </c>
      <c r="B494">
        <v>0</v>
      </c>
      <c r="C494" t="str">
        <f>IF(Titanic_Dataset[[#This Row],[Survived]]=1,"Survived","Died")</f>
        <v>Died</v>
      </c>
      <c r="D494">
        <v>1</v>
      </c>
      <c r="E494" t="str">
        <f>IF(Titanic_Dataset[[#This Row],[Pclass]]=1,"1st",IF(Titanic_Dataset[[#This Row],[Pclass]]=2,"2nd",IF(Titanic_Dataset[[#This Row],[Pclass]]=3,"3rd")))</f>
        <v>1st</v>
      </c>
      <c r="F494" s="1" t="s">
        <v>1008</v>
      </c>
      <c r="G494" s="1" t="str">
        <f>TRIM(MID(Titanic_Dataset[[#This Row],[Name]],
FIND(",",Titanic_Dataset[[#This Row],[Name]])+2,
FIND(".",Titanic_Dataset[[#This Row],[Name]],FIND(",",Titanic_Dataset[[#This Row],[Name]]))-FIND(",",Titanic_Dataset[[#This Row],[Name]])-1))</f>
        <v>Mr.</v>
      </c>
      <c r="H494" s="1" t="s">
        <v>13</v>
      </c>
      <c r="I494">
        <v>55</v>
      </c>
      <c r="J494" t="str">
        <f>IF(Titanic_Dataset[[#This Row],[Age]]&lt;12,"0-11",
IF(Titanic_Dataset[[#This Row],[Age]]&lt;20,"12-19",
IF(Titanic_Dataset[[#This Row],[Age]]&lt;30,"20-29",
IF(Titanic_Dataset[[#This Row],[Age]]&lt;40,"30-39",
IF(Titanic_Dataset[[#This Row],[Age]]&lt;50,"40-49",
IF(Titanic_Dataset[[#This Row],[Age]]&lt;60,"50-59",
IF(Titanic_Dataset[[#This Row],[Age]]&lt;70,"60-69",)))))))</f>
        <v>50-59</v>
      </c>
      <c r="K494">
        <v>0</v>
      </c>
      <c r="L494">
        <v>0</v>
      </c>
      <c r="M494">
        <f>Titanic_Dataset[[#This Row],[Parch]]+Titanic_Dataset[[#This Row],[SibSp]]</f>
        <v>0</v>
      </c>
      <c r="N494" s="1" t="s">
        <v>1009</v>
      </c>
      <c r="O494">
        <v>30.5</v>
      </c>
      <c r="P494" t="e">
        <f>IF(Titanic_Dataset[[#This Row],[Survived]]=1,Titanic_Dataset[[#This Row],[Fare]],NA())</f>
        <v>#N/A</v>
      </c>
      <c r="Q494">
        <f>IF(Titanic_Dataset[[#This Row],[Survived]]=0,Titanic_Dataset[[#This Row],[Fare]],NA())</f>
        <v>30.5</v>
      </c>
      <c r="R494" t="str">
        <f>VLOOKUP(Titanic_Dataset[[#This Row],[Fare]],Table2[],2,TRUE)</f>
        <v>very hiegh</v>
      </c>
      <c r="S494" s="1" t="s">
        <v>1010</v>
      </c>
      <c r="T494" s="1" t="s">
        <v>16</v>
      </c>
      <c r="U494" s="1"/>
      <c r="V494" s="1"/>
      <c r="W494" s="1"/>
    </row>
    <row r="495" spans="1:23" x14ac:dyDescent="0.25">
      <c r="A495">
        <v>494</v>
      </c>
      <c r="B495">
        <v>0</v>
      </c>
      <c r="C495" t="str">
        <f>IF(Titanic_Dataset[[#This Row],[Survived]]=1,"Survived","Died")</f>
        <v>Died</v>
      </c>
      <c r="D495">
        <v>1</v>
      </c>
      <c r="E495" t="str">
        <f>IF(Titanic_Dataset[[#This Row],[Pclass]]=1,"1st",IF(Titanic_Dataset[[#This Row],[Pclass]]=2,"2nd",IF(Titanic_Dataset[[#This Row],[Pclass]]=3,"3rd")))</f>
        <v>1st</v>
      </c>
      <c r="F495" s="1" t="s">
        <v>1011</v>
      </c>
      <c r="G495" s="1" t="str">
        <f>TRIM(MID(Titanic_Dataset[[#This Row],[Name]],
FIND(",",Titanic_Dataset[[#This Row],[Name]])+2,
FIND(".",Titanic_Dataset[[#This Row],[Name]],FIND(",",Titanic_Dataset[[#This Row],[Name]]))-FIND(",",Titanic_Dataset[[#This Row],[Name]])-1))</f>
        <v>Mr.</v>
      </c>
      <c r="H495" s="1" t="s">
        <v>13</v>
      </c>
      <c r="I495">
        <v>71</v>
      </c>
      <c r="J495">
        <f>IF(Titanic_Dataset[[#This Row],[Age]]&lt;12,"0-11",
IF(Titanic_Dataset[[#This Row],[Age]]&lt;20,"12-19",
IF(Titanic_Dataset[[#This Row],[Age]]&lt;30,"20-29",
IF(Titanic_Dataset[[#This Row],[Age]]&lt;40,"30-39",
IF(Titanic_Dataset[[#This Row],[Age]]&lt;50,"40-49",
IF(Titanic_Dataset[[#This Row],[Age]]&lt;60,"50-59",
IF(Titanic_Dataset[[#This Row],[Age]]&lt;70,"60-69",)))))))</f>
        <v>0</v>
      </c>
      <c r="K495">
        <v>0</v>
      </c>
      <c r="L495">
        <v>0</v>
      </c>
      <c r="M495">
        <f>Titanic_Dataset[[#This Row],[Parch]]+Titanic_Dataset[[#This Row],[SibSp]]</f>
        <v>0</v>
      </c>
      <c r="N495" s="1" t="s">
        <v>1012</v>
      </c>
      <c r="O495">
        <v>49.504199999999997</v>
      </c>
      <c r="P495" t="e">
        <f>IF(Titanic_Dataset[[#This Row],[Survived]]=1,Titanic_Dataset[[#This Row],[Fare]],NA())</f>
        <v>#N/A</v>
      </c>
      <c r="Q495">
        <f>IF(Titanic_Dataset[[#This Row],[Survived]]=0,Titanic_Dataset[[#This Row],[Fare]],NA())</f>
        <v>49.504199999999997</v>
      </c>
      <c r="R495" t="str">
        <f>VLOOKUP(Titanic_Dataset[[#This Row],[Fare]],Table2[],2,TRUE)</f>
        <v>very hiegh</v>
      </c>
      <c r="S495" s="1" t="s">
        <v>15</v>
      </c>
      <c r="T495" s="1" t="s">
        <v>21</v>
      </c>
      <c r="U495" s="1"/>
      <c r="V495" s="1"/>
      <c r="W495" s="1"/>
    </row>
    <row r="496" spans="1:23" x14ac:dyDescent="0.25">
      <c r="A496">
        <v>495</v>
      </c>
      <c r="B496">
        <v>0</v>
      </c>
      <c r="C496" t="str">
        <f>IF(Titanic_Dataset[[#This Row],[Survived]]=1,"Survived","Died")</f>
        <v>Died</v>
      </c>
      <c r="D496">
        <v>3</v>
      </c>
      <c r="E496" t="str">
        <f>IF(Titanic_Dataset[[#This Row],[Pclass]]=1,"1st",IF(Titanic_Dataset[[#This Row],[Pclass]]=2,"2nd",IF(Titanic_Dataset[[#This Row],[Pclass]]=3,"3rd")))</f>
        <v>3rd</v>
      </c>
      <c r="F496" s="1" t="s">
        <v>1013</v>
      </c>
      <c r="G496" s="1" t="str">
        <f>TRIM(MID(Titanic_Dataset[[#This Row],[Name]],
FIND(",",Titanic_Dataset[[#This Row],[Name]])+2,
FIND(".",Titanic_Dataset[[#This Row],[Name]],FIND(",",Titanic_Dataset[[#This Row],[Name]]))-FIND(",",Titanic_Dataset[[#This Row],[Name]])-1))</f>
        <v>Mr.</v>
      </c>
      <c r="H496" s="1" t="s">
        <v>13</v>
      </c>
      <c r="I496">
        <v>21</v>
      </c>
      <c r="J49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96">
        <v>0</v>
      </c>
      <c r="L496">
        <v>0</v>
      </c>
      <c r="M496">
        <f>Titanic_Dataset[[#This Row],[Parch]]+Titanic_Dataset[[#This Row],[SibSp]]</f>
        <v>0</v>
      </c>
      <c r="N496" s="1" t="s">
        <v>1014</v>
      </c>
      <c r="O496">
        <v>8.0500000000000007</v>
      </c>
      <c r="P496" t="e">
        <f>IF(Titanic_Dataset[[#This Row],[Survived]]=1,Titanic_Dataset[[#This Row],[Fare]],NA())</f>
        <v>#N/A</v>
      </c>
      <c r="Q496">
        <f>IF(Titanic_Dataset[[#This Row],[Survived]]=0,Titanic_Dataset[[#This Row],[Fare]],NA())</f>
        <v>8.0500000000000007</v>
      </c>
      <c r="R496" t="str">
        <f>VLOOKUP(Titanic_Dataset[[#This Row],[Fare]],Table2[],2,TRUE)</f>
        <v>medium</v>
      </c>
      <c r="S496" s="1" t="s">
        <v>15</v>
      </c>
      <c r="T496" s="1" t="s">
        <v>16</v>
      </c>
      <c r="U496" s="1"/>
      <c r="V496" s="1"/>
      <c r="W496" s="1"/>
    </row>
    <row r="497" spans="1:23" x14ac:dyDescent="0.25">
      <c r="A497">
        <v>496</v>
      </c>
      <c r="B497">
        <v>0</v>
      </c>
      <c r="C497" t="str">
        <f>IF(Titanic_Dataset[[#This Row],[Survived]]=1,"Survived","Died")</f>
        <v>Died</v>
      </c>
      <c r="D497">
        <v>3</v>
      </c>
      <c r="E497" t="str">
        <f>IF(Titanic_Dataset[[#This Row],[Pclass]]=1,"1st",IF(Titanic_Dataset[[#This Row],[Pclass]]=2,"2nd",IF(Titanic_Dataset[[#This Row],[Pclass]]=3,"3rd")))</f>
        <v>3rd</v>
      </c>
      <c r="F497" s="1" t="s">
        <v>1015</v>
      </c>
      <c r="G497" s="1" t="str">
        <f>TRIM(MID(Titanic_Dataset[[#This Row],[Name]],
FIND(",",Titanic_Dataset[[#This Row],[Name]])+2,
FIND(".",Titanic_Dataset[[#This Row],[Name]],FIND(",",Titanic_Dataset[[#This Row],[Name]]))-FIND(",",Titanic_Dataset[[#This Row],[Name]])-1))</f>
        <v>Mr.</v>
      </c>
      <c r="H497" s="1" t="s">
        <v>13</v>
      </c>
      <c r="I497">
        <v>28</v>
      </c>
      <c r="J49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97">
        <v>0</v>
      </c>
      <c r="L497">
        <v>0</v>
      </c>
      <c r="M497">
        <f>Titanic_Dataset[[#This Row],[Parch]]+Titanic_Dataset[[#This Row],[SibSp]]</f>
        <v>0</v>
      </c>
      <c r="N497" s="1" t="s">
        <v>265</v>
      </c>
      <c r="O497">
        <v>14.458299999999999</v>
      </c>
      <c r="P497" t="e">
        <f>IF(Titanic_Dataset[[#This Row],[Survived]]=1,Titanic_Dataset[[#This Row],[Fare]],NA())</f>
        <v>#N/A</v>
      </c>
      <c r="Q497">
        <f>IF(Titanic_Dataset[[#This Row],[Survived]]=0,Titanic_Dataset[[#This Row],[Fare]],NA())</f>
        <v>14.458299999999999</v>
      </c>
      <c r="R497" t="str">
        <f>VLOOKUP(Titanic_Dataset[[#This Row],[Fare]],Table2[],2,TRUE)</f>
        <v>medium</v>
      </c>
      <c r="S497" s="1" t="s">
        <v>15</v>
      </c>
      <c r="T497" s="1" t="s">
        <v>21</v>
      </c>
      <c r="U497" s="1"/>
      <c r="V497" s="1"/>
      <c r="W497" s="1"/>
    </row>
    <row r="498" spans="1:23" x14ac:dyDescent="0.25">
      <c r="A498">
        <v>497</v>
      </c>
      <c r="B498">
        <v>1</v>
      </c>
      <c r="C498" t="str">
        <f>IF(Titanic_Dataset[[#This Row],[Survived]]=1,"Survived","Died")</f>
        <v>Survived</v>
      </c>
      <c r="D498">
        <v>1</v>
      </c>
      <c r="E498" t="str">
        <f>IF(Titanic_Dataset[[#This Row],[Pclass]]=1,"1st",IF(Titanic_Dataset[[#This Row],[Pclass]]=2,"2nd",IF(Titanic_Dataset[[#This Row],[Pclass]]=3,"3rd")))</f>
        <v>1st</v>
      </c>
      <c r="F498" s="1" t="s">
        <v>1016</v>
      </c>
      <c r="G498" s="1" t="str">
        <f>TRIM(MID(Titanic_Dataset[[#This Row],[Name]],
FIND(",",Titanic_Dataset[[#This Row],[Name]])+2,
FIND(".",Titanic_Dataset[[#This Row],[Name]],FIND(",",Titanic_Dataset[[#This Row],[Name]]))-FIND(",",Titanic_Dataset[[#This Row],[Name]])-1))</f>
        <v>Miss.</v>
      </c>
      <c r="H498" s="1" t="s">
        <v>18</v>
      </c>
      <c r="I498">
        <v>54</v>
      </c>
      <c r="J498" t="str">
        <f>IF(Titanic_Dataset[[#This Row],[Age]]&lt;12,"0-11",
IF(Titanic_Dataset[[#This Row],[Age]]&lt;20,"12-19",
IF(Titanic_Dataset[[#This Row],[Age]]&lt;30,"20-29",
IF(Titanic_Dataset[[#This Row],[Age]]&lt;40,"30-39",
IF(Titanic_Dataset[[#This Row],[Age]]&lt;50,"40-49",
IF(Titanic_Dataset[[#This Row],[Age]]&lt;60,"50-59",
IF(Titanic_Dataset[[#This Row],[Age]]&lt;70,"60-69",)))))))</f>
        <v>50-59</v>
      </c>
      <c r="K498">
        <v>1</v>
      </c>
      <c r="L498">
        <v>0</v>
      </c>
      <c r="M498">
        <f>Titanic_Dataset[[#This Row],[Parch]]+Titanic_Dataset[[#This Row],[SibSp]]</f>
        <v>1</v>
      </c>
      <c r="N498" s="1" t="s">
        <v>1017</v>
      </c>
      <c r="O498">
        <v>78.2667</v>
      </c>
      <c r="P498">
        <f>IF(Titanic_Dataset[[#This Row],[Survived]]=1,Titanic_Dataset[[#This Row],[Fare]],NA())</f>
        <v>78.2667</v>
      </c>
      <c r="Q498" t="e">
        <f>IF(Titanic_Dataset[[#This Row],[Survived]]=0,Titanic_Dataset[[#This Row],[Fare]],NA())</f>
        <v>#N/A</v>
      </c>
      <c r="R498" t="str">
        <f>VLOOKUP(Titanic_Dataset[[#This Row],[Fare]],Table2[],2,TRUE)</f>
        <v>very hiegh</v>
      </c>
      <c r="S498" s="1" t="s">
        <v>1018</v>
      </c>
      <c r="T498" s="1" t="s">
        <v>21</v>
      </c>
      <c r="U498" s="1"/>
      <c r="V498" s="1"/>
      <c r="W498" s="1"/>
    </row>
    <row r="499" spans="1:23" x14ac:dyDescent="0.25">
      <c r="A499">
        <v>498</v>
      </c>
      <c r="B499">
        <v>0</v>
      </c>
      <c r="C499" t="str">
        <f>IF(Titanic_Dataset[[#This Row],[Survived]]=1,"Survived","Died")</f>
        <v>Died</v>
      </c>
      <c r="D499">
        <v>3</v>
      </c>
      <c r="E499" t="str">
        <f>IF(Titanic_Dataset[[#This Row],[Pclass]]=1,"1st",IF(Titanic_Dataset[[#This Row],[Pclass]]=2,"2nd",IF(Titanic_Dataset[[#This Row],[Pclass]]=3,"3rd")))</f>
        <v>3rd</v>
      </c>
      <c r="F499" s="1" t="s">
        <v>1019</v>
      </c>
      <c r="G499" s="1" t="str">
        <f>TRIM(MID(Titanic_Dataset[[#This Row],[Name]],
FIND(",",Titanic_Dataset[[#This Row],[Name]])+2,
FIND(".",Titanic_Dataset[[#This Row],[Name]],FIND(",",Titanic_Dataset[[#This Row],[Name]]))-FIND(",",Titanic_Dataset[[#This Row],[Name]])-1))</f>
        <v>Mr.</v>
      </c>
      <c r="H499" s="1" t="s">
        <v>13</v>
      </c>
      <c r="I499">
        <v>28</v>
      </c>
      <c r="J49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499">
        <v>0</v>
      </c>
      <c r="L499">
        <v>0</v>
      </c>
      <c r="M499">
        <f>Titanic_Dataset[[#This Row],[Parch]]+Titanic_Dataset[[#This Row],[SibSp]]</f>
        <v>0</v>
      </c>
      <c r="N499" s="1" t="s">
        <v>1020</v>
      </c>
      <c r="O499">
        <v>15.1</v>
      </c>
      <c r="P499" t="e">
        <f>IF(Titanic_Dataset[[#This Row],[Survived]]=1,Titanic_Dataset[[#This Row],[Fare]],NA())</f>
        <v>#N/A</v>
      </c>
      <c r="Q499">
        <f>IF(Titanic_Dataset[[#This Row],[Survived]]=0,Titanic_Dataset[[#This Row],[Fare]],NA())</f>
        <v>15.1</v>
      </c>
      <c r="R499" t="str">
        <f>VLOOKUP(Titanic_Dataset[[#This Row],[Fare]],Table2[],2,TRUE)</f>
        <v>high</v>
      </c>
      <c r="S499" s="1" t="s">
        <v>15</v>
      </c>
      <c r="T499" s="1" t="s">
        <v>16</v>
      </c>
      <c r="U499" s="1"/>
      <c r="V499" s="1"/>
      <c r="W499" s="1"/>
    </row>
    <row r="500" spans="1:23" x14ac:dyDescent="0.25">
      <c r="A500">
        <v>499</v>
      </c>
      <c r="B500">
        <v>0</v>
      </c>
      <c r="C500" t="str">
        <f>IF(Titanic_Dataset[[#This Row],[Survived]]=1,"Survived","Died")</f>
        <v>Died</v>
      </c>
      <c r="D500">
        <v>1</v>
      </c>
      <c r="E500" t="str">
        <f>IF(Titanic_Dataset[[#This Row],[Pclass]]=1,"1st",IF(Titanic_Dataset[[#This Row],[Pclass]]=2,"2nd",IF(Titanic_Dataset[[#This Row],[Pclass]]=3,"3rd")))</f>
        <v>1st</v>
      </c>
      <c r="F500" s="1" t="s">
        <v>1021</v>
      </c>
      <c r="G500" s="1" t="str">
        <f>TRIM(MID(Titanic_Dataset[[#This Row],[Name]],
FIND(",",Titanic_Dataset[[#This Row],[Name]])+2,
FIND(".",Titanic_Dataset[[#This Row],[Name]],FIND(",",Titanic_Dataset[[#This Row],[Name]]))-FIND(",",Titanic_Dataset[[#This Row],[Name]])-1))</f>
        <v>Mrs.</v>
      </c>
      <c r="H500" s="1" t="s">
        <v>18</v>
      </c>
      <c r="I500">
        <v>25</v>
      </c>
      <c r="J50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00">
        <v>1</v>
      </c>
      <c r="L500">
        <v>2</v>
      </c>
      <c r="M500">
        <f>Titanic_Dataset[[#This Row],[Parch]]+Titanic_Dataset[[#This Row],[SibSp]]</f>
        <v>3</v>
      </c>
      <c r="N500" s="1" t="s">
        <v>635</v>
      </c>
      <c r="O500">
        <v>151.55000000000001</v>
      </c>
      <c r="P500" t="e">
        <f>IF(Titanic_Dataset[[#This Row],[Survived]]=1,Titanic_Dataset[[#This Row],[Fare]],NA())</f>
        <v>#N/A</v>
      </c>
      <c r="Q500">
        <f>IF(Titanic_Dataset[[#This Row],[Survived]]=0,Titanic_Dataset[[#This Row],[Fare]],NA())</f>
        <v>151.55000000000001</v>
      </c>
      <c r="R500" t="str">
        <f>VLOOKUP(Titanic_Dataset[[#This Row],[Fare]],Table2[],2,TRUE)</f>
        <v>very hiegh</v>
      </c>
      <c r="S500" s="1" t="s">
        <v>636</v>
      </c>
      <c r="T500" s="1" t="s">
        <v>16</v>
      </c>
      <c r="U500" s="1"/>
      <c r="V500" s="1"/>
      <c r="W500" s="1"/>
    </row>
    <row r="501" spans="1:23" x14ac:dyDescent="0.25">
      <c r="A501">
        <v>500</v>
      </c>
      <c r="B501">
        <v>0</v>
      </c>
      <c r="C501" t="str">
        <f>IF(Titanic_Dataset[[#This Row],[Survived]]=1,"Survived","Died")</f>
        <v>Died</v>
      </c>
      <c r="D501">
        <v>3</v>
      </c>
      <c r="E501" t="str">
        <f>IF(Titanic_Dataset[[#This Row],[Pclass]]=1,"1st",IF(Titanic_Dataset[[#This Row],[Pclass]]=2,"2nd",IF(Titanic_Dataset[[#This Row],[Pclass]]=3,"3rd")))</f>
        <v>3rd</v>
      </c>
      <c r="F501" s="1" t="s">
        <v>1022</v>
      </c>
      <c r="G501" s="1" t="str">
        <f>TRIM(MID(Titanic_Dataset[[#This Row],[Name]],
FIND(",",Titanic_Dataset[[#This Row],[Name]])+2,
FIND(".",Titanic_Dataset[[#This Row],[Name]],FIND(",",Titanic_Dataset[[#This Row],[Name]]))-FIND(",",Titanic_Dataset[[#This Row],[Name]])-1))</f>
        <v>Mr.</v>
      </c>
      <c r="H501" s="1" t="s">
        <v>13</v>
      </c>
      <c r="I501">
        <v>24</v>
      </c>
      <c r="J50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01">
        <v>0</v>
      </c>
      <c r="L501">
        <v>0</v>
      </c>
      <c r="M501">
        <f>Titanic_Dataset[[#This Row],[Parch]]+Titanic_Dataset[[#This Row],[SibSp]]</f>
        <v>0</v>
      </c>
      <c r="N501" s="1" t="s">
        <v>1023</v>
      </c>
      <c r="O501">
        <v>7.7957999999999998</v>
      </c>
      <c r="P501" t="e">
        <f>IF(Titanic_Dataset[[#This Row],[Survived]]=1,Titanic_Dataset[[#This Row],[Fare]],NA())</f>
        <v>#N/A</v>
      </c>
      <c r="Q501">
        <f>IF(Titanic_Dataset[[#This Row],[Survived]]=0,Titanic_Dataset[[#This Row],[Fare]],NA())</f>
        <v>7.7957999999999998</v>
      </c>
      <c r="R501" t="str">
        <f>VLOOKUP(Titanic_Dataset[[#This Row],[Fare]],Table2[],2,TRUE)</f>
        <v>low</v>
      </c>
      <c r="S501" s="1" t="s">
        <v>15</v>
      </c>
      <c r="T501" s="1" t="s">
        <v>16</v>
      </c>
      <c r="U501" s="1"/>
      <c r="V501" s="1"/>
      <c r="W501" s="1"/>
    </row>
    <row r="502" spans="1:23" x14ac:dyDescent="0.25">
      <c r="A502">
        <v>501</v>
      </c>
      <c r="B502">
        <v>0</v>
      </c>
      <c r="C502" t="str">
        <f>IF(Titanic_Dataset[[#This Row],[Survived]]=1,"Survived","Died")</f>
        <v>Died</v>
      </c>
      <c r="D502">
        <v>3</v>
      </c>
      <c r="E502" t="str">
        <f>IF(Titanic_Dataset[[#This Row],[Pclass]]=1,"1st",IF(Titanic_Dataset[[#This Row],[Pclass]]=2,"2nd",IF(Titanic_Dataset[[#This Row],[Pclass]]=3,"3rd")))</f>
        <v>3rd</v>
      </c>
      <c r="F502" s="1" t="s">
        <v>1024</v>
      </c>
      <c r="G502" s="1" t="str">
        <f>TRIM(MID(Titanic_Dataset[[#This Row],[Name]],
FIND(",",Titanic_Dataset[[#This Row],[Name]])+2,
FIND(".",Titanic_Dataset[[#This Row],[Name]],FIND(",",Titanic_Dataset[[#This Row],[Name]]))-FIND(",",Titanic_Dataset[[#This Row],[Name]])-1))</f>
        <v>Mr.</v>
      </c>
      <c r="H502" s="1" t="s">
        <v>13</v>
      </c>
      <c r="I502">
        <v>17</v>
      </c>
      <c r="J502" t="str">
        <f>IF(Titanic_Dataset[[#This Row],[Age]]&lt;12,"0-11",
IF(Titanic_Dataset[[#This Row],[Age]]&lt;20,"12-19",
IF(Titanic_Dataset[[#This Row],[Age]]&lt;30,"20-29",
IF(Titanic_Dataset[[#This Row],[Age]]&lt;40,"30-39",
IF(Titanic_Dataset[[#This Row],[Age]]&lt;50,"40-49",
IF(Titanic_Dataset[[#This Row],[Age]]&lt;60,"50-59",
IF(Titanic_Dataset[[#This Row],[Age]]&lt;70,"60-69",)))))))</f>
        <v>12-19</v>
      </c>
      <c r="K502">
        <v>0</v>
      </c>
      <c r="L502">
        <v>0</v>
      </c>
      <c r="M502">
        <f>Titanic_Dataset[[#This Row],[Parch]]+Titanic_Dataset[[#This Row],[SibSp]]</f>
        <v>0</v>
      </c>
      <c r="N502" s="1" t="s">
        <v>1025</v>
      </c>
      <c r="O502">
        <v>8.6624999999999996</v>
      </c>
      <c r="P502" t="e">
        <f>IF(Titanic_Dataset[[#This Row],[Survived]]=1,Titanic_Dataset[[#This Row],[Fare]],NA())</f>
        <v>#N/A</v>
      </c>
      <c r="Q502">
        <f>IF(Titanic_Dataset[[#This Row],[Survived]]=0,Titanic_Dataset[[#This Row],[Fare]],NA())</f>
        <v>8.6624999999999996</v>
      </c>
      <c r="R502" t="str">
        <f>VLOOKUP(Titanic_Dataset[[#This Row],[Fare]],Table2[],2,TRUE)</f>
        <v>medium</v>
      </c>
      <c r="S502" s="1" t="s">
        <v>15</v>
      </c>
      <c r="T502" s="1" t="s">
        <v>16</v>
      </c>
      <c r="U502" s="1"/>
      <c r="V502" s="1"/>
      <c r="W502" s="1"/>
    </row>
    <row r="503" spans="1:23" x14ac:dyDescent="0.25">
      <c r="A503">
        <v>502</v>
      </c>
      <c r="B503">
        <v>0</v>
      </c>
      <c r="C503" t="str">
        <f>IF(Titanic_Dataset[[#This Row],[Survived]]=1,"Survived","Died")</f>
        <v>Died</v>
      </c>
      <c r="D503">
        <v>3</v>
      </c>
      <c r="E503" t="str">
        <f>IF(Titanic_Dataset[[#This Row],[Pclass]]=1,"1st",IF(Titanic_Dataset[[#This Row],[Pclass]]=2,"2nd",IF(Titanic_Dataset[[#This Row],[Pclass]]=3,"3rd")))</f>
        <v>3rd</v>
      </c>
      <c r="F503" s="1" t="s">
        <v>1026</v>
      </c>
      <c r="G503" s="1" t="str">
        <f>TRIM(MID(Titanic_Dataset[[#This Row],[Name]],
FIND(",",Titanic_Dataset[[#This Row],[Name]])+2,
FIND(".",Titanic_Dataset[[#This Row],[Name]],FIND(",",Titanic_Dataset[[#This Row],[Name]]))-FIND(",",Titanic_Dataset[[#This Row],[Name]])-1))</f>
        <v>Miss.</v>
      </c>
      <c r="H503" s="1" t="s">
        <v>18</v>
      </c>
      <c r="I503">
        <v>21</v>
      </c>
      <c r="J50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03">
        <v>0</v>
      </c>
      <c r="L503">
        <v>0</v>
      </c>
      <c r="M503">
        <f>Titanic_Dataset[[#This Row],[Parch]]+Titanic_Dataset[[#This Row],[SibSp]]</f>
        <v>0</v>
      </c>
      <c r="N503" s="1" t="s">
        <v>1027</v>
      </c>
      <c r="O503">
        <v>7.75</v>
      </c>
      <c r="P503" t="e">
        <f>IF(Titanic_Dataset[[#This Row],[Survived]]=1,Titanic_Dataset[[#This Row],[Fare]],NA())</f>
        <v>#N/A</v>
      </c>
      <c r="Q503">
        <f>IF(Titanic_Dataset[[#This Row],[Survived]]=0,Titanic_Dataset[[#This Row],[Fare]],NA())</f>
        <v>7.75</v>
      </c>
      <c r="R503" t="str">
        <f>VLOOKUP(Titanic_Dataset[[#This Row],[Fare]],Table2[],2,TRUE)</f>
        <v>low</v>
      </c>
      <c r="S503" s="1" t="s">
        <v>15</v>
      </c>
      <c r="T503" s="1" t="s">
        <v>31</v>
      </c>
      <c r="U503" s="1"/>
      <c r="V503" s="1"/>
      <c r="W503" s="1"/>
    </row>
    <row r="504" spans="1:23" x14ac:dyDescent="0.25">
      <c r="A504">
        <v>503</v>
      </c>
      <c r="B504">
        <v>0</v>
      </c>
      <c r="C504" t="str">
        <f>IF(Titanic_Dataset[[#This Row],[Survived]]=1,"Survived","Died")</f>
        <v>Died</v>
      </c>
      <c r="D504">
        <v>3</v>
      </c>
      <c r="E504" t="str">
        <f>IF(Titanic_Dataset[[#This Row],[Pclass]]=1,"1st",IF(Titanic_Dataset[[#This Row],[Pclass]]=2,"2nd",IF(Titanic_Dataset[[#This Row],[Pclass]]=3,"3rd")))</f>
        <v>3rd</v>
      </c>
      <c r="F504" s="1" t="s">
        <v>1028</v>
      </c>
      <c r="G504" s="1" t="str">
        <f>TRIM(MID(Titanic_Dataset[[#This Row],[Name]],
FIND(",",Titanic_Dataset[[#This Row],[Name]])+2,
FIND(".",Titanic_Dataset[[#This Row],[Name]],FIND(",",Titanic_Dataset[[#This Row],[Name]]))-FIND(",",Titanic_Dataset[[#This Row],[Name]])-1))</f>
        <v>Miss.</v>
      </c>
      <c r="H504" s="1" t="s">
        <v>18</v>
      </c>
      <c r="I504">
        <v>28</v>
      </c>
      <c r="J50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04">
        <v>0</v>
      </c>
      <c r="L504">
        <v>0</v>
      </c>
      <c r="M504">
        <f>Titanic_Dataset[[#This Row],[Parch]]+Titanic_Dataset[[#This Row],[SibSp]]</f>
        <v>0</v>
      </c>
      <c r="N504" s="1" t="s">
        <v>1029</v>
      </c>
      <c r="O504">
        <v>7.6292</v>
      </c>
      <c r="P504" t="e">
        <f>IF(Titanic_Dataset[[#This Row],[Survived]]=1,Titanic_Dataset[[#This Row],[Fare]],NA())</f>
        <v>#N/A</v>
      </c>
      <c r="Q504">
        <f>IF(Titanic_Dataset[[#This Row],[Survived]]=0,Titanic_Dataset[[#This Row],[Fare]],NA())</f>
        <v>7.6292</v>
      </c>
      <c r="R504" t="str">
        <f>VLOOKUP(Titanic_Dataset[[#This Row],[Fare]],Table2[],2,TRUE)</f>
        <v>low</v>
      </c>
      <c r="S504" s="1" t="s">
        <v>15</v>
      </c>
      <c r="T504" s="1" t="s">
        <v>31</v>
      </c>
      <c r="U504" s="1"/>
      <c r="V504" s="1"/>
      <c r="W504" s="1"/>
    </row>
    <row r="505" spans="1:23" x14ac:dyDescent="0.25">
      <c r="A505">
        <v>504</v>
      </c>
      <c r="B505">
        <v>0</v>
      </c>
      <c r="C505" t="str">
        <f>IF(Titanic_Dataset[[#This Row],[Survived]]=1,"Survived","Died")</f>
        <v>Died</v>
      </c>
      <c r="D505">
        <v>3</v>
      </c>
      <c r="E505" t="str">
        <f>IF(Titanic_Dataset[[#This Row],[Pclass]]=1,"1st",IF(Titanic_Dataset[[#This Row],[Pclass]]=2,"2nd",IF(Titanic_Dataset[[#This Row],[Pclass]]=3,"3rd")))</f>
        <v>3rd</v>
      </c>
      <c r="F505" s="1" t="s">
        <v>1030</v>
      </c>
      <c r="G505" s="1" t="str">
        <f>TRIM(MID(Titanic_Dataset[[#This Row],[Name]],
FIND(",",Titanic_Dataset[[#This Row],[Name]])+2,
FIND(".",Titanic_Dataset[[#This Row],[Name]],FIND(",",Titanic_Dataset[[#This Row],[Name]]))-FIND(",",Titanic_Dataset[[#This Row],[Name]])-1))</f>
        <v>Miss.</v>
      </c>
      <c r="H505" s="1" t="s">
        <v>18</v>
      </c>
      <c r="I505">
        <v>37</v>
      </c>
      <c r="J505" t="str">
        <f>IF(Titanic_Dataset[[#This Row],[Age]]&lt;12,"0-11",
IF(Titanic_Dataset[[#This Row],[Age]]&lt;20,"12-19",
IF(Titanic_Dataset[[#This Row],[Age]]&lt;30,"20-29",
IF(Titanic_Dataset[[#This Row],[Age]]&lt;40,"30-39",
IF(Titanic_Dataset[[#This Row],[Age]]&lt;50,"40-49",
IF(Titanic_Dataset[[#This Row],[Age]]&lt;60,"50-59",
IF(Titanic_Dataset[[#This Row],[Age]]&lt;70,"60-69",)))))))</f>
        <v>30-39</v>
      </c>
      <c r="K505">
        <v>0</v>
      </c>
      <c r="L505">
        <v>0</v>
      </c>
      <c r="M505">
        <f>Titanic_Dataset[[#This Row],[Parch]]+Titanic_Dataset[[#This Row],[SibSp]]</f>
        <v>0</v>
      </c>
      <c r="N505" s="1" t="s">
        <v>1031</v>
      </c>
      <c r="O505">
        <v>9.5875000000000004</v>
      </c>
      <c r="P505" t="e">
        <f>IF(Titanic_Dataset[[#This Row],[Survived]]=1,Titanic_Dataset[[#This Row],[Fare]],NA())</f>
        <v>#N/A</v>
      </c>
      <c r="Q505">
        <f>IF(Titanic_Dataset[[#This Row],[Survived]]=0,Titanic_Dataset[[#This Row],[Fare]],NA())</f>
        <v>9.5875000000000004</v>
      </c>
      <c r="R505" t="str">
        <f>VLOOKUP(Titanic_Dataset[[#This Row],[Fare]],Table2[],2,TRUE)</f>
        <v>medium</v>
      </c>
      <c r="S505" s="1" t="s">
        <v>15</v>
      </c>
      <c r="T505" s="1" t="s">
        <v>16</v>
      </c>
      <c r="U505" s="1"/>
      <c r="V505" s="1"/>
      <c r="W505" s="1"/>
    </row>
    <row r="506" spans="1:23" x14ac:dyDescent="0.25">
      <c r="A506">
        <v>505</v>
      </c>
      <c r="B506">
        <v>1</v>
      </c>
      <c r="C506" t="str">
        <f>IF(Titanic_Dataset[[#This Row],[Survived]]=1,"Survived","Died")</f>
        <v>Survived</v>
      </c>
      <c r="D506">
        <v>1</v>
      </c>
      <c r="E506" t="str">
        <f>IF(Titanic_Dataset[[#This Row],[Pclass]]=1,"1st",IF(Titanic_Dataset[[#This Row],[Pclass]]=2,"2nd",IF(Titanic_Dataset[[#This Row],[Pclass]]=3,"3rd")))</f>
        <v>1st</v>
      </c>
      <c r="F506" s="1" t="s">
        <v>1032</v>
      </c>
      <c r="G506" s="1" t="str">
        <f>TRIM(MID(Titanic_Dataset[[#This Row],[Name]],
FIND(",",Titanic_Dataset[[#This Row],[Name]])+2,
FIND(".",Titanic_Dataset[[#This Row],[Name]],FIND(",",Titanic_Dataset[[#This Row],[Name]]))-FIND(",",Titanic_Dataset[[#This Row],[Name]])-1))</f>
        <v>Miss.</v>
      </c>
      <c r="H506" s="1" t="s">
        <v>18</v>
      </c>
      <c r="I506">
        <v>16</v>
      </c>
      <c r="J506" t="str">
        <f>IF(Titanic_Dataset[[#This Row],[Age]]&lt;12,"0-11",
IF(Titanic_Dataset[[#This Row],[Age]]&lt;20,"12-19",
IF(Titanic_Dataset[[#This Row],[Age]]&lt;30,"20-29",
IF(Titanic_Dataset[[#This Row],[Age]]&lt;40,"30-39",
IF(Titanic_Dataset[[#This Row],[Age]]&lt;50,"40-49",
IF(Titanic_Dataset[[#This Row],[Age]]&lt;60,"50-59",
IF(Titanic_Dataset[[#This Row],[Age]]&lt;70,"60-69",)))))))</f>
        <v>12-19</v>
      </c>
      <c r="K506">
        <v>0</v>
      </c>
      <c r="L506">
        <v>0</v>
      </c>
      <c r="M506">
        <f>Titanic_Dataset[[#This Row],[Parch]]+Titanic_Dataset[[#This Row],[SibSp]]</f>
        <v>0</v>
      </c>
      <c r="N506" s="1" t="s">
        <v>549</v>
      </c>
      <c r="O506">
        <v>86.5</v>
      </c>
      <c r="P506">
        <f>IF(Titanic_Dataset[[#This Row],[Survived]]=1,Titanic_Dataset[[#This Row],[Fare]],NA())</f>
        <v>86.5</v>
      </c>
      <c r="Q506" t="e">
        <f>IF(Titanic_Dataset[[#This Row],[Survived]]=0,Titanic_Dataset[[#This Row],[Fare]],NA())</f>
        <v>#N/A</v>
      </c>
      <c r="R506" t="str">
        <f>VLOOKUP(Titanic_Dataset[[#This Row],[Fare]],Table2[],2,TRUE)</f>
        <v>very hiegh</v>
      </c>
      <c r="S506" s="1" t="s">
        <v>1033</v>
      </c>
      <c r="T506" s="1" t="s">
        <v>16</v>
      </c>
      <c r="U506" s="1"/>
      <c r="V506" s="1"/>
      <c r="W506" s="1"/>
    </row>
    <row r="507" spans="1:23" x14ac:dyDescent="0.25">
      <c r="A507">
        <v>506</v>
      </c>
      <c r="B507">
        <v>0</v>
      </c>
      <c r="C507" t="str">
        <f>IF(Titanic_Dataset[[#This Row],[Survived]]=1,"Survived","Died")</f>
        <v>Died</v>
      </c>
      <c r="D507">
        <v>1</v>
      </c>
      <c r="E507" t="str">
        <f>IF(Titanic_Dataset[[#This Row],[Pclass]]=1,"1st",IF(Titanic_Dataset[[#This Row],[Pclass]]=2,"2nd",IF(Titanic_Dataset[[#This Row],[Pclass]]=3,"3rd")))</f>
        <v>1st</v>
      </c>
      <c r="F507" s="1" t="s">
        <v>1034</v>
      </c>
      <c r="G507" s="1" t="str">
        <f>TRIM(MID(Titanic_Dataset[[#This Row],[Name]],
FIND(",",Titanic_Dataset[[#This Row],[Name]])+2,
FIND(".",Titanic_Dataset[[#This Row],[Name]],FIND(",",Titanic_Dataset[[#This Row],[Name]]))-FIND(",",Titanic_Dataset[[#This Row],[Name]])-1))</f>
        <v>Mr.</v>
      </c>
      <c r="H507" s="1" t="s">
        <v>13</v>
      </c>
      <c r="I507">
        <v>18</v>
      </c>
      <c r="J507" t="str">
        <f>IF(Titanic_Dataset[[#This Row],[Age]]&lt;12,"0-11",
IF(Titanic_Dataset[[#This Row],[Age]]&lt;20,"12-19",
IF(Titanic_Dataset[[#This Row],[Age]]&lt;30,"20-29",
IF(Titanic_Dataset[[#This Row],[Age]]&lt;40,"30-39",
IF(Titanic_Dataset[[#This Row],[Age]]&lt;50,"40-49",
IF(Titanic_Dataset[[#This Row],[Age]]&lt;60,"50-59",
IF(Titanic_Dataset[[#This Row],[Age]]&lt;70,"60-69",)))))))</f>
        <v>12-19</v>
      </c>
      <c r="K507">
        <v>1</v>
      </c>
      <c r="L507">
        <v>0</v>
      </c>
      <c r="M507">
        <f>Titanic_Dataset[[#This Row],[Parch]]+Titanic_Dataset[[#This Row],[SibSp]]</f>
        <v>1</v>
      </c>
      <c r="N507" s="1" t="s">
        <v>654</v>
      </c>
      <c r="O507">
        <v>108.9</v>
      </c>
      <c r="P507" t="e">
        <f>IF(Titanic_Dataset[[#This Row],[Survived]]=1,Titanic_Dataset[[#This Row],[Fare]],NA())</f>
        <v>#N/A</v>
      </c>
      <c r="Q507">
        <f>IF(Titanic_Dataset[[#This Row],[Survived]]=0,Titanic_Dataset[[#This Row],[Fare]],NA())</f>
        <v>108.9</v>
      </c>
      <c r="R507" t="str">
        <f>VLOOKUP(Titanic_Dataset[[#This Row],[Fare]],Table2[],2,TRUE)</f>
        <v>very hiegh</v>
      </c>
      <c r="S507" s="1" t="s">
        <v>655</v>
      </c>
      <c r="T507" s="1" t="s">
        <v>21</v>
      </c>
      <c r="U507" s="1"/>
      <c r="V507" s="1"/>
      <c r="W507" s="1"/>
    </row>
    <row r="508" spans="1:23" x14ac:dyDescent="0.25">
      <c r="A508">
        <v>507</v>
      </c>
      <c r="B508">
        <v>1</v>
      </c>
      <c r="C508" t="str">
        <f>IF(Titanic_Dataset[[#This Row],[Survived]]=1,"Survived","Died")</f>
        <v>Survived</v>
      </c>
      <c r="D508">
        <v>2</v>
      </c>
      <c r="E508" t="str">
        <f>IF(Titanic_Dataset[[#This Row],[Pclass]]=1,"1st",IF(Titanic_Dataset[[#This Row],[Pclass]]=2,"2nd",IF(Titanic_Dataset[[#This Row],[Pclass]]=3,"3rd")))</f>
        <v>2nd</v>
      </c>
      <c r="F508" s="1" t="s">
        <v>1035</v>
      </c>
      <c r="G508" s="1" t="str">
        <f>TRIM(MID(Titanic_Dataset[[#This Row],[Name]],
FIND(",",Titanic_Dataset[[#This Row],[Name]])+2,
FIND(".",Titanic_Dataset[[#This Row],[Name]],FIND(",",Titanic_Dataset[[#This Row],[Name]]))-FIND(",",Titanic_Dataset[[#This Row],[Name]])-1))</f>
        <v>Mrs.</v>
      </c>
      <c r="H508" s="1" t="s">
        <v>18</v>
      </c>
      <c r="I508">
        <v>33</v>
      </c>
      <c r="J508" t="str">
        <f>IF(Titanic_Dataset[[#This Row],[Age]]&lt;12,"0-11",
IF(Titanic_Dataset[[#This Row],[Age]]&lt;20,"12-19",
IF(Titanic_Dataset[[#This Row],[Age]]&lt;30,"20-29",
IF(Titanic_Dataset[[#This Row],[Age]]&lt;40,"30-39",
IF(Titanic_Dataset[[#This Row],[Age]]&lt;50,"40-49",
IF(Titanic_Dataset[[#This Row],[Age]]&lt;60,"50-59",
IF(Titanic_Dataset[[#This Row],[Age]]&lt;70,"60-69",)))))))</f>
        <v>30-39</v>
      </c>
      <c r="K508">
        <v>0</v>
      </c>
      <c r="L508">
        <v>2</v>
      </c>
      <c r="M508">
        <f>Titanic_Dataset[[#This Row],[Parch]]+Titanic_Dataset[[#This Row],[SibSp]]</f>
        <v>2</v>
      </c>
      <c r="N508" s="1" t="s">
        <v>1036</v>
      </c>
      <c r="O508">
        <v>26</v>
      </c>
      <c r="P508">
        <f>IF(Titanic_Dataset[[#This Row],[Survived]]=1,Titanic_Dataset[[#This Row],[Fare]],NA())</f>
        <v>26</v>
      </c>
      <c r="Q508" t="e">
        <f>IF(Titanic_Dataset[[#This Row],[Survived]]=0,Titanic_Dataset[[#This Row],[Fare]],NA())</f>
        <v>#N/A</v>
      </c>
      <c r="R508" t="str">
        <f>VLOOKUP(Titanic_Dataset[[#This Row],[Fare]],Table2[],2,TRUE)</f>
        <v>high</v>
      </c>
      <c r="S508" s="1" t="s">
        <v>15</v>
      </c>
      <c r="T508" s="1" t="s">
        <v>16</v>
      </c>
      <c r="U508" s="1"/>
      <c r="V508" s="1"/>
      <c r="W508" s="1"/>
    </row>
    <row r="509" spans="1:23" x14ac:dyDescent="0.25">
      <c r="A509">
        <v>508</v>
      </c>
      <c r="B509">
        <v>1</v>
      </c>
      <c r="C509" t="str">
        <f>IF(Titanic_Dataset[[#This Row],[Survived]]=1,"Survived","Died")</f>
        <v>Survived</v>
      </c>
      <c r="D509">
        <v>1</v>
      </c>
      <c r="E509" t="str">
        <f>IF(Titanic_Dataset[[#This Row],[Pclass]]=1,"1st",IF(Titanic_Dataset[[#This Row],[Pclass]]=2,"2nd",IF(Titanic_Dataset[[#This Row],[Pclass]]=3,"3rd")))</f>
        <v>1st</v>
      </c>
      <c r="F509" s="1" t="s">
        <v>1037</v>
      </c>
      <c r="G509" s="1" t="str">
        <f>TRIM(MID(Titanic_Dataset[[#This Row],[Name]],
FIND(",",Titanic_Dataset[[#This Row],[Name]])+2,
FIND(".",Titanic_Dataset[[#This Row],[Name]],FIND(",",Titanic_Dataset[[#This Row],[Name]]))-FIND(",",Titanic_Dataset[[#This Row],[Name]])-1))</f>
        <v>Mr.</v>
      </c>
      <c r="H509" s="1" t="s">
        <v>13</v>
      </c>
      <c r="I509">
        <v>28</v>
      </c>
      <c r="J50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09">
        <v>0</v>
      </c>
      <c r="L509">
        <v>0</v>
      </c>
      <c r="M509">
        <f>Titanic_Dataset[[#This Row],[Parch]]+Titanic_Dataset[[#This Row],[SibSp]]</f>
        <v>0</v>
      </c>
      <c r="N509" s="1" t="s">
        <v>1038</v>
      </c>
      <c r="O509">
        <v>26.55</v>
      </c>
      <c r="P509">
        <f>IF(Titanic_Dataset[[#This Row],[Survived]]=1,Titanic_Dataset[[#This Row],[Fare]],NA())</f>
        <v>26.55</v>
      </c>
      <c r="Q509" t="e">
        <f>IF(Titanic_Dataset[[#This Row],[Survived]]=0,Titanic_Dataset[[#This Row],[Fare]],NA())</f>
        <v>#N/A</v>
      </c>
      <c r="R509" t="str">
        <f>VLOOKUP(Titanic_Dataset[[#This Row],[Fare]],Table2[],2,TRUE)</f>
        <v>high</v>
      </c>
      <c r="S509" s="1" t="s">
        <v>15</v>
      </c>
      <c r="T509" s="1" t="s">
        <v>16</v>
      </c>
      <c r="U509" s="1"/>
      <c r="V509" s="1"/>
      <c r="W509" s="1"/>
    </row>
    <row r="510" spans="1:23" x14ac:dyDescent="0.25">
      <c r="A510">
        <v>509</v>
      </c>
      <c r="B510">
        <v>0</v>
      </c>
      <c r="C510" t="str">
        <f>IF(Titanic_Dataset[[#This Row],[Survived]]=1,"Survived","Died")</f>
        <v>Died</v>
      </c>
      <c r="D510">
        <v>3</v>
      </c>
      <c r="E510" t="str">
        <f>IF(Titanic_Dataset[[#This Row],[Pclass]]=1,"1st",IF(Titanic_Dataset[[#This Row],[Pclass]]=2,"2nd",IF(Titanic_Dataset[[#This Row],[Pclass]]=3,"3rd")))</f>
        <v>3rd</v>
      </c>
      <c r="F510" s="1" t="s">
        <v>1039</v>
      </c>
      <c r="G510" s="1" t="str">
        <f>TRIM(MID(Titanic_Dataset[[#This Row],[Name]],
FIND(",",Titanic_Dataset[[#This Row],[Name]])+2,
FIND(".",Titanic_Dataset[[#This Row],[Name]],FIND(",",Titanic_Dataset[[#This Row],[Name]]))-FIND(",",Titanic_Dataset[[#This Row],[Name]])-1))</f>
        <v>Mr.</v>
      </c>
      <c r="H510" s="1" t="s">
        <v>13</v>
      </c>
      <c r="I510">
        <v>28</v>
      </c>
      <c r="J51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10">
        <v>0</v>
      </c>
      <c r="L510">
        <v>0</v>
      </c>
      <c r="M510">
        <f>Titanic_Dataset[[#This Row],[Parch]]+Titanic_Dataset[[#This Row],[SibSp]]</f>
        <v>0</v>
      </c>
      <c r="N510" s="1" t="s">
        <v>1040</v>
      </c>
      <c r="O510">
        <v>22.524999999999999</v>
      </c>
      <c r="P510" t="e">
        <f>IF(Titanic_Dataset[[#This Row],[Survived]]=1,Titanic_Dataset[[#This Row],[Fare]],NA())</f>
        <v>#N/A</v>
      </c>
      <c r="Q510">
        <f>IF(Titanic_Dataset[[#This Row],[Survived]]=0,Titanic_Dataset[[#This Row],[Fare]],NA())</f>
        <v>22.524999999999999</v>
      </c>
      <c r="R510" t="str">
        <f>VLOOKUP(Titanic_Dataset[[#This Row],[Fare]],Table2[],2,TRUE)</f>
        <v>high</v>
      </c>
      <c r="S510" s="1" t="s">
        <v>15</v>
      </c>
      <c r="T510" s="1" t="s">
        <v>16</v>
      </c>
      <c r="U510" s="1"/>
      <c r="V510" s="1"/>
      <c r="W510" s="1"/>
    </row>
    <row r="511" spans="1:23" x14ac:dyDescent="0.25">
      <c r="A511">
        <v>510</v>
      </c>
      <c r="B511">
        <v>1</v>
      </c>
      <c r="C511" t="str">
        <f>IF(Titanic_Dataset[[#This Row],[Survived]]=1,"Survived","Died")</f>
        <v>Survived</v>
      </c>
      <c r="D511">
        <v>3</v>
      </c>
      <c r="E511" t="str">
        <f>IF(Titanic_Dataset[[#This Row],[Pclass]]=1,"1st",IF(Titanic_Dataset[[#This Row],[Pclass]]=2,"2nd",IF(Titanic_Dataset[[#This Row],[Pclass]]=3,"3rd")))</f>
        <v>3rd</v>
      </c>
      <c r="F511" s="1" t="s">
        <v>1041</v>
      </c>
      <c r="G511" s="1" t="str">
        <f>TRIM(MID(Titanic_Dataset[[#This Row],[Name]],
FIND(",",Titanic_Dataset[[#This Row],[Name]])+2,
FIND(".",Titanic_Dataset[[#This Row],[Name]],FIND(",",Titanic_Dataset[[#This Row],[Name]]))-FIND(",",Titanic_Dataset[[#This Row],[Name]])-1))</f>
        <v>Mr.</v>
      </c>
      <c r="H511" s="1" t="s">
        <v>13</v>
      </c>
      <c r="I511">
        <v>26</v>
      </c>
      <c r="J51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11">
        <v>0</v>
      </c>
      <c r="L511">
        <v>0</v>
      </c>
      <c r="M511">
        <f>Titanic_Dataset[[#This Row],[Parch]]+Titanic_Dataset[[#This Row],[SibSp]]</f>
        <v>0</v>
      </c>
      <c r="N511" s="1" t="s">
        <v>180</v>
      </c>
      <c r="O511">
        <v>56.495800000000003</v>
      </c>
      <c r="P511">
        <f>IF(Titanic_Dataset[[#This Row],[Survived]]=1,Titanic_Dataset[[#This Row],[Fare]],NA())</f>
        <v>56.495800000000003</v>
      </c>
      <c r="Q511" t="e">
        <f>IF(Titanic_Dataset[[#This Row],[Survived]]=0,Titanic_Dataset[[#This Row],[Fare]],NA())</f>
        <v>#N/A</v>
      </c>
      <c r="R511" t="str">
        <f>VLOOKUP(Titanic_Dataset[[#This Row],[Fare]],Table2[],2,TRUE)</f>
        <v>very hiegh</v>
      </c>
      <c r="S511" s="1" t="s">
        <v>15</v>
      </c>
      <c r="T511" s="1" t="s">
        <v>16</v>
      </c>
      <c r="U511" s="1"/>
      <c r="V511" s="1"/>
      <c r="W511" s="1"/>
    </row>
    <row r="512" spans="1:23" x14ac:dyDescent="0.25">
      <c r="A512">
        <v>511</v>
      </c>
      <c r="B512">
        <v>1</v>
      </c>
      <c r="C512" t="str">
        <f>IF(Titanic_Dataset[[#This Row],[Survived]]=1,"Survived","Died")</f>
        <v>Survived</v>
      </c>
      <c r="D512">
        <v>3</v>
      </c>
      <c r="E512" t="str">
        <f>IF(Titanic_Dataset[[#This Row],[Pclass]]=1,"1st",IF(Titanic_Dataset[[#This Row],[Pclass]]=2,"2nd",IF(Titanic_Dataset[[#This Row],[Pclass]]=3,"3rd")))</f>
        <v>3rd</v>
      </c>
      <c r="F512" s="1" t="s">
        <v>1042</v>
      </c>
      <c r="G512" s="1" t="str">
        <f>TRIM(MID(Titanic_Dataset[[#This Row],[Name]],
FIND(",",Titanic_Dataset[[#This Row],[Name]])+2,
FIND(".",Titanic_Dataset[[#This Row],[Name]],FIND(",",Titanic_Dataset[[#This Row],[Name]]))-FIND(",",Titanic_Dataset[[#This Row],[Name]])-1))</f>
        <v>Mr.</v>
      </c>
      <c r="H512" s="1" t="s">
        <v>13</v>
      </c>
      <c r="I512">
        <v>29</v>
      </c>
      <c r="J51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12">
        <v>0</v>
      </c>
      <c r="L512">
        <v>0</v>
      </c>
      <c r="M512">
        <f>Titanic_Dataset[[#This Row],[Parch]]+Titanic_Dataset[[#This Row],[SibSp]]</f>
        <v>0</v>
      </c>
      <c r="N512" s="1" t="s">
        <v>1043</v>
      </c>
      <c r="O512">
        <v>7.75</v>
      </c>
      <c r="P512">
        <f>IF(Titanic_Dataset[[#This Row],[Survived]]=1,Titanic_Dataset[[#This Row],[Fare]],NA())</f>
        <v>7.75</v>
      </c>
      <c r="Q512" t="e">
        <f>IF(Titanic_Dataset[[#This Row],[Survived]]=0,Titanic_Dataset[[#This Row],[Fare]],NA())</f>
        <v>#N/A</v>
      </c>
      <c r="R512" t="str">
        <f>VLOOKUP(Titanic_Dataset[[#This Row],[Fare]],Table2[],2,TRUE)</f>
        <v>low</v>
      </c>
      <c r="S512" s="1" t="s">
        <v>15</v>
      </c>
      <c r="T512" s="1" t="s">
        <v>31</v>
      </c>
      <c r="U512" s="1"/>
      <c r="V512" s="1"/>
      <c r="W512" s="1"/>
    </row>
    <row r="513" spans="1:23" x14ac:dyDescent="0.25">
      <c r="A513">
        <v>512</v>
      </c>
      <c r="B513">
        <v>0</v>
      </c>
      <c r="C513" t="str">
        <f>IF(Titanic_Dataset[[#This Row],[Survived]]=1,"Survived","Died")</f>
        <v>Died</v>
      </c>
      <c r="D513">
        <v>3</v>
      </c>
      <c r="E513" t="str">
        <f>IF(Titanic_Dataset[[#This Row],[Pclass]]=1,"1st",IF(Titanic_Dataset[[#This Row],[Pclass]]=2,"2nd",IF(Titanic_Dataset[[#This Row],[Pclass]]=3,"3rd")))</f>
        <v>3rd</v>
      </c>
      <c r="F513" s="1" t="s">
        <v>1044</v>
      </c>
      <c r="G513" s="1" t="str">
        <f>TRIM(MID(Titanic_Dataset[[#This Row],[Name]],
FIND(",",Titanic_Dataset[[#This Row],[Name]])+2,
FIND(".",Titanic_Dataset[[#This Row],[Name]],FIND(",",Titanic_Dataset[[#This Row],[Name]]))-FIND(",",Titanic_Dataset[[#This Row],[Name]])-1))</f>
        <v>Mr.</v>
      </c>
      <c r="H513" s="1" t="s">
        <v>13</v>
      </c>
      <c r="I513">
        <v>28</v>
      </c>
      <c r="J51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13">
        <v>0</v>
      </c>
      <c r="L513">
        <v>0</v>
      </c>
      <c r="M513">
        <f>Titanic_Dataset[[#This Row],[Parch]]+Titanic_Dataset[[#This Row],[SibSp]]</f>
        <v>0</v>
      </c>
      <c r="N513" s="1" t="s">
        <v>1045</v>
      </c>
      <c r="O513">
        <v>8.0500000000000007</v>
      </c>
      <c r="P513" t="e">
        <f>IF(Titanic_Dataset[[#This Row],[Survived]]=1,Titanic_Dataset[[#This Row],[Fare]],NA())</f>
        <v>#N/A</v>
      </c>
      <c r="Q513">
        <f>IF(Titanic_Dataset[[#This Row],[Survived]]=0,Titanic_Dataset[[#This Row],[Fare]],NA())</f>
        <v>8.0500000000000007</v>
      </c>
      <c r="R513" t="str">
        <f>VLOOKUP(Titanic_Dataset[[#This Row],[Fare]],Table2[],2,TRUE)</f>
        <v>medium</v>
      </c>
      <c r="S513" s="1" t="s">
        <v>15</v>
      </c>
      <c r="T513" s="1" t="s">
        <v>16</v>
      </c>
      <c r="U513" s="1"/>
      <c r="V513" s="1"/>
      <c r="W513" s="1"/>
    </row>
    <row r="514" spans="1:23" x14ac:dyDescent="0.25">
      <c r="A514">
        <v>513</v>
      </c>
      <c r="B514">
        <v>1</v>
      </c>
      <c r="C514" t="str">
        <f>IF(Titanic_Dataset[[#This Row],[Survived]]=1,"Survived","Died")</f>
        <v>Survived</v>
      </c>
      <c r="D514">
        <v>1</v>
      </c>
      <c r="E514" t="str">
        <f>IF(Titanic_Dataset[[#This Row],[Pclass]]=1,"1st",IF(Titanic_Dataset[[#This Row],[Pclass]]=2,"2nd",IF(Titanic_Dataset[[#This Row],[Pclass]]=3,"3rd")))</f>
        <v>1st</v>
      </c>
      <c r="F514" s="1" t="s">
        <v>1046</v>
      </c>
      <c r="G514" s="1" t="str">
        <f>TRIM(MID(Titanic_Dataset[[#This Row],[Name]],
FIND(",",Titanic_Dataset[[#This Row],[Name]])+2,
FIND(".",Titanic_Dataset[[#This Row],[Name]],FIND(",",Titanic_Dataset[[#This Row],[Name]]))-FIND(",",Titanic_Dataset[[#This Row],[Name]])-1))</f>
        <v>Mr.</v>
      </c>
      <c r="H514" s="1" t="s">
        <v>13</v>
      </c>
      <c r="I514">
        <v>36</v>
      </c>
      <c r="J514" t="str">
        <f>IF(Titanic_Dataset[[#This Row],[Age]]&lt;12,"0-11",
IF(Titanic_Dataset[[#This Row],[Age]]&lt;20,"12-19",
IF(Titanic_Dataset[[#This Row],[Age]]&lt;30,"20-29",
IF(Titanic_Dataset[[#This Row],[Age]]&lt;40,"30-39",
IF(Titanic_Dataset[[#This Row],[Age]]&lt;50,"40-49",
IF(Titanic_Dataset[[#This Row],[Age]]&lt;60,"50-59",
IF(Titanic_Dataset[[#This Row],[Age]]&lt;70,"60-69",)))))))</f>
        <v>30-39</v>
      </c>
      <c r="K514">
        <v>0</v>
      </c>
      <c r="L514">
        <v>0</v>
      </c>
      <c r="M514">
        <f>Titanic_Dataset[[#This Row],[Parch]]+Titanic_Dataset[[#This Row],[SibSp]]</f>
        <v>0</v>
      </c>
      <c r="N514" s="1" t="s">
        <v>1047</v>
      </c>
      <c r="O514">
        <v>26.287500000000001</v>
      </c>
      <c r="P514">
        <f>IF(Titanic_Dataset[[#This Row],[Survived]]=1,Titanic_Dataset[[#This Row],[Fare]],NA())</f>
        <v>26.287500000000001</v>
      </c>
      <c r="Q514" t="e">
        <f>IF(Titanic_Dataset[[#This Row],[Survived]]=0,Titanic_Dataset[[#This Row],[Fare]],NA())</f>
        <v>#N/A</v>
      </c>
      <c r="R514" t="str">
        <f>VLOOKUP(Titanic_Dataset[[#This Row],[Fare]],Table2[],2,TRUE)</f>
        <v>high</v>
      </c>
      <c r="S514" s="1" t="s">
        <v>1048</v>
      </c>
      <c r="T514" s="1" t="s">
        <v>16</v>
      </c>
      <c r="U514" s="1"/>
      <c r="V514" s="1"/>
      <c r="W514" s="1"/>
    </row>
    <row r="515" spans="1:23" x14ac:dyDescent="0.25">
      <c r="A515">
        <v>514</v>
      </c>
      <c r="B515">
        <v>1</v>
      </c>
      <c r="C515" t="str">
        <f>IF(Titanic_Dataset[[#This Row],[Survived]]=1,"Survived","Died")</f>
        <v>Survived</v>
      </c>
      <c r="D515">
        <v>1</v>
      </c>
      <c r="E515" t="str">
        <f>IF(Titanic_Dataset[[#This Row],[Pclass]]=1,"1st",IF(Titanic_Dataset[[#This Row],[Pclass]]=2,"2nd",IF(Titanic_Dataset[[#This Row],[Pclass]]=3,"3rd")))</f>
        <v>1st</v>
      </c>
      <c r="F515" s="1" t="s">
        <v>1049</v>
      </c>
      <c r="G515" s="1" t="str">
        <f>TRIM(MID(Titanic_Dataset[[#This Row],[Name]],
FIND(",",Titanic_Dataset[[#This Row],[Name]])+2,
FIND(".",Titanic_Dataset[[#This Row],[Name]],FIND(",",Titanic_Dataset[[#This Row],[Name]]))-FIND(",",Titanic_Dataset[[#This Row],[Name]])-1))</f>
        <v>Mrs.</v>
      </c>
      <c r="H515" s="1" t="s">
        <v>18</v>
      </c>
      <c r="I515">
        <v>54</v>
      </c>
      <c r="J515" t="str">
        <f>IF(Titanic_Dataset[[#This Row],[Age]]&lt;12,"0-11",
IF(Titanic_Dataset[[#This Row],[Age]]&lt;20,"12-19",
IF(Titanic_Dataset[[#This Row],[Age]]&lt;30,"20-29",
IF(Titanic_Dataset[[#This Row],[Age]]&lt;40,"30-39",
IF(Titanic_Dataset[[#This Row],[Age]]&lt;50,"40-49",
IF(Titanic_Dataset[[#This Row],[Age]]&lt;60,"50-59",
IF(Titanic_Dataset[[#This Row],[Age]]&lt;70,"60-69",)))))))</f>
        <v>50-59</v>
      </c>
      <c r="K515">
        <v>1</v>
      </c>
      <c r="L515">
        <v>0</v>
      </c>
      <c r="M515">
        <f>Titanic_Dataset[[#This Row],[Parch]]+Titanic_Dataset[[#This Row],[SibSp]]</f>
        <v>1</v>
      </c>
      <c r="N515" s="1" t="s">
        <v>1050</v>
      </c>
      <c r="O515">
        <v>59.4</v>
      </c>
      <c r="P515">
        <f>IF(Titanic_Dataset[[#This Row],[Survived]]=1,Titanic_Dataset[[#This Row],[Fare]],NA())</f>
        <v>59.4</v>
      </c>
      <c r="Q515" t="e">
        <f>IF(Titanic_Dataset[[#This Row],[Survived]]=0,Titanic_Dataset[[#This Row],[Fare]],NA())</f>
        <v>#N/A</v>
      </c>
      <c r="R515" t="str">
        <f>VLOOKUP(Titanic_Dataset[[#This Row],[Fare]],Table2[],2,TRUE)</f>
        <v>very hiegh</v>
      </c>
      <c r="S515" s="1" t="s">
        <v>15</v>
      </c>
      <c r="T515" s="1" t="s">
        <v>21</v>
      </c>
      <c r="U515" s="1"/>
      <c r="V515" s="1"/>
      <c r="W515" s="1"/>
    </row>
    <row r="516" spans="1:23" x14ac:dyDescent="0.25">
      <c r="A516">
        <v>515</v>
      </c>
      <c r="B516">
        <v>0</v>
      </c>
      <c r="C516" t="str">
        <f>IF(Titanic_Dataset[[#This Row],[Survived]]=1,"Survived","Died")</f>
        <v>Died</v>
      </c>
      <c r="D516">
        <v>3</v>
      </c>
      <c r="E516" t="str">
        <f>IF(Titanic_Dataset[[#This Row],[Pclass]]=1,"1st",IF(Titanic_Dataset[[#This Row],[Pclass]]=2,"2nd",IF(Titanic_Dataset[[#This Row],[Pclass]]=3,"3rd")))</f>
        <v>3rd</v>
      </c>
      <c r="F516" s="1" t="s">
        <v>1051</v>
      </c>
      <c r="G516" s="1" t="str">
        <f>TRIM(MID(Titanic_Dataset[[#This Row],[Name]],
FIND(",",Titanic_Dataset[[#This Row],[Name]])+2,
FIND(".",Titanic_Dataset[[#This Row],[Name]],FIND(",",Titanic_Dataset[[#This Row],[Name]]))-FIND(",",Titanic_Dataset[[#This Row],[Name]])-1))</f>
        <v>Mr.</v>
      </c>
      <c r="H516" s="1" t="s">
        <v>13</v>
      </c>
      <c r="I516">
        <v>24</v>
      </c>
      <c r="J51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16">
        <v>0</v>
      </c>
      <c r="L516">
        <v>0</v>
      </c>
      <c r="M516">
        <f>Titanic_Dataset[[#This Row],[Parch]]+Titanic_Dataset[[#This Row],[SibSp]]</f>
        <v>0</v>
      </c>
      <c r="N516" s="1" t="s">
        <v>1052</v>
      </c>
      <c r="O516">
        <v>7.4958</v>
      </c>
      <c r="P516" t="e">
        <f>IF(Titanic_Dataset[[#This Row],[Survived]]=1,Titanic_Dataset[[#This Row],[Fare]],NA())</f>
        <v>#N/A</v>
      </c>
      <c r="Q516">
        <f>IF(Titanic_Dataset[[#This Row],[Survived]]=0,Titanic_Dataset[[#This Row],[Fare]],NA())</f>
        <v>7.4958</v>
      </c>
      <c r="R516" t="str">
        <f>VLOOKUP(Titanic_Dataset[[#This Row],[Fare]],Table2[],2,TRUE)</f>
        <v>low</v>
      </c>
      <c r="S516" s="1" t="s">
        <v>15</v>
      </c>
      <c r="T516" s="1" t="s">
        <v>16</v>
      </c>
      <c r="U516" s="1"/>
      <c r="V516" s="1"/>
      <c r="W516" s="1"/>
    </row>
    <row r="517" spans="1:23" x14ac:dyDescent="0.25">
      <c r="A517">
        <v>516</v>
      </c>
      <c r="B517">
        <v>0</v>
      </c>
      <c r="C517" t="str">
        <f>IF(Titanic_Dataset[[#This Row],[Survived]]=1,"Survived","Died")</f>
        <v>Died</v>
      </c>
      <c r="D517">
        <v>1</v>
      </c>
      <c r="E517" t="str">
        <f>IF(Titanic_Dataset[[#This Row],[Pclass]]=1,"1st",IF(Titanic_Dataset[[#This Row],[Pclass]]=2,"2nd",IF(Titanic_Dataset[[#This Row],[Pclass]]=3,"3rd")))</f>
        <v>1st</v>
      </c>
      <c r="F517" s="1" t="s">
        <v>1053</v>
      </c>
      <c r="G517" s="1" t="str">
        <f>TRIM(MID(Titanic_Dataset[[#This Row],[Name]],
FIND(",",Titanic_Dataset[[#This Row],[Name]])+2,
FIND(".",Titanic_Dataset[[#This Row],[Name]],FIND(",",Titanic_Dataset[[#This Row],[Name]]))-FIND(",",Titanic_Dataset[[#This Row],[Name]])-1))</f>
        <v>Mr.</v>
      </c>
      <c r="H517" s="1" t="s">
        <v>13</v>
      </c>
      <c r="I517">
        <v>47</v>
      </c>
      <c r="J517" t="str">
        <f>IF(Titanic_Dataset[[#This Row],[Age]]&lt;12,"0-11",
IF(Titanic_Dataset[[#This Row],[Age]]&lt;20,"12-19",
IF(Titanic_Dataset[[#This Row],[Age]]&lt;30,"20-29",
IF(Titanic_Dataset[[#This Row],[Age]]&lt;40,"30-39",
IF(Titanic_Dataset[[#This Row],[Age]]&lt;50,"40-49",
IF(Titanic_Dataset[[#This Row],[Age]]&lt;60,"50-59",
IF(Titanic_Dataset[[#This Row],[Age]]&lt;70,"60-69",)))))))</f>
        <v>40-49</v>
      </c>
      <c r="K517">
        <v>0</v>
      </c>
      <c r="L517">
        <v>0</v>
      </c>
      <c r="M517">
        <f>Titanic_Dataset[[#This Row],[Parch]]+Titanic_Dataset[[#This Row],[SibSp]]</f>
        <v>0</v>
      </c>
      <c r="N517" s="1" t="s">
        <v>1054</v>
      </c>
      <c r="O517">
        <v>34.020800000000001</v>
      </c>
      <c r="P517" t="e">
        <f>IF(Titanic_Dataset[[#This Row],[Survived]]=1,Titanic_Dataset[[#This Row],[Fare]],NA())</f>
        <v>#N/A</v>
      </c>
      <c r="Q517">
        <f>IF(Titanic_Dataset[[#This Row],[Survived]]=0,Titanic_Dataset[[#This Row],[Fare]],NA())</f>
        <v>34.020800000000001</v>
      </c>
      <c r="R517" t="str">
        <f>VLOOKUP(Titanic_Dataset[[#This Row],[Fare]],Table2[],2,TRUE)</f>
        <v>very hiegh</v>
      </c>
      <c r="S517" s="1" t="s">
        <v>1055</v>
      </c>
      <c r="T517" s="1" t="s">
        <v>16</v>
      </c>
      <c r="U517" s="1"/>
      <c r="V517" s="1"/>
      <c r="W517" s="1"/>
    </row>
    <row r="518" spans="1:23" x14ac:dyDescent="0.25">
      <c r="A518">
        <v>517</v>
      </c>
      <c r="B518">
        <v>1</v>
      </c>
      <c r="C518" t="str">
        <f>IF(Titanic_Dataset[[#This Row],[Survived]]=1,"Survived","Died")</f>
        <v>Survived</v>
      </c>
      <c r="D518">
        <v>2</v>
      </c>
      <c r="E518" t="str">
        <f>IF(Titanic_Dataset[[#This Row],[Pclass]]=1,"1st",IF(Titanic_Dataset[[#This Row],[Pclass]]=2,"2nd",IF(Titanic_Dataset[[#This Row],[Pclass]]=3,"3rd")))</f>
        <v>2nd</v>
      </c>
      <c r="F518" s="1" t="s">
        <v>1056</v>
      </c>
      <c r="G518" s="1" t="str">
        <f>TRIM(MID(Titanic_Dataset[[#This Row],[Name]],
FIND(",",Titanic_Dataset[[#This Row],[Name]])+2,
FIND(".",Titanic_Dataset[[#This Row],[Name]],FIND(",",Titanic_Dataset[[#This Row],[Name]]))-FIND(",",Titanic_Dataset[[#This Row],[Name]])-1))</f>
        <v>Mrs.</v>
      </c>
      <c r="H518" s="1" t="s">
        <v>18</v>
      </c>
      <c r="I518">
        <v>34</v>
      </c>
      <c r="J518" t="str">
        <f>IF(Titanic_Dataset[[#This Row],[Age]]&lt;12,"0-11",
IF(Titanic_Dataset[[#This Row],[Age]]&lt;20,"12-19",
IF(Titanic_Dataset[[#This Row],[Age]]&lt;30,"20-29",
IF(Titanic_Dataset[[#This Row],[Age]]&lt;40,"30-39",
IF(Titanic_Dataset[[#This Row],[Age]]&lt;50,"40-49",
IF(Titanic_Dataset[[#This Row],[Age]]&lt;60,"50-59",
IF(Titanic_Dataset[[#This Row],[Age]]&lt;70,"60-69",)))))))</f>
        <v>30-39</v>
      </c>
      <c r="K518">
        <v>0</v>
      </c>
      <c r="L518">
        <v>0</v>
      </c>
      <c r="M518">
        <f>Titanic_Dataset[[#This Row],[Parch]]+Titanic_Dataset[[#This Row],[SibSp]]</f>
        <v>0</v>
      </c>
      <c r="N518" s="1" t="s">
        <v>1057</v>
      </c>
      <c r="O518">
        <v>10.5</v>
      </c>
      <c r="P518">
        <f>IF(Titanic_Dataset[[#This Row],[Survived]]=1,Titanic_Dataset[[#This Row],[Fare]],NA())</f>
        <v>10.5</v>
      </c>
      <c r="Q518" t="e">
        <f>IF(Titanic_Dataset[[#This Row],[Survived]]=0,Titanic_Dataset[[#This Row],[Fare]],NA())</f>
        <v>#N/A</v>
      </c>
      <c r="R518" t="str">
        <f>VLOOKUP(Titanic_Dataset[[#This Row],[Fare]],Table2[],2,TRUE)</f>
        <v>medium</v>
      </c>
      <c r="S518" s="1" t="s">
        <v>165</v>
      </c>
      <c r="T518" s="1" t="s">
        <v>16</v>
      </c>
      <c r="U518" s="1"/>
      <c r="V518" s="1"/>
      <c r="W518" s="1"/>
    </row>
    <row r="519" spans="1:23" x14ac:dyDescent="0.25">
      <c r="A519">
        <v>518</v>
      </c>
      <c r="B519">
        <v>0</v>
      </c>
      <c r="C519" t="str">
        <f>IF(Titanic_Dataset[[#This Row],[Survived]]=1,"Survived","Died")</f>
        <v>Died</v>
      </c>
      <c r="D519">
        <v>3</v>
      </c>
      <c r="E519" t="str">
        <f>IF(Titanic_Dataset[[#This Row],[Pclass]]=1,"1st",IF(Titanic_Dataset[[#This Row],[Pclass]]=2,"2nd",IF(Titanic_Dataset[[#This Row],[Pclass]]=3,"3rd")))</f>
        <v>3rd</v>
      </c>
      <c r="F519" s="1" t="s">
        <v>1058</v>
      </c>
      <c r="G519" s="1" t="str">
        <f>TRIM(MID(Titanic_Dataset[[#This Row],[Name]],
FIND(",",Titanic_Dataset[[#This Row],[Name]])+2,
FIND(".",Titanic_Dataset[[#This Row],[Name]],FIND(",",Titanic_Dataset[[#This Row],[Name]]))-FIND(",",Titanic_Dataset[[#This Row],[Name]])-1))</f>
        <v>Mr.</v>
      </c>
      <c r="H519" s="1" t="s">
        <v>13</v>
      </c>
      <c r="I519">
        <v>28</v>
      </c>
      <c r="J51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19">
        <v>0</v>
      </c>
      <c r="L519">
        <v>0</v>
      </c>
      <c r="M519">
        <f>Titanic_Dataset[[#This Row],[Parch]]+Titanic_Dataset[[#This Row],[SibSp]]</f>
        <v>0</v>
      </c>
      <c r="N519" s="1" t="s">
        <v>254</v>
      </c>
      <c r="O519">
        <v>24.15</v>
      </c>
      <c r="P519" t="e">
        <f>IF(Titanic_Dataset[[#This Row],[Survived]]=1,Titanic_Dataset[[#This Row],[Fare]],NA())</f>
        <v>#N/A</v>
      </c>
      <c r="Q519">
        <f>IF(Titanic_Dataset[[#This Row],[Survived]]=0,Titanic_Dataset[[#This Row],[Fare]],NA())</f>
        <v>24.15</v>
      </c>
      <c r="R519" t="str">
        <f>VLOOKUP(Titanic_Dataset[[#This Row],[Fare]],Table2[],2,TRUE)</f>
        <v>high</v>
      </c>
      <c r="S519" s="1" t="s">
        <v>15</v>
      </c>
      <c r="T519" s="1" t="s">
        <v>31</v>
      </c>
      <c r="U519" s="1"/>
      <c r="V519" s="1"/>
      <c r="W519" s="1"/>
    </row>
    <row r="520" spans="1:23" x14ac:dyDescent="0.25">
      <c r="A520">
        <v>519</v>
      </c>
      <c r="B520">
        <v>1</v>
      </c>
      <c r="C520" t="str">
        <f>IF(Titanic_Dataset[[#This Row],[Survived]]=1,"Survived","Died")</f>
        <v>Survived</v>
      </c>
      <c r="D520">
        <v>2</v>
      </c>
      <c r="E520" t="str">
        <f>IF(Titanic_Dataset[[#This Row],[Pclass]]=1,"1st",IF(Titanic_Dataset[[#This Row],[Pclass]]=2,"2nd",IF(Titanic_Dataset[[#This Row],[Pclass]]=3,"3rd")))</f>
        <v>2nd</v>
      </c>
      <c r="F520" s="1" t="s">
        <v>1059</v>
      </c>
      <c r="G520" s="1" t="str">
        <f>TRIM(MID(Titanic_Dataset[[#This Row],[Name]],
FIND(",",Titanic_Dataset[[#This Row],[Name]])+2,
FIND(".",Titanic_Dataset[[#This Row],[Name]],FIND(",",Titanic_Dataset[[#This Row],[Name]]))-FIND(",",Titanic_Dataset[[#This Row],[Name]])-1))</f>
        <v>Mrs.</v>
      </c>
      <c r="H520" s="1" t="s">
        <v>18</v>
      </c>
      <c r="I520">
        <v>36</v>
      </c>
      <c r="J520" t="str">
        <f>IF(Titanic_Dataset[[#This Row],[Age]]&lt;12,"0-11",
IF(Titanic_Dataset[[#This Row],[Age]]&lt;20,"12-19",
IF(Titanic_Dataset[[#This Row],[Age]]&lt;30,"20-29",
IF(Titanic_Dataset[[#This Row],[Age]]&lt;40,"30-39",
IF(Titanic_Dataset[[#This Row],[Age]]&lt;50,"40-49",
IF(Titanic_Dataset[[#This Row],[Age]]&lt;60,"50-59",
IF(Titanic_Dataset[[#This Row],[Age]]&lt;70,"60-69",)))))))</f>
        <v>30-39</v>
      </c>
      <c r="K520">
        <v>1</v>
      </c>
      <c r="L520">
        <v>0</v>
      </c>
      <c r="M520">
        <f>Titanic_Dataset[[#This Row],[Parch]]+Titanic_Dataset[[#This Row],[SibSp]]</f>
        <v>1</v>
      </c>
      <c r="N520" s="1" t="s">
        <v>1060</v>
      </c>
      <c r="O520">
        <v>26</v>
      </c>
      <c r="P520">
        <f>IF(Titanic_Dataset[[#This Row],[Survived]]=1,Titanic_Dataset[[#This Row],[Fare]],NA())</f>
        <v>26</v>
      </c>
      <c r="Q520" t="e">
        <f>IF(Titanic_Dataset[[#This Row],[Survived]]=0,Titanic_Dataset[[#This Row],[Fare]],NA())</f>
        <v>#N/A</v>
      </c>
      <c r="R520" t="str">
        <f>VLOOKUP(Titanic_Dataset[[#This Row],[Fare]],Table2[],2,TRUE)</f>
        <v>high</v>
      </c>
      <c r="S520" s="1" t="s">
        <v>15</v>
      </c>
      <c r="T520" s="1" t="s">
        <v>16</v>
      </c>
      <c r="U520" s="1"/>
      <c r="V520" s="1"/>
      <c r="W520" s="1"/>
    </row>
    <row r="521" spans="1:23" x14ac:dyDescent="0.25">
      <c r="A521">
        <v>520</v>
      </c>
      <c r="B521">
        <v>0</v>
      </c>
      <c r="C521" t="str">
        <f>IF(Titanic_Dataset[[#This Row],[Survived]]=1,"Survived","Died")</f>
        <v>Died</v>
      </c>
      <c r="D521">
        <v>3</v>
      </c>
      <c r="E521" t="str">
        <f>IF(Titanic_Dataset[[#This Row],[Pclass]]=1,"1st",IF(Titanic_Dataset[[#This Row],[Pclass]]=2,"2nd",IF(Titanic_Dataset[[#This Row],[Pclass]]=3,"3rd")))</f>
        <v>3rd</v>
      </c>
      <c r="F521" s="1" t="s">
        <v>1061</v>
      </c>
      <c r="G521" s="1" t="str">
        <f>TRIM(MID(Titanic_Dataset[[#This Row],[Name]],
FIND(",",Titanic_Dataset[[#This Row],[Name]])+2,
FIND(".",Titanic_Dataset[[#This Row],[Name]],FIND(",",Titanic_Dataset[[#This Row],[Name]]))-FIND(",",Titanic_Dataset[[#This Row],[Name]])-1))</f>
        <v>Mr.</v>
      </c>
      <c r="H521" s="1" t="s">
        <v>13</v>
      </c>
      <c r="I521">
        <v>32</v>
      </c>
      <c r="J521" t="str">
        <f>IF(Titanic_Dataset[[#This Row],[Age]]&lt;12,"0-11",
IF(Titanic_Dataset[[#This Row],[Age]]&lt;20,"12-19",
IF(Titanic_Dataset[[#This Row],[Age]]&lt;30,"20-29",
IF(Titanic_Dataset[[#This Row],[Age]]&lt;40,"30-39",
IF(Titanic_Dataset[[#This Row],[Age]]&lt;50,"40-49",
IF(Titanic_Dataset[[#This Row],[Age]]&lt;60,"50-59",
IF(Titanic_Dataset[[#This Row],[Age]]&lt;70,"60-69",)))))))</f>
        <v>30-39</v>
      </c>
      <c r="K521">
        <v>0</v>
      </c>
      <c r="L521">
        <v>0</v>
      </c>
      <c r="M521">
        <f>Titanic_Dataset[[#This Row],[Parch]]+Titanic_Dataset[[#This Row],[SibSp]]</f>
        <v>0</v>
      </c>
      <c r="N521" s="1" t="s">
        <v>1062</v>
      </c>
      <c r="O521">
        <v>7.8958000000000004</v>
      </c>
      <c r="P521" t="e">
        <f>IF(Titanic_Dataset[[#This Row],[Survived]]=1,Titanic_Dataset[[#This Row],[Fare]],NA())</f>
        <v>#N/A</v>
      </c>
      <c r="Q521">
        <f>IF(Titanic_Dataset[[#This Row],[Survived]]=0,Titanic_Dataset[[#This Row],[Fare]],NA())</f>
        <v>7.8958000000000004</v>
      </c>
      <c r="R521" t="str">
        <f>VLOOKUP(Titanic_Dataset[[#This Row],[Fare]],Table2[],2,TRUE)</f>
        <v>low</v>
      </c>
      <c r="S521" s="1" t="s">
        <v>15</v>
      </c>
      <c r="T521" s="1" t="s">
        <v>16</v>
      </c>
      <c r="U521" s="1"/>
      <c r="V521" s="1"/>
      <c r="W521" s="1"/>
    </row>
    <row r="522" spans="1:23" x14ac:dyDescent="0.25">
      <c r="A522">
        <v>521</v>
      </c>
      <c r="B522">
        <v>1</v>
      </c>
      <c r="C522" t="str">
        <f>IF(Titanic_Dataset[[#This Row],[Survived]]=1,"Survived","Died")</f>
        <v>Survived</v>
      </c>
      <c r="D522">
        <v>1</v>
      </c>
      <c r="E522" t="str">
        <f>IF(Titanic_Dataset[[#This Row],[Pclass]]=1,"1st",IF(Titanic_Dataset[[#This Row],[Pclass]]=2,"2nd",IF(Titanic_Dataset[[#This Row],[Pclass]]=3,"3rd")))</f>
        <v>1st</v>
      </c>
      <c r="F522" s="1" t="s">
        <v>1063</v>
      </c>
      <c r="G522" s="1" t="str">
        <f>TRIM(MID(Titanic_Dataset[[#This Row],[Name]],
FIND(",",Titanic_Dataset[[#This Row],[Name]])+2,
FIND(".",Titanic_Dataset[[#This Row],[Name]],FIND(",",Titanic_Dataset[[#This Row],[Name]]))-FIND(",",Titanic_Dataset[[#This Row],[Name]])-1))</f>
        <v>Miss.</v>
      </c>
      <c r="H522" s="1" t="s">
        <v>18</v>
      </c>
      <c r="I522">
        <v>30</v>
      </c>
      <c r="J522" t="str">
        <f>IF(Titanic_Dataset[[#This Row],[Age]]&lt;12,"0-11",
IF(Titanic_Dataset[[#This Row],[Age]]&lt;20,"12-19",
IF(Titanic_Dataset[[#This Row],[Age]]&lt;30,"20-29",
IF(Titanic_Dataset[[#This Row],[Age]]&lt;40,"30-39",
IF(Titanic_Dataset[[#This Row],[Age]]&lt;50,"40-49",
IF(Titanic_Dataset[[#This Row],[Age]]&lt;60,"50-59",
IF(Titanic_Dataset[[#This Row],[Age]]&lt;70,"60-69",)))))))</f>
        <v>30-39</v>
      </c>
      <c r="K522">
        <v>0</v>
      </c>
      <c r="L522">
        <v>0</v>
      </c>
      <c r="M522">
        <f>Titanic_Dataset[[#This Row],[Parch]]+Titanic_Dataset[[#This Row],[SibSp]]</f>
        <v>0</v>
      </c>
      <c r="N522" s="1" t="s">
        <v>1064</v>
      </c>
      <c r="O522">
        <v>93.5</v>
      </c>
      <c r="P522">
        <f>IF(Titanic_Dataset[[#This Row],[Survived]]=1,Titanic_Dataset[[#This Row],[Fare]],NA())</f>
        <v>93.5</v>
      </c>
      <c r="Q522" t="e">
        <f>IF(Titanic_Dataset[[#This Row],[Survived]]=0,Titanic_Dataset[[#This Row],[Fare]],NA())</f>
        <v>#N/A</v>
      </c>
      <c r="R522" t="str">
        <f>VLOOKUP(Titanic_Dataset[[#This Row],[Fare]],Table2[],2,TRUE)</f>
        <v>very hiegh</v>
      </c>
      <c r="S522" s="1" t="s">
        <v>1065</v>
      </c>
      <c r="T522" s="1" t="s">
        <v>16</v>
      </c>
      <c r="U522" s="1"/>
      <c r="V522" s="1"/>
      <c r="W522" s="1"/>
    </row>
    <row r="523" spans="1:23" x14ac:dyDescent="0.25">
      <c r="A523">
        <v>522</v>
      </c>
      <c r="B523">
        <v>0</v>
      </c>
      <c r="C523" t="str">
        <f>IF(Titanic_Dataset[[#This Row],[Survived]]=1,"Survived","Died")</f>
        <v>Died</v>
      </c>
      <c r="D523">
        <v>3</v>
      </c>
      <c r="E523" t="str">
        <f>IF(Titanic_Dataset[[#This Row],[Pclass]]=1,"1st",IF(Titanic_Dataset[[#This Row],[Pclass]]=2,"2nd",IF(Titanic_Dataset[[#This Row],[Pclass]]=3,"3rd")))</f>
        <v>3rd</v>
      </c>
      <c r="F523" s="1" t="s">
        <v>1066</v>
      </c>
      <c r="G523" s="1" t="str">
        <f>TRIM(MID(Titanic_Dataset[[#This Row],[Name]],
FIND(",",Titanic_Dataset[[#This Row],[Name]])+2,
FIND(".",Titanic_Dataset[[#This Row],[Name]],FIND(",",Titanic_Dataset[[#This Row],[Name]]))-FIND(",",Titanic_Dataset[[#This Row],[Name]])-1))</f>
        <v>Mr.</v>
      </c>
      <c r="H523" s="1" t="s">
        <v>13</v>
      </c>
      <c r="I523">
        <v>22</v>
      </c>
      <c r="J52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23">
        <v>0</v>
      </c>
      <c r="L523">
        <v>0</v>
      </c>
      <c r="M523">
        <f>Titanic_Dataset[[#This Row],[Parch]]+Titanic_Dataset[[#This Row],[SibSp]]</f>
        <v>0</v>
      </c>
      <c r="N523" s="1" t="s">
        <v>1067</v>
      </c>
      <c r="O523">
        <v>7.8958000000000004</v>
      </c>
      <c r="P523" t="e">
        <f>IF(Titanic_Dataset[[#This Row],[Survived]]=1,Titanic_Dataset[[#This Row],[Fare]],NA())</f>
        <v>#N/A</v>
      </c>
      <c r="Q523">
        <f>IF(Titanic_Dataset[[#This Row],[Survived]]=0,Titanic_Dataset[[#This Row],[Fare]],NA())</f>
        <v>7.8958000000000004</v>
      </c>
      <c r="R523" t="str">
        <f>VLOOKUP(Titanic_Dataset[[#This Row],[Fare]],Table2[],2,TRUE)</f>
        <v>low</v>
      </c>
      <c r="S523" s="1" t="s">
        <v>15</v>
      </c>
      <c r="T523" s="1" t="s">
        <v>16</v>
      </c>
      <c r="U523" s="1"/>
      <c r="V523" s="1"/>
      <c r="W523" s="1"/>
    </row>
    <row r="524" spans="1:23" x14ac:dyDescent="0.25">
      <c r="A524">
        <v>523</v>
      </c>
      <c r="B524">
        <v>0</v>
      </c>
      <c r="C524" t="str">
        <f>IF(Titanic_Dataset[[#This Row],[Survived]]=1,"Survived","Died")</f>
        <v>Died</v>
      </c>
      <c r="D524">
        <v>3</v>
      </c>
      <c r="E524" t="str">
        <f>IF(Titanic_Dataset[[#This Row],[Pclass]]=1,"1st",IF(Titanic_Dataset[[#This Row],[Pclass]]=2,"2nd",IF(Titanic_Dataset[[#This Row],[Pclass]]=3,"3rd")))</f>
        <v>3rd</v>
      </c>
      <c r="F524" s="1" t="s">
        <v>1068</v>
      </c>
      <c r="G524" s="1" t="str">
        <f>TRIM(MID(Titanic_Dataset[[#This Row],[Name]],
FIND(",",Titanic_Dataset[[#This Row],[Name]])+2,
FIND(".",Titanic_Dataset[[#This Row],[Name]],FIND(",",Titanic_Dataset[[#This Row],[Name]]))-FIND(",",Titanic_Dataset[[#This Row],[Name]])-1))</f>
        <v>Mr.</v>
      </c>
      <c r="H524" s="1" t="s">
        <v>13</v>
      </c>
      <c r="I524">
        <v>28</v>
      </c>
      <c r="J52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24">
        <v>0</v>
      </c>
      <c r="L524">
        <v>0</v>
      </c>
      <c r="M524">
        <f>Titanic_Dataset[[#This Row],[Parch]]+Titanic_Dataset[[#This Row],[SibSp]]</f>
        <v>0</v>
      </c>
      <c r="N524" s="1" t="s">
        <v>1069</v>
      </c>
      <c r="O524">
        <v>7.2249999999999996</v>
      </c>
      <c r="P524" t="e">
        <f>IF(Titanic_Dataset[[#This Row],[Survived]]=1,Titanic_Dataset[[#This Row],[Fare]],NA())</f>
        <v>#N/A</v>
      </c>
      <c r="Q524">
        <f>IF(Titanic_Dataset[[#This Row],[Survived]]=0,Titanic_Dataset[[#This Row],[Fare]],NA())</f>
        <v>7.2249999999999996</v>
      </c>
      <c r="R524" t="str">
        <f>VLOOKUP(Titanic_Dataset[[#This Row],[Fare]],Table2[],2,TRUE)</f>
        <v>low</v>
      </c>
      <c r="S524" s="1" t="s">
        <v>15</v>
      </c>
      <c r="T524" s="1" t="s">
        <v>21</v>
      </c>
      <c r="U524" s="1"/>
      <c r="V524" s="1"/>
      <c r="W524" s="1"/>
    </row>
    <row r="525" spans="1:23" x14ac:dyDescent="0.25">
      <c r="A525">
        <v>524</v>
      </c>
      <c r="B525">
        <v>1</v>
      </c>
      <c r="C525" t="str">
        <f>IF(Titanic_Dataset[[#This Row],[Survived]]=1,"Survived","Died")</f>
        <v>Survived</v>
      </c>
      <c r="D525">
        <v>1</v>
      </c>
      <c r="E525" t="str">
        <f>IF(Titanic_Dataset[[#This Row],[Pclass]]=1,"1st",IF(Titanic_Dataset[[#This Row],[Pclass]]=2,"2nd",IF(Titanic_Dataset[[#This Row],[Pclass]]=3,"3rd")))</f>
        <v>1st</v>
      </c>
      <c r="F525" s="1" t="s">
        <v>1070</v>
      </c>
      <c r="G525" s="1" t="str">
        <f>TRIM(MID(Titanic_Dataset[[#This Row],[Name]],
FIND(",",Titanic_Dataset[[#This Row],[Name]])+2,
FIND(".",Titanic_Dataset[[#This Row],[Name]],FIND(",",Titanic_Dataset[[#This Row],[Name]]))-FIND(",",Titanic_Dataset[[#This Row],[Name]])-1))</f>
        <v>Mrs.</v>
      </c>
      <c r="H525" s="1" t="s">
        <v>18</v>
      </c>
      <c r="I525">
        <v>44</v>
      </c>
      <c r="J525" t="str">
        <f>IF(Titanic_Dataset[[#This Row],[Age]]&lt;12,"0-11",
IF(Titanic_Dataset[[#This Row],[Age]]&lt;20,"12-19",
IF(Titanic_Dataset[[#This Row],[Age]]&lt;30,"20-29",
IF(Titanic_Dataset[[#This Row],[Age]]&lt;40,"30-39",
IF(Titanic_Dataset[[#This Row],[Age]]&lt;50,"40-49",
IF(Titanic_Dataset[[#This Row],[Age]]&lt;60,"50-59",
IF(Titanic_Dataset[[#This Row],[Age]]&lt;70,"60-69",)))))))</f>
        <v>40-49</v>
      </c>
      <c r="K525">
        <v>0</v>
      </c>
      <c r="L525">
        <v>1</v>
      </c>
      <c r="M525">
        <f>Titanic_Dataset[[#This Row],[Parch]]+Titanic_Dataset[[#This Row],[SibSp]]</f>
        <v>1</v>
      </c>
      <c r="N525" s="1" t="s">
        <v>700</v>
      </c>
      <c r="O525">
        <v>57.979199999999999</v>
      </c>
      <c r="P525">
        <f>IF(Titanic_Dataset[[#This Row],[Survived]]=1,Titanic_Dataset[[#This Row],[Fare]],NA())</f>
        <v>57.979199999999999</v>
      </c>
      <c r="Q525" t="e">
        <f>IF(Titanic_Dataset[[#This Row],[Survived]]=0,Titanic_Dataset[[#This Row],[Fare]],NA())</f>
        <v>#N/A</v>
      </c>
      <c r="R525" t="str">
        <f>VLOOKUP(Titanic_Dataset[[#This Row],[Fare]],Table2[],2,TRUE)</f>
        <v>very hiegh</v>
      </c>
      <c r="S525" s="1" t="s">
        <v>701</v>
      </c>
      <c r="T525" s="1" t="s">
        <v>21</v>
      </c>
      <c r="U525" s="1"/>
      <c r="V525" s="1"/>
      <c r="W525" s="1"/>
    </row>
    <row r="526" spans="1:23" x14ac:dyDescent="0.25">
      <c r="A526">
        <v>525</v>
      </c>
      <c r="B526">
        <v>0</v>
      </c>
      <c r="C526" t="str">
        <f>IF(Titanic_Dataset[[#This Row],[Survived]]=1,"Survived","Died")</f>
        <v>Died</v>
      </c>
      <c r="D526">
        <v>3</v>
      </c>
      <c r="E526" t="str">
        <f>IF(Titanic_Dataset[[#This Row],[Pclass]]=1,"1st",IF(Titanic_Dataset[[#This Row],[Pclass]]=2,"2nd",IF(Titanic_Dataset[[#This Row],[Pclass]]=3,"3rd")))</f>
        <v>3rd</v>
      </c>
      <c r="F526" s="1" t="s">
        <v>1071</v>
      </c>
      <c r="G526" s="1" t="str">
        <f>TRIM(MID(Titanic_Dataset[[#This Row],[Name]],
FIND(",",Titanic_Dataset[[#This Row],[Name]])+2,
FIND(".",Titanic_Dataset[[#This Row],[Name]],FIND(",",Titanic_Dataset[[#This Row],[Name]]))-FIND(",",Titanic_Dataset[[#This Row],[Name]])-1))</f>
        <v>Mr.</v>
      </c>
      <c r="H526" s="1" t="s">
        <v>13</v>
      </c>
      <c r="I526">
        <v>28</v>
      </c>
      <c r="J52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26">
        <v>0</v>
      </c>
      <c r="L526">
        <v>0</v>
      </c>
      <c r="M526">
        <f>Titanic_Dataset[[#This Row],[Parch]]+Titanic_Dataset[[#This Row],[SibSp]]</f>
        <v>0</v>
      </c>
      <c r="N526" s="1" t="s">
        <v>1072</v>
      </c>
      <c r="O526">
        <v>7.2291999999999996</v>
      </c>
      <c r="P526" t="e">
        <f>IF(Titanic_Dataset[[#This Row],[Survived]]=1,Titanic_Dataset[[#This Row],[Fare]],NA())</f>
        <v>#N/A</v>
      </c>
      <c r="Q526">
        <f>IF(Titanic_Dataset[[#This Row],[Survived]]=0,Titanic_Dataset[[#This Row],[Fare]],NA())</f>
        <v>7.2291999999999996</v>
      </c>
      <c r="R526" t="str">
        <f>VLOOKUP(Titanic_Dataset[[#This Row],[Fare]],Table2[],2,TRUE)</f>
        <v>low</v>
      </c>
      <c r="S526" s="1" t="s">
        <v>15</v>
      </c>
      <c r="T526" s="1" t="s">
        <v>21</v>
      </c>
      <c r="U526" s="1"/>
      <c r="V526" s="1"/>
      <c r="W526" s="1"/>
    </row>
    <row r="527" spans="1:23" x14ac:dyDescent="0.25">
      <c r="A527">
        <v>526</v>
      </c>
      <c r="B527">
        <v>0</v>
      </c>
      <c r="C527" t="str">
        <f>IF(Titanic_Dataset[[#This Row],[Survived]]=1,"Survived","Died")</f>
        <v>Died</v>
      </c>
      <c r="D527">
        <v>3</v>
      </c>
      <c r="E527" t="str">
        <f>IF(Titanic_Dataset[[#This Row],[Pclass]]=1,"1st",IF(Titanic_Dataset[[#This Row],[Pclass]]=2,"2nd",IF(Titanic_Dataset[[#This Row],[Pclass]]=3,"3rd")))</f>
        <v>3rd</v>
      </c>
      <c r="F527" s="1" t="s">
        <v>1073</v>
      </c>
      <c r="G527" s="1" t="str">
        <f>TRIM(MID(Titanic_Dataset[[#This Row],[Name]],
FIND(",",Titanic_Dataset[[#This Row],[Name]])+2,
FIND(".",Titanic_Dataset[[#This Row],[Name]],FIND(",",Titanic_Dataset[[#This Row],[Name]]))-FIND(",",Titanic_Dataset[[#This Row],[Name]])-1))</f>
        <v>Mr.</v>
      </c>
      <c r="H527" s="1" t="s">
        <v>13</v>
      </c>
      <c r="I527">
        <v>40.5</v>
      </c>
      <c r="J527" t="str">
        <f>IF(Titanic_Dataset[[#This Row],[Age]]&lt;12,"0-11",
IF(Titanic_Dataset[[#This Row],[Age]]&lt;20,"12-19",
IF(Titanic_Dataset[[#This Row],[Age]]&lt;30,"20-29",
IF(Titanic_Dataset[[#This Row],[Age]]&lt;40,"30-39",
IF(Titanic_Dataset[[#This Row],[Age]]&lt;50,"40-49",
IF(Titanic_Dataset[[#This Row],[Age]]&lt;60,"50-59",
IF(Titanic_Dataset[[#This Row],[Age]]&lt;70,"60-69",)))))))</f>
        <v>40-49</v>
      </c>
      <c r="K527">
        <v>0</v>
      </c>
      <c r="L527">
        <v>0</v>
      </c>
      <c r="M527">
        <f>Titanic_Dataset[[#This Row],[Parch]]+Titanic_Dataset[[#This Row],[SibSp]]</f>
        <v>0</v>
      </c>
      <c r="N527" s="1" t="s">
        <v>1074</v>
      </c>
      <c r="O527">
        <v>7.75</v>
      </c>
      <c r="P527" t="e">
        <f>IF(Titanic_Dataset[[#This Row],[Survived]]=1,Titanic_Dataset[[#This Row],[Fare]],NA())</f>
        <v>#N/A</v>
      </c>
      <c r="Q527">
        <f>IF(Titanic_Dataset[[#This Row],[Survived]]=0,Titanic_Dataset[[#This Row],[Fare]],NA())</f>
        <v>7.75</v>
      </c>
      <c r="R527" t="str">
        <f>VLOOKUP(Titanic_Dataset[[#This Row],[Fare]],Table2[],2,TRUE)</f>
        <v>low</v>
      </c>
      <c r="S527" s="1" t="s">
        <v>15</v>
      </c>
      <c r="T527" s="1" t="s">
        <v>31</v>
      </c>
      <c r="U527" s="1"/>
      <c r="V527" s="1"/>
      <c r="W527" s="1"/>
    </row>
    <row r="528" spans="1:23" x14ac:dyDescent="0.25">
      <c r="A528">
        <v>527</v>
      </c>
      <c r="B528">
        <v>1</v>
      </c>
      <c r="C528" t="str">
        <f>IF(Titanic_Dataset[[#This Row],[Survived]]=1,"Survived","Died")</f>
        <v>Survived</v>
      </c>
      <c r="D528">
        <v>2</v>
      </c>
      <c r="E528" t="str">
        <f>IF(Titanic_Dataset[[#This Row],[Pclass]]=1,"1st",IF(Titanic_Dataset[[#This Row],[Pclass]]=2,"2nd",IF(Titanic_Dataset[[#This Row],[Pclass]]=3,"3rd")))</f>
        <v>2nd</v>
      </c>
      <c r="F528" s="1" t="s">
        <v>1075</v>
      </c>
      <c r="G528" s="1" t="str">
        <f>TRIM(MID(Titanic_Dataset[[#This Row],[Name]],
FIND(",",Titanic_Dataset[[#This Row],[Name]])+2,
FIND(".",Titanic_Dataset[[#This Row],[Name]],FIND(",",Titanic_Dataset[[#This Row],[Name]]))-FIND(",",Titanic_Dataset[[#This Row],[Name]])-1))</f>
        <v>Miss.</v>
      </c>
      <c r="H528" s="1" t="s">
        <v>18</v>
      </c>
      <c r="I528">
        <v>50</v>
      </c>
      <c r="J528" t="str">
        <f>IF(Titanic_Dataset[[#This Row],[Age]]&lt;12,"0-11",
IF(Titanic_Dataset[[#This Row],[Age]]&lt;20,"12-19",
IF(Titanic_Dataset[[#This Row],[Age]]&lt;30,"20-29",
IF(Titanic_Dataset[[#This Row],[Age]]&lt;40,"30-39",
IF(Titanic_Dataset[[#This Row],[Age]]&lt;50,"40-49",
IF(Titanic_Dataset[[#This Row],[Age]]&lt;60,"50-59",
IF(Titanic_Dataset[[#This Row],[Age]]&lt;70,"60-69",)))))))</f>
        <v>50-59</v>
      </c>
      <c r="K528">
        <v>0</v>
      </c>
      <c r="L528">
        <v>0</v>
      </c>
      <c r="M528">
        <f>Titanic_Dataset[[#This Row],[Parch]]+Titanic_Dataset[[#This Row],[SibSp]]</f>
        <v>0</v>
      </c>
      <c r="N528" s="1" t="s">
        <v>1076</v>
      </c>
      <c r="O528">
        <v>10.5</v>
      </c>
      <c r="P528">
        <f>IF(Titanic_Dataset[[#This Row],[Survived]]=1,Titanic_Dataset[[#This Row],[Fare]],NA())</f>
        <v>10.5</v>
      </c>
      <c r="Q528" t="e">
        <f>IF(Titanic_Dataset[[#This Row],[Survived]]=0,Titanic_Dataset[[#This Row],[Fare]],NA())</f>
        <v>#N/A</v>
      </c>
      <c r="R528" t="str">
        <f>VLOOKUP(Titanic_Dataset[[#This Row],[Fare]],Table2[],2,TRUE)</f>
        <v>medium</v>
      </c>
      <c r="S528" s="1" t="s">
        <v>15</v>
      </c>
      <c r="T528" s="1" t="s">
        <v>16</v>
      </c>
      <c r="U528" s="1"/>
      <c r="V528" s="1"/>
      <c r="W528" s="1"/>
    </row>
    <row r="529" spans="1:23" x14ac:dyDescent="0.25">
      <c r="A529">
        <v>528</v>
      </c>
      <c r="B529">
        <v>0</v>
      </c>
      <c r="C529" t="str">
        <f>IF(Titanic_Dataset[[#This Row],[Survived]]=1,"Survived","Died")</f>
        <v>Died</v>
      </c>
      <c r="D529">
        <v>1</v>
      </c>
      <c r="E529" t="str">
        <f>IF(Titanic_Dataset[[#This Row],[Pclass]]=1,"1st",IF(Titanic_Dataset[[#This Row],[Pclass]]=2,"2nd",IF(Titanic_Dataset[[#This Row],[Pclass]]=3,"3rd")))</f>
        <v>1st</v>
      </c>
      <c r="F529" s="1" t="s">
        <v>1077</v>
      </c>
      <c r="G529" s="1" t="str">
        <f>TRIM(MID(Titanic_Dataset[[#This Row],[Name]],
FIND(",",Titanic_Dataset[[#This Row],[Name]])+2,
FIND(".",Titanic_Dataset[[#This Row],[Name]],FIND(",",Titanic_Dataset[[#This Row],[Name]]))-FIND(",",Titanic_Dataset[[#This Row],[Name]])-1))</f>
        <v>Mr.</v>
      </c>
      <c r="H529" s="1" t="s">
        <v>13</v>
      </c>
      <c r="I529">
        <v>28</v>
      </c>
      <c r="J52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29">
        <v>0</v>
      </c>
      <c r="L529">
        <v>0</v>
      </c>
      <c r="M529">
        <f>Titanic_Dataset[[#This Row],[Parch]]+Titanic_Dataset[[#This Row],[SibSp]]</f>
        <v>0</v>
      </c>
      <c r="N529" s="1" t="s">
        <v>1078</v>
      </c>
      <c r="O529">
        <v>221.7792</v>
      </c>
      <c r="P529" t="e">
        <f>IF(Titanic_Dataset[[#This Row],[Survived]]=1,Titanic_Dataset[[#This Row],[Fare]],NA())</f>
        <v>#N/A</v>
      </c>
      <c r="Q529">
        <f>IF(Titanic_Dataset[[#This Row],[Survived]]=0,Titanic_Dataset[[#This Row],[Fare]],NA())</f>
        <v>221.7792</v>
      </c>
      <c r="R529" t="str">
        <f>VLOOKUP(Titanic_Dataset[[#This Row],[Fare]],Table2[],2,TRUE)</f>
        <v>very hiegh</v>
      </c>
      <c r="S529" s="1" t="s">
        <v>1079</v>
      </c>
      <c r="T529" s="1" t="s">
        <v>16</v>
      </c>
      <c r="U529" s="1"/>
      <c r="V529" s="1"/>
      <c r="W529" s="1"/>
    </row>
    <row r="530" spans="1:23" x14ac:dyDescent="0.25">
      <c r="A530">
        <v>529</v>
      </c>
      <c r="B530">
        <v>0</v>
      </c>
      <c r="C530" t="str">
        <f>IF(Titanic_Dataset[[#This Row],[Survived]]=1,"Survived","Died")</f>
        <v>Died</v>
      </c>
      <c r="D530">
        <v>3</v>
      </c>
      <c r="E530" t="str">
        <f>IF(Titanic_Dataset[[#This Row],[Pclass]]=1,"1st",IF(Titanic_Dataset[[#This Row],[Pclass]]=2,"2nd",IF(Titanic_Dataset[[#This Row],[Pclass]]=3,"3rd")))</f>
        <v>3rd</v>
      </c>
      <c r="F530" s="1" t="s">
        <v>1080</v>
      </c>
      <c r="G530" s="1" t="str">
        <f>TRIM(MID(Titanic_Dataset[[#This Row],[Name]],
FIND(",",Titanic_Dataset[[#This Row],[Name]])+2,
FIND(".",Titanic_Dataset[[#This Row],[Name]],FIND(",",Titanic_Dataset[[#This Row],[Name]]))-FIND(",",Titanic_Dataset[[#This Row],[Name]])-1))</f>
        <v>Mr.</v>
      </c>
      <c r="H530" s="1" t="s">
        <v>13</v>
      </c>
      <c r="I530">
        <v>39</v>
      </c>
      <c r="J530" t="str">
        <f>IF(Titanic_Dataset[[#This Row],[Age]]&lt;12,"0-11",
IF(Titanic_Dataset[[#This Row],[Age]]&lt;20,"12-19",
IF(Titanic_Dataset[[#This Row],[Age]]&lt;30,"20-29",
IF(Titanic_Dataset[[#This Row],[Age]]&lt;40,"30-39",
IF(Titanic_Dataset[[#This Row],[Age]]&lt;50,"40-49",
IF(Titanic_Dataset[[#This Row],[Age]]&lt;60,"50-59",
IF(Titanic_Dataset[[#This Row],[Age]]&lt;70,"60-69",)))))))</f>
        <v>30-39</v>
      </c>
      <c r="K530">
        <v>0</v>
      </c>
      <c r="L530">
        <v>0</v>
      </c>
      <c r="M530">
        <f>Titanic_Dataset[[#This Row],[Parch]]+Titanic_Dataset[[#This Row],[SibSp]]</f>
        <v>0</v>
      </c>
      <c r="N530" s="1" t="s">
        <v>1081</v>
      </c>
      <c r="O530">
        <v>7.9249999999999998</v>
      </c>
      <c r="P530" t="e">
        <f>IF(Titanic_Dataset[[#This Row],[Survived]]=1,Titanic_Dataset[[#This Row],[Fare]],NA())</f>
        <v>#N/A</v>
      </c>
      <c r="Q530">
        <f>IF(Titanic_Dataset[[#This Row],[Survived]]=0,Titanic_Dataset[[#This Row],[Fare]],NA())</f>
        <v>7.9249999999999998</v>
      </c>
      <c r="R530" t="str">
        <f>VLOOKUP(Titanic_Dataset[[#This Row],[Fare]],Table2[],2,TRUE)</f>
        <v>low</v>
      </c>
      <c r="S530" s="1" t="s">
        <v>15</v>
      </c>
      <c r="T530" s="1" t="s">
        <v>16</v>
      </c>
      <c r="U530" s="1"/>
      <c r="V530" s="1"/>
      <c r="W530" s="1"/>
    </row>
    <row r="531" spans="1:23" x14ac:dyDescent="0.25">
      <c r="A531">
        <v>530</v>
      </c>
      <c r="B531">
        <v>0</v>
      </c>
      <c r="C531" t="str">
        <f>IF(Titanic_Dataset[[#This Row],[Survived]]=1,"Survived","Died")</f>
        <v>Died</v>
      </c>
      <c r="D531">
        <v>2</v>
      </c>
      <c r="E531" t="str">
        <f>IF(Titanic_Dataset[[#This Row],[Pclass]]=1,"1st",IF(Titanic_Dataset[[#This Row],[Pclass]]=2,"2nd",IF(Titanic_Dataset[[#This Row],[Pclass]]=3,"3rd")))</f>
        <v>2nd</v>
      </c>
      <c r="F531" s="1" t="s">
        <v>1082</v>
      </c>
      <c r="G531" s="1" t="str">
        <f>TRIM(MID(Titanic_Dataset[[#This Row],[Name]],
FIND(",",Titanic_Dataset[[#This Row],[Name]])+2,
FIND(".",Titanic_Dataset[[#This Row],[Name]],FIND(",",Titanic_Dataset[[#This Row],[Name]]))-FIND(",",Titanic_Dataset[[#This Row],[Name]])-1))</f>
        <v>Mr.</v>
      </c>
      <c r="H531" s="1" t="s">
        <v>13</v>
      </c>
      <c r="I531">
        <v>23</v>
      </c>
      <c r="J53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31">
        <v>2</v>
      </c>
      <c r="L531">
        <v>1</v>
      </c>
      <c r="M531">
        <f>Titanic_Dataset[[#This Row],[Parch]]+Titanic_Dataset[[#This Row],[SibSp]]</f>
        <v>3</v>
      </c>
      <c r="N531" s="1" t="s">
        <v>1083</v>
      </c>
      <c r="O531">
        <v>11.5</v>
      </c>
      <c r="P531" t="e">
        <f>IF(Titanic_Dataset[[#This Row],[Survived]]=1,Titanic_Dataset[[#This Row],[Fare]],NA())</f>
        <v>#N/A</v>
      </c>
      <c r="Q531">
        <f>IF(Titanic_Dataset[[#This Row],[Survived]]=0,Titanic_Dataset[[#This Row],[Fare]],NA())</f>
        <v>11.5</v>
      </c>
      <c r="R531" t="str">
        <f>VLOOKUP(Titanic_Dataset[[#This Row],[Fare]],Table2[],2,TRUE)</f>
        <v>medium</v>
      </c>
      <c r="S531" s="1" t="s">
        <v>15</v>
      </c>
      <c r="T531" s="1" t="s">
        <v>16</v>
      </c>
      <c r="U531" s="1"/>
      <c r="V531" s="1"/>
      <c r="W531" s="1"/>
    </row>
    <row r="532" spans="1:23" x14ac:dyDescent="0.25">
      <c r="A532">
        <v>531</v>
      </c>
      <c r="B532">
        <v>1</v>
      </c>
      <c r="C532" t="str">
        <f>IF(Titanic_Dataset[[#This Row],[Survived]]=1,"Survived","Died")</f>
        <v>Survived</v>
      </c>
      <c r="D532">
        <v>2</v>
      </c>
      <c r="E532" t="str">
        <f>IF(Titanic_Dataset[[#This Row],[Pclass]]=1,"1st",IF(Titanic_Dataset[[#This Row],[Pclass]]=2,"2nd",IF(Titanic_Dataset[[#This Row],[Pclass]]=3,"3rd")))</f>
        <v>2nd</v>
      </c>
      <c r="F532" s="1" t="s">
        <v>1084</v>
      </c>
      <c r="G532" s="1" t="str">
        <f>TRIM(MID(Titanic_Dataset[[#This Row],[Name]],
FIND(",",Titanic_Dataset[[#This Row],[Name]])+2,
FIND(".",Titanic_Dataset[[#This Row],[Name]],FIND(",",Titanic_Dataset[[#This Row],[Name]]))-FIND(",",Titanic_Dataset[[#This Row],[Name]])-1))</f>
        <v>Miss.</v>
      </c>
      <c r="H532" s="1" t="s">
        <v>18</v>
      </c>
      <c r="I532">
        <v>2</v>
      </c>
      <c r="J532" t="str">
        <f>IF(Titanic_Dataset[[#This Row],[Age]]&lt;12,"0-11",
IF(Titanic_Dataset[[#This Row],[Age]]&lt;20,"12-19",
IF(Titanic_Dataset[[#This Row],[Age]]&lt;30,"20-29",
IF(Titanic_Dataset[[#This Row],[Age]]&lt;40,"30-39",
IF(Titanic_Dataset[[#This Row],[Age]]&lt;50,"40-49",
IF(Titanic_Dataset[[#This Row],[Age]]&lt;60,"50-59",
IF(Titanic_Dataset[[#This Row],[Age]]&lt;70,"60-69",)))))))</f>
        <v>0-11</v>
      </c>
      <c r="K532">
        <v>1</v>
      </c>
      <c r="L532">
        <v>1</v>
      </c>
      <c r="M532">
        <f>Titanic_Dataset[[#This Row],[Parch]]+Titanic_Dataset[[#This Row],[SibSp]]</f>
        <v>2</v>
      </c>
      <c r="N532" s="1" t="s">
        <v>1036</v>
      </c>
      <c r="O532">
        <v>26</v>
      </c>
      <c r="P532">
        <f>IF(Titanic_Dataset[[#This Row],[Survived]]=1,Titanic_Dataset[[#This Row],[Fare]],NA())</f>
        <v>26</v>
      </c>
      <c r="Q532" t="e">
        <f>IF(Titanic_Dataset[[#This Row],[Survived]]=0,Titanic_Dataset[[#This Row],[Fare]],NA())</f>
        <v>#N/A</v>
      </c>
      <c r="R532" t="str">
        <f>VLOOKUP(Titanic_Dataset[[#This Row],[Fare]],Table2[],2,TRUE)</f>
        <v>high</v>
      </c>
      <c r="S532" s="1" t="s">
        <v>15</v>
      </c>
      <c r="T532" s="1" t="s">
        <v>16</v>
      </c>
      <c r="U532" s="1"/>
      <c r="V532" s="1"/>
      <c r="W532" s="1"/>
    </row>
    <row r="533" spans="1:23" x14ac:dyDescent="0.25">
      <c r="A533">
        <v>532</v>
      </c>
      <c r="B533">
        <v>0</v>
      </c>
      <c r="C533" t="str">
        <f>IF(Titanic_Dataset[[#This Row],[Survived]]=1,"Survived","Died")</f>
        <v>Died</v>
      </c>
      <c r="D533">
        <v>3</v>
      </c>
      <c r="E533" t="str">
        <f>IF(Titanic_Dataset[[#This Row],[Pclass]]=1,"1st",IF(Titanic_Dataset[[#This Row],[Pclass]]=2,"2nd",IF(Titanic_Dataset[[#This Row],[Pclass]]=3,"3rd")))</f>
        <v>3rd</v>
      </c>
      <c r="F533" s="1" t="s">
        <v>1085</v>
      </c>
      <c r="G533" s="1" t="str">
        <f>TRIM(MID(Titanic_Dataset[[#This Row],[Name]],
FIND(",",Titanic_Dataset[[#This Row],[Name]])+2,
FIND(".",Titanic_Dataset[[#This Row],[Name]],FIND(",",Titanic_Dataset[[#This Row],[Name]]))-FIND(",",Titanic_Dataset[[#This Row],[Name]])-1))</f>
        <v>Mr.</v>
      </c>
      <c r="H533" s="1" t="s">
        <v>13</v>
      </c>
      <c r="I533">
        <v>28</v>
      </c>
      <c r="J53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33">
        <v>0</v>
      </c>
      <c r="L533">
        <v>0</v>
      </c>
      <c r="M533">
        <f>Titanic_Dataset[[#This Row],[Parch]]+Titanic_Dataset[[#This Row],[SibSp]]</f>
        <v>0</v>
      </c>
      <c r="N533" s="1" t="s">
        <v>1086</v>
      </c>
      <c r="O533">
        <v>7.2291999999999996</v>
      </c>
      <c r="P533" t="e">
        <f>IF(Titanic_Dataset[[#This Row],[Survived]]=1,Titanic_Dataset[[#This Row],[Fare]],NA())</f>
        <v>#N/A</v>
      </c>
      <c r="Q533">
        <f>IF(Titanic_Dataset[[#This Row],[Survived]]=0,Titanic_Dataset[[#This Row],[Fare]],NA())</f>
        <v>7.2291999999999996</v>
      </c>
      <c r="R533" t="str">
        <f>VLOOKUP(Titanic_Dataset[[#This Row],[Fare]],Table2[],2,TRUE)</f>
        <v>low</v>
      </c>
      <c r="S533" s="1" t="s">
        <v>15</v>
      </c>
      <c r="T533" s="1" t="s">
        <v>21</v>
      </c>
      <c r="U533" s="1"/>
      <c r="V533" s="1"/>
      <c r="W533" s="1"/>
    </row>
    <row r="534" spans="1:23" x14ac:dyDescent="0.25">
      <c r="A534">
        <v>533</v>
      </c>
      <c r="B534">
        <v>0</v>
      </c>
      <c r="C534" t="str">
        <f>IF(Titanic_Dataset[[#This Row],[Survived]]=1,"Survived","Died")</f>
        <v>Died</v>
      </c>
      <c r="D534">
        <v>3</v>
      </c>
      <c r="E534" t="str">
        <f>IF(Titanic_Dataset[[#This Row],[Pclass]]=1,"1st",IF(Titanic_Dataset[[#This Row],[Pclass]]=2,"2nd",IF(Titanic_Dataset[[#This Row],[Pclass]]=3,"3rd")))</f>
        <v>3rd</v>
      </c>
      <c r="F534" s="1" t="s">
        <v>1087</v>
      </c>
      <c r="G534" s="1" t="str">
        <f>TRIM(MID(Titanic_Dataset[[#This Row],[Name]],
FIND(",",Titanic_Dataset[[#This Row],[Name]])+2,
FIND(".",Titanic_Dataset[[#This Row],[Name]],FIND(",",Titanic_Dataset[[#This Row],[Name]]))-FIND(",",Titanic_Dataset[[#This Row],[Name]])-1))</f>
        <v>Mr.</v>
      </c>
      <c r="H534" s="1" t="s">
        <v>13</v>
      </c>
      <c r="I534">
        <v>17</v>
      </c>
      <c r="J534" t="str">
        <f>IF(Titanic_Dataset[[#This Row],[Age]]&lt;12,"0-11",
IF(Titanic_Dataset[[#This Row],[Age]]&lt;20,"12-19",
IF(Titanic_Dataset[[#This Row],[Age]]&lt;30,"20-29",
IF(Titanic_Dataset[[#This Row],[Age]]&lt;40,"30-39",
IF(Titanic_Dataset[[#This Row],[Age]]&lt;50,"40-49",
IF(Titanic_Dataset[[#This Row],[Age]]&lt;60,"50-59",
IF(Titanic_Dataset[[#This Row],[Age]]&lt;70,"60-69",)))))))</f>
        <v>12-19</v>
      </c>
      <c r="K534">
        <v>1</v>
      </c>
      <c r="L534">
        <v>1</v>
      </c>
      <c r="M534">
        <f>Titanic_Dataset[[#This Row],[Parch]]+Titanic_Dataset[[#This Row],[SibSp]]</f>
        <v>2</v>
      </c>
      <c r="N534" s="1" t="s">
        <v>1088</v>
      </c>
      <c r="O534">
        <v>7.2291999999999996</v>
      </c>
      <c r="P534" t="e">
        <f>IF(Titanic_Dataset[[#This Row],[Survived]]=1,Titanic_Dataset[[#This Row],[Fare]],NA())</f>
        <v>#N/A</v>
      </c>
      <c r="Q534">
        <f>IF(Titanic_Dataset[[#This Row],[Survived]]=0,Titanic_Dataset[[#This Row],[Fare]],NA())</f>
        <v>7.2291999999999996</v>
      </c>
      <c r="R534" t="str">
        <f>VLOOKUP(Titanic_Dataset[[#This Row],[Fare]],Table2[],2,TRUE)</f>
        <v>low</v>
      </c>
      <c r="S534" s="1" t="s">
        <v>15</v>
      </c>
      <c r="T534" s="1" t="s">
        <v>21</v>
      </c>
      <c r="U534" s="1"/>
      <c r="V534" s="1"/>
      <c r="W534" s="1"/>
    </row>
    <row r="535" spans="1:23" x14ac:dyDescent="0.25">
      <c r="A535">
        <v>534</v>
      </c>
      <c r="B535">
        <v>1</v>
      </c>
      <c r="C535" t="str">
        <f>IF(Titanic_Dataset[[#This Row],[Survived]]=1,"Survived","Died")</f>
        <v>Survived</v>
      </c>
      <c r="D535">
        <v>3</v>
      </c>
      <c r="E535" t="str">
        <f>IF(Titanic_Dataset[[#This Row],[Pclass]]=1,"1st",IF(Titanic_Dataset[[#This Row],[Pclass]]=2,"2nd",IF(Titanic_Dataset[[#This Row],[Pclass]]=3,"3rd")))</f>
        <v>3rd</v>
      </c>
      <c r="F535" s="1" t="s">
        <v>1089</v>
      </c>
      <c r="G535" s="1" t="str">
        <f>TRIM(MID(Titanic_Dataset[[#This Row],[Name]],
FIND(",",Titanic_Dataset[[#This Row],[Name]])+2,
FIND(".",Titanic_Dataset[[#This Row],[Name]],FIND(",",Titanic_Dataset[[#This Row],[Name]]))-FIND(",",Titanic_Dataset[[#This Row],[Name]])-1))</f>
        <v>Mrs.</v>
      </c>
      <c r="H535" s="1" t="s">
        <v>18</v>
      </c>
      <c r="I535">
        <v>28</v>
      </c>
      <c r="J53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35">
        <v>0</v>
      </c>
      <c r="L535">
        <v>2</v>
      </c>
      <c r="M535">
        <f>Titanic_Dataset[[#This Row],[Parch]]+Titanic_Dataset[[#This Row],[SibSp]]</f>
        <v>2</v>
      </c>
      <c r="N535" s="1" t="s">
        <v>289</v>
      </c>
      <c r="O535">
        <v>22.3583</v>
      </c>
      <c r="P535">
        <f>IF(Titanic_Dataset[[#This Row],[Survived]]=1,Titanic_Dataset[[#This Row],[Fare]],NA())</f>
        <v>22.3583</v>
      </c>
      <c r="Q535" t="e">
        <f>IF(Titanic_Dataset[[#This Row],[Survived]]=0,Titanic_Dataset[[#This Row],[Fare]],NA())</f>
        <v>#N/A</v>
      </c>
      <c r="R535" t="str">
        <f>VLOOKUP(Titanic_Dataset[[#This Row],[Fare]],Table2[],2,TRUE)</f>
        <v>high</v>
      </c>
      <c r="S535" s="1" t="s">
        <v>15</v>
      </c>
      <c r="T535" s="1" t="s">
        <v>21</v>
      </c>
      <c r="U535" s="1"/>
      <c r="V535" s="1"/>
      <c r="W535" s="1"/>
    </row>
    <row r="536" spans="1:23" x14ac:dyDescent="0.25">
      <c r="A536">
        <v>535</v>
      </c>
      <c r="B536">
        <v>0</v>
      </c>
      <c r="C536" t="str">
        <f>IF(Titanic_Dataset[[#This Row],[Survived]]=1,"Survived","Died")</f>
        <v>Died</v>
      </c>
      <c r="D536">
        <v>3</v>
      </c>
      <c r="E536" t="str">
        <f>IF(Titanic_Dataset[[#This Row],[Pclass]]=1,"1st",IF(Titanic_Dataset[[#This Row],[Pclass]]=2,"2nd",IF(Titanic_Dataset[[#This Row],[Pclass]]=3,"3rd")))</f>
        <v>3rd</v>
      </c>
      <c r="F536" s="1" t="s">
        <v>1090</v>
      </c>
      <c r="G536" s="1" t="str">
        <f>TRIM(MID(Titanic_Dataset[[#This Row],[Name]],
FIND(",",Titanic_Dataset[[#This Row],[Name]])+2,
FIND(".",Titanic_Dataset[[#This Row],[Name]],FIND(",",Titanic_Dataset[[#This Row],[Name]]))-FIND(",",Titanic_Dataset[[#This Row],[Name]])-1))</f>
        <v>Miss.</v>
      </c>
      <c r="H536" s="1" t="s">
        <v>18</v>
      </c>
      <c r="I536">
        <v>30</v>
      </c>
      <c r="J536" t="str">
        <f>IF(Titanic_Dataset[[#This Row],[Age]]&lt;12,"0-11",
IF(Titanic_Dataset[[#This Row],[Age]]&lt;20,"12-19",
IF(Titanic_Dataset[[#This Row],[Age]]&lt;30,"20-29",
IF(Titanic_Dataset[[#This Row],[Age]]&lt;40,"30-39",
IF(Titanic_Dataset[[#This Row],[Age]]&lt;50,"40-49",
IF(Titanic_Dataset[[#This Row],[Age]]&lt;60,"50-59",
IF(Titanic_Dataset[[#This Row],[Age]]&lt;70,"60-69",)))))))</f>
        <v>30-39</v>
      </c>
      <c r="K536">
        <v>0</v>
      </c>
      <c r="L536">
        <v>0</v>
      </c>
      <c r="M536">
        <f>Titanic_Dataset[[#This Row],[Parch]]+Titanic_Dataset[[#This Row],[SibSp]]</f>
        <v>0</v>
      </c>
      <c r="N536" s="1" t="s">
        <v>1091</v>
      </c>
      <c r="O536">
        <v>8.6624999999999996</v>
      </c>
      <c r="P536" t="e">
        <f>IF(Titanic_Dataset[[#This Row],[Survived]]=1,Titanic_Dataset[[#This Row],[Fare]],NA())</f>
        <v>#N/A</v>
      </c>
      <c r="Q536">
        <f>IF(Titanic_Dataset[[#This Row],[Survived]]=0,Titanic_Dataset[[#This Row],[Fare]],NA())</f>
        <v>8.6624999999999996</v>
      </c>
      <c r="R536" t="str">
        <f>VLOOKUP(Titanic_Dataset[[#This Row],[Fare]],Table2[],2,TRUE)</f>
        <v>medium</v>
      </c>
      <c r="S536" s="1" t="s">
        <v>15</v>
      </c>
      <c r="T536" s="1" t="s">
        <v>16</v>
      </c>
      <c r="U536" s="1"/>
      <c r="V536" s="1"/>
      <c r="W536" s="1"/>
    </row>
    <row r="537" spans="1:23" x14ac:dyDescent="0.25">
      <c r="A537">
        <v>536</v>
      </c>
      <c r="B537">
        <v>1</v>
      </c>
      <c r="C537" t="str">
        <f>IF(Titanic_Dataset[[#This Row],[Survived]]=1,"Survived","Died")</f>
        <v>Survived</v>
      </c>
      <c r="D537">
        <v>2</v>
      </c>
      <c r="E537" t="str">
        <f>IF(Titanic_Dataset[[#This Row],[Pclass]]=1,"1st",IF(Titanic_Dataset[[#This Row],[Pclass]]=2,"2nd",IF(Titanic_Dataset[[#This Row],[Pclass]]=3,"3rd")))</f>
        <v>2nd</v>
      </c>
      <c r="F537" s="1" t="s">
        <v>1092</v>
      </c>
      <c r="G537" s="1" t="str">
        <f>TRIM(MID(Titanic_Dataset[[#This Row],[Name]],
FIND(",",Titanic_Dataset[[#This Row],[Name]])+2,
FIND(".",Titanic_Dataset[[#This Row],[Name]],FIND(",",Titanic_Dataset[[#This Row],[Name]]))-FIND(",",Titanic_Dataset[[#This Row],[Name]])-1))</f>
        <v>Miss.</v>
      </c>
      <c r="H537" s="1" t="s">
        <v>18</v>
      </c>
      <c r="I537">
        <v>7</v>
      </c>
      <c r="J537" t="str">
        <f>IF(Titanic_Dataset[[#This Row],[Age]]&lt;12,"0-11",
IF(Titanic_Dataset[[#This Row],[Age]]&lt;20,"12-19",
IF(Titanic_Dataset[[#This Row],[Age]]&lt;30,"20-29",
IF(Titanic_Dataset[[#This Row],[Age]]&lt;40,"30-39",
IF(Titanic_Dataset[[#This Row],[Age]]&lt;50,"40-49",
IF(Titanic_Dataset[[#This Row],[Age]]&lt;60,"50-59",
IF(Titanic_Dataset[[#This Row],[Age]]&lt;70,"60-69",)))))))</f>
        <v>0-11</v>
      </c>
      <c r="K537">
        <v>0</v>
      </c>
      <c r="L537">
        <v>2</v>
      </c>
      <c r="M537">
        <f>Titanic_Dataset[[#This Row],[Parch]]+Titanic_Dataset[[#This Row],[SibSp]]</f>
        <v>2</v>
      </c>
      <c r="N537" s="1" t="s">
        <v>672</v>
      </c>
      <c r="O537">
        <v>26.25</v>
      </c>
      <c r="P537">
        <f>IF(Titanic_Dataset[[#This Row],[Survived]]=1,Titanic_Dataset[[#This Row],[Fare]],NA())</f>
        <v>26.25</v>
      </c>
      <c r="Q537" t="e">
        <f>IF(Titanic_Dataset[[#This Row],[Survived]]=0,Titanic_Dataset[[#This Row],[Fare]],NA())</f>
        <v>#N/A</v>
      </c>
      <c r="R537" t="str">
        <f>VLOOKUP(Titanic_Dataset[[#This Row],[Fare]],Table2[],2,TRUE)</f>
        <v>high</v>
      </c>
      <c r="S537" s="1" t="s">
        <v>15</v>
      </c>
      <c r="T537" s="1" t="s">
        <v>16</v>
      </c>
      <c r="U537" s="1"/>
      <c r="V537" s="1"/>
      <c r="W537" s="1"/>
    </row>
    <row r="538" spans="1:23" x14ac:dyDescent="0.25">
      <c r="A538">
        <v>537</v>
      </c>
      <c r="B538">
        <v>0</v>
      </c>
      <c r="C538" t="str">
        <f>IF(Titanic_Dataset[[#This Row],[Survived]]=1,"Survived","Died")</f>
        <v>Died</v>
      </c>
      <c r="D538">
        <v>1</v>
      </c>
      <c r="E538" t="str">
        <f>IF(Titanic_Dataset[[#This Row],[Pclass]]=1,"1st",IF(Titanic_Dataset[[#This Row],[Pclass]]=2,"2nd",IF(Titanic_Dataset[[#This Row],[Pclass]]=3,"3rd")))</f>
        <v>1st</v>
      </c>
      <c r="F538" s="1" t="s">
        <v>1093</v>
      </c>
      <c r="G538" s="1" t="str">
        <f>TRIM(MID(Titanic_Dataset[[#This Row],[Name]],
FIND(",",Titanic_Dataset[[#This Row],[Name]])+2,
FIND(".",Titanic_Dataset[[#This Row],[Name]],FIND(",",Titanic_Dataset[[#This Row],[Name]]))-FIND(",",Titanic_Dataset[[#This Row],[Name]])-1))</f>
        <v>Major.</v>
      </c>
      <c r="H538" s="1" t="s">
        <v>13</v>
      </c>
      <c r="I538">
        <v>45</v>
      </c>
      <c r="J538" t="str">
        <f>IF(Titanic_Dataset[[#This Row],[Age]]&lt;12,"0-11",
IF(Titanic_Dataset[[#This Row],[Age]]&lt;20,"12-19",
IF(Titanic_Dataset[[#This Row],[Age]]&lt;30,"20-29",
IF(Titanic_Dataset[[#This Row],[Age]]&lt;40,"30-39",
IF(Titanic_Dataset[[#This Row],[Age]]&lt;50,"40-49",
IF(Titanic_Dataset[[#This Row],[Age]]&lt;60,"50-59",
IF(Titanic_Dataset[[#This Row],[Age]]&lt;70,"60-69",)))))))</f>
        <v>40-49</v>
      </c>
      <c r="K538">
        <v>0</v>
      </c>
      <c r="L538">
        <v>0</v>
      </c>
      <c r="M538">
        <f>Titanic_Dataset[[#This Row],[Parch]]+Titanic_Dataset[[#This Row],[SibSp]]</f>
        <v>0</v>
      </c>
      <c r="N538" s="1" t="s">
        <v>1094</v>
      </c>
      <c r="O538">
        <v>26.55</v>
      </c>
      <c r="P538" t="e">
        <f>IF(Titanic_Dataset[[#This Row],[Survived]]=1,Titanic_Dataset[[#This Row],[Fare]],NA())</f>
        <v>#N/A</v>
      </c>
      <c r="Q538">
        <f>IF(Titanic_Dataset[[#This Row],[Survived]]=0,Titanic_Dataset[[#This Row],[Fare]],NA())</f>
        <v>26.55</v>
      </c>
      <c r="R538" t="str">
        <f>VLOOKUP(Titanic_Dataset[[#This Row],[Fare]],Table2[],2,TRUE)</f>
        <v>high</v>
      </c>
      <c r="S538" s="1" t="s">
        <v>1095</v>
      </c>
      <c r="T538" s="1" t="s">
        <v>16</v>
      </c>
      <c r="U538" s="1"/>
      <c r="V538" s="1"/>
      <c r="W538" s="1"/>
    </row>
    <row r="539" spans="1:23" x14ac:dyDescent="0.25">
      <c r="A539">
        <v>538</v>
      </c>
      <c r="B539">
        <v>1</v>
      </c>
      <c r="C539" t="str">
        <f>IF(Titanic_Dataset[[#This Row],[Survived]]=1,"Survived","Died")</f>
        <v>Survived</v>
      </c>
      <c r="D539">
        <v>1</v>
      </c>
      <c r="E539" t="str">
        <f>IF(Titanic_Dataset[[#This Row],[Pclass]]=1,"1st",IF(Titanic_Dataset[[#This Row],[Pclass]]=2,"2nd",IF(Titanic_Dataset[[#This Row],[Pclass]]=3,"3rd")))</f>
        <v>1st</v>
      </c>
      <c r="F539" s="1" t="s">
        <v>1096</v>
      </c>
      <c r="G539" s="1" t="str">
        <f>TRIM(MID(Titanic_Dataset[[#This Row],[Name]],
FIND(",",Titanic_Dataset[[#This Row],[Name]])+2,
FIND(".",Titanic_Dataset[[#This Row],[Name]],FIND(",",Titanic_Dataset[[#This Row],[Name]]))-FIND(",",Titanic_Dataset[[#This Row],[Name]])-1))</f>
        <v>Miss.</v>
      </c>
      <c r="H539" s="1" t="s">
        <v>18</v>
      </c>
      <c r="I539">
        <v>30</v>
      </c>
      <c r="J539" t="str">
        <f>IF(Titanic_Dataset[[#This Row],[Age]]&lt;12,"0-11",
IF(Titanic_Dataset[[#This Row],[Age]]&lt;20,"12-19",
IF(Titanic_Dataset[[#This Row],[Age]]&lt;30,"20-29",
IF(Titanic_Dataset[[#This Row],[Age]]&lt;40,"30-39",
IF(Titanic_Dataset[[#This Row],[Age]]&lt;50,"40-49",
IF(Titanic_Dataset[[#This Row],[Age]]&lt;60,"50-59",
IF(Titanic_Dataset[[#This Row],[Age]]&lt;70,"60-69",)))))))</f>
        <v>30-39</v>
      </c>
      <c r="K539">
        <v>0</v>
      </c>
      <c r="L539">
        <v>0</v>
      </c>
      <c r="M539">
        <f>Titanic_Dataset[[#This Row],[Parch]]+Titanic_Dataset[[#This Row],[SibSp]]</f>
        <v>0</v>
      </c>
      <c r="N539" s="1" t="s">
        <v>1097</v>
      </c>
      <c r="O539">
        <v>106.425</v>
      </c>
      <c r="P539">
        <f>IF(Titanic_Dataset[[#This Row],[Survived]]=1,Titanic_Dataset[[#This Row],[Fare]],NA())</f>
        <v>106.425</v>
      </c>
      <c r="Q539" t="e">
        <f>IF(Titanic_Dataset[[#This Row],[Survived]]=0,Titanic_Dataset[[#This Row],[Fare]],NA())</f>
        <v>#N/A</v>
      </c>
      <c r="R539" t="str">
        <f>VLOOKUP(Titanic_Dataset[[#This Row],[Fare]],Table2[],2,TRUE)</f>
        <v>very hiegh</v>
      </c>
      <c r="S539" s="1" t="s">
        <v>15</v>
      </c>
      <c r="T539" s="1" t="s">
        <v>21</v>
      </c>
      <c r="U539" s="1"/>
      <c r="V539" s="1"/>
      <c r="W539" s="1"/>
    </row>
    <row r="540" spans="1:23" x14ac:dyDescent="0.25">
      <c r="A540">
        <v>539</v>
      </c>
      <c r="B540">
        <v>0</v>
      </c>
      <c r="C540" t="str">
        <f>IF(Titanic_Dataset[[#This Row],[Survived]]=1,"Survived","Died")</f>
        <v>Died</v>
      </c>
      <c r="D540">
        <v>3</v>
      </c>
      <c r="E540" t="str">
        <f>IF(Titanic_Dataset[[#This Row],[Pclass]]=1,"1st",IF(Titanic_Dataset[[#This Row],[Pclass]]=2,"2nd",IF(Titanic_Dataset[[#This Row],[Pclass]]=3,"3rd")))</f>
        <v>3rd</v>
      </c>
      <c r="F540" s="1" t="s">
        <v>1098</v>
      </c>
      <c r="G540" s="1" t="str">
        <f>TRIM(MID(Titanic_Dataset[[#This Row],[Name]],
FIND(",",Titanic_Dataset[[#This Row],[Name]])+2,
FIND(".",Titanic_Dataset[[#This Row],[Name]],FIND(",",Titanic_Dataset[[#This Row],[Name]]))-FIND(",",Titanic_Dataset[[#This Row],[Name]])-1))</f>
        <v>Mr.</v>
      </c>
      <c r="H540" s="1" t="s">
        <v>13</v>
      </c>
      <c r="I540">
        <v>28</v>
      </c>
      <c r="J54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40">
        <v>0</v>
      </c>
      <c r="L540">
        <v>0</v>
      </c>
      <c r="M540">
        <f>Titanic_Dataset[[#This Row],[Parch]]+Titanic_Dataset[[#This Row],[SibSp]]</f>
        <v>0</v>
      </c>
      <c r="N540" s="1" t="s">
        <v>1099</v>
      </c>
      <c r="O540">
        <v>14.5</v>
      </c>
      <c r="P540" t="e">
        <f>IF(Titanic_Dataset[[#This Row],[Survived]]=1,Titanic_Dataset[[#This Row],[Fare]],NA())</f>
        <v>#N/A</v>
      </c>
      <c r="Q540">
        <f>IF(Titanic_Dataset[[#This Row],[Survived]]=0,Titanic_Dataset[[#This Row],[Fare]],NA())</f>
        <v>14.5</v>
      </c>
      <c r="R540" t="str">
        <f>VLOOKUP(Titanic_Dataset[[#This Row],[Fare]],Table2[],2,TRUE)</f>
        <v>medium</v>
      </c>
      <c r="S540" s="1" t="s">
        <v>15</v>
      </c>
      <c r="T540" s="1" t="s">
        <v>16</v>
      </c>
      <c r="U540" s="1"/>
      <c r="V540" s="1"/>
      <c r="W540" s="1"/>
    </row>
    <row r="541" spans="1:23" x14ac:dyDescent="0.25">
      <c r="A541">
        <v>540</v>
      </c>
      <c r="B541">
        <v>1</v>
      </c>
      <c r="C541" t="str">
        <f>IF(Titanic_Dataset[[#This Row],[Survived]]=1,"Survived","Died")</f>
        <v>Survived</v>
      </c>
      <c r="D541">
        <v>1</v>
      </c>
      <c r="E541" t="str">
        <f>IF(Titanic_Dataset[[#This Row],[Pclass]]=1,"1st",IF(Titanic_Dataset[[#This Row],[Pclass]]=2,"2nd",IF(Titanic_Dataset[[#This Row],[Pclass]]=3,"3rd")))</f>
        <v>1st</v>
      </c>
      <c r="F541" s="1" t="s">
        <v>1100</v>
      </c>
      <c r="G541" s="1" t="str">
        <f>TRIM(MID(Titanic_Dataset[[#This Row],[Name]],
FIND(",",Titanic_Dataset[[#This Row],[Name]])+2,
FIND(".",Titanic_Dataset[[#This Row],[Name]],FIND(",",Titanic_Dataset[[#This Row],[Name]]))-FIND(",",Titanic_Dataset[[#This Row],[Name]])-1))</f>
        <v>Miss.</v>
      </c>
      <c r="H541" s="1" t="s">
        <v>18</v>
      </c>
      <c r="I541">
        <v>22</v>
      </c>
      <c r="J54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41">
        <v>0</v>
      </c>
      <c r="L541">
        <v>2</v>
      </c>
      <c r="M541">
        <f>Titanic_Dataset[[#This Row],[Parch]]+Titanic_Dataset[[#This Row],[SibSp]]</f>
        <v>2</v>
      </c>
      <c r="N541" s="1" t="s">
        <v>1101</v>
      </c>
      <c r="O541">
        <v>49.5</v>
      </c>
      <c r="P541">
        <f>IF(Titanic_Dataset[[#This Row],[Survived]]=1,Titanic_Dataset[[#This Row],[Fare]],NA())</f>
        <v>49.5</v>
      </c>
      <c r="Q541" t="e">
        <f>IF(Titanic_Dataset[[#This Row],[Survived]]=0,Titanic_Dataset[[#This Row],[Fare]],NA())</f>
        <v>#N/A</v>
      </c>
      <c r="R541" t="str">
        <f>VLOOKUP(Titanic_Dataset[[#This Row],[Fare]],Table2[],2,TRUE)</f>
        <v>very hiegh</v>
      </c>
      <c r="S541" s="1" t="s">
        <v>1102</v>
      </c>
      <c r="T541" s="1" t="s">
        <v>21</v>
      </c>
      <c r="U541" s="1"/>
      <c r="V541" s="1"/>
      <c r="W541" s="1"/>
    </row>
    <row r="542" spans="1:23" x14ac:dyDescent="0.25">
      <c r="A542">
        <v>541</v>
      </c>
      <c r="B542">
        <v>1</v>
      </c>
      <c r="C542" t="str">
        <f>IF(Titanic_Dataset[[#This Row],[Survived]]=1,"Survived","Died")</f>
        <v>Survived</v>
      </c>
      <c r="D542">
        <v>1</v>
      </c>
      <c r="E542" t="str">
        <f>IF(Titanic_Dataset[[#This Row],[Pclass]]=1,"1st",IF(Titanic_Dataset[[#This Row],[Pclass]]=2,"2nd",IF(Titanic_Dataset[[#This Row],[Pclass]]=3,"3rd")))</f>
        <v>1st</v>
      </c>
      <c r="F542" s="1" t="s">
        <v>1103</v>
      </c>
      <c r="G542" s="1" t="str">
        <f>TRIM(MID(Titanic_Dataset[[#This Row],[Name]],
FIND(",",Titanic_Dataset[[#This Row],[Name]])+2,
FIND(".",Titanic_Dataset[[#This Row],[Name]],FIND(",",Titanic_Dataset[[#This Row],[Name]]))-FIND(",",Titanic_Dataset[[#This Row],[Name]])-1))</f>
        <v>Miss.</v>
      </c>
      <c r="H542" s="1" t="s">
        <v>18</v>
      </c>
      <c r="I542">
        <v>36</v>
      </c>
      <c r="J542" t="str">
        <f>IF(Titanic_Dataset[[#This Row],[Age]]&lt;12,"0-11",
IF(Titanic_Dataset[[#This Row],[Age]]&lt;20,"12-19",
IF(Titanic_Dataset[[#This Row],[Age]]&lt;30,"20-29",
IF(Titanic_Dataset[[#This Row],[Age]]&lt;40,"30-39",
IF(Titanic_Dataset[[#This Row],[Age]]&lt;50,"40-49",
IF(Titanic_Dataset[[#This Row],[Age]]&lt;60,"50-59",
IF(Titanic_Dataset[[#This Row],[Age]]&lt;70,"60-69",)))))))</f>
        <v>30-39</v>
      </c>
      <c r="K542">
        <v>0</v>
      </c>
      <c r="L542">
        <v>2</v>
      </c>
      <c r="M542">
        <f>Titanic_Dataset[[#This Row],[Parch]]+Titanic_Dataset[[#This Row],[SibSp]]</f>
        <v>2</v>
      </c>
      <c r="N542" s="1" t="s">
        <v>1104</v>
      </c>
      <c r="O542">
        <v>71</v>
      </c>
      <c r="P542">
        <f>IF(Titanic_Dataset[[#This Row],[Survived]]=1,Titanic_Dataset[[#This Row],[Fare]],NA())</f>
        <v>71</v>
      </c>
      <c r="Q542" t="e">
        <f>IF(Titanic_Dataset[[#This Row],[Survived]]=0,Titanic_Dataset[[#This Row],[Fare]],NA())</f>
        <v>#N/A</v>
      </c>
      <c r="R542" t="str">
        <f>VLOOKUP(Titanic_Dataset[[#This Row],[Fare]],Table2[],2,TRUE)</f>
        <v>very hiegh</v>
      </c>
      <c r="S542" s="1" t="s">
        <v>1105</v>
      </c>
      <c r="T542" s="1" t="s">
        <v>16</v>
      </c>
      <c r="U542" s="1"/>
      <c r="V542" s="1"/>
      <c r="W542" s="1"/>
    </row>
    <row r="543" spans="1:23" x14ac:dyDescent="0.25">
      <c r="A543">
        <v>542</v>
      </c>
      <c r="B543">
        <v>0</v>
      </c>
      <c r="C543" t="str">
        <f>IF(Titanic_Dataset[[#This Row],[Survived]]=1,"Survived","Died")</f>
        <v>Died</v>
      </c>
      <c r="D543">
        <v>3</v>
      </c>
      <c r="E543" t="str">
        <f>IF(Titanic_Dataset[[#This Row],[Pclass]]=1,"1st",IF(Titanic_Dataset[[#This Row],[Pclass]]=2,"2nd",IF(Titanic_Dataset[[#This Row],[Pclass]]=3,"3rd")))</f>
        <v>3rd</v>
      </c>
      <c r="F543" s="1" t="s">
        <v>1106</v>
      </c>
      <c r="G543" s="1" t="str">
        <f>TRIM(MID(Titanic_Dataset[[#This Row],[Name]],
FIND(",",Titanic_Dataset[[#This Row],[Name]])+2,
FIND(".",Titanic_Dataset[[#This Row],[Name]],FIND(",",Titanic_Dataset[[#This Row],[Name]]))-FIND(",",Titanic_Dataset[[#This Row],[Name]])-1))</f>
        <v>Miss.</v>
      </c>
      <c r="H543" s="1" t="s">
        <v>18</v>
      </c>
      <c r="I543">
        <v>9</v>
      </c>
      <c r="J543" t="str">
        <f>IF(Titanic_Dataset[[#This Row],[Age]]&lt;12,"0-11",
IF(Titanic_Dataset[[#This Row],[Age]]&lt;20,"12-19",
IF(Titanic_Dataset[[#This Row],[Age]]&lt;30,"20-29",
IF(Titanic_Dataset[[#This Row],[Age]]&lt;40,"30-39",
IF(Titanic_Dataset[[#This Row],[Age]]&lt;50,"40-49",
IF(Titanic_Dataset[[#This Row],[Age]]&lt;60,"50-59",
IF(Titanic_Dataset[[#This Row],[Age]]&lt;70,"60-69",)))))))</f>
        <v>0-11</v>
      </c>
      <c r="K543">
        <v>4</v>
      </c>
      <c r="L543">
        <v>2</v>
      </c>
      <c r="M543">
        <f>Titanic_Dataset[[#This Row],[Parch]]+Titanic_Dataset[[#This Row],[SibSp]]</f>
        <v>6</v>
      </c>
      <c r="N543" s="1" t="s">
        <v>50</v>
      </c>
      <c r="O543">
        <v>31.274999999999999</v>
      </c>
      <c r="P543" t="e">
        <f>IF(Titanic_Dataset[[#This Row],[Survived]]=1,Titanic_Dataset[[#This Row],[Fare]],NA())</f>
        <v>#N/A</v>
      </c>
      <c r="Q543">
        <f>IF(Titanic_Dataset[[#This Row],[Survived]]=0,Titanic_Dataset[[#This Row],[Fare]],NA())</f>
        <v>31.274999999999999</v>
      </c>
      <c r="R543" t="str">
        <f>VLOOKUP(Titanic_Dataset[[#This Row],[Fare]],Table2[],2,TRUE)</f>
        <v>very hiegh</v>
      </c>
      <c r="S543" s="1" t="s">
        <v>15</v>
      </c>
      <c r="T543" s="1" t="s">
        <v>16</v>
      </c>
      <c r="U543" s="1"/>
      <c r="V543" s="1"/>
      <c r="W543" s="1"/>
    </row>
    <row r="544" spans="1:23" x14ac:dyDescent="0.25">
      <c r="A544">
        <v>543</v>
      </c>
      <c r="B544">
        <v>0</v>
      </c>
      <c r="C544" t="str">
        <f>IF(Titanic_Dataset[[#This Row],[Survived]]=1,"Survived","Died")</f>
        <v>Died</v>
      </c>
      <c r="D544">
        <v>3</v>
      </c>
      <c r="E544" t="str">
        <f>IF(Titanic_Dataset[[#This Row],[Pclass]]=1,"1st",IF(Titanic_Dataset[[#This Row],[Pclass]]=2,"2nd",IF(Titanic_Dataset[[#This Row],[Pclass]]=3,"3rd")))</f>
        <v>3rd</v>
      </c>
      <c r="F544" s="1" t="s">
        <v>1107</v>
      </c>
      <c r="G544" s="1" t="str">
        <f>TRIM(MID(Titanic_Dataset[[#This Row],[Name]],
FIND(",",Titanic_Dataset[[#This Row],[Name]])+2,
FIND(".",Titanic_Dataset[[#This Row],[Name]],FIND(",",Titanic_Dataset[[#This Row],[Name]]))-FIND(",",Titanic_Dataset[[#This Row],[Name]])-1))</f>
        <v>Miss.</v>
      </c>
      <c r="H544" s="1" t="s">
        <v>18</v>
      </c>
      <c r="I544">
        <v>11</v>
      </c>
      <c r="J544" t="str">
        <f>IF(Titanic_Dataset[[#This Row],[Age]]&lt;12,"0-11",
IF(Titanic_Dataset[[#This Row],[Age]]&lt;20,"12-19",
IF(Titanic_Dataset[[#This Row],[Age]]&lt;30,"20-29",
IF(Titanic_Dataset[[#This Row],[Age]]&lt;40,"30-39",
IF(Titanic_Dataset[[#This Row],[Age]]&lt;50,"40-49",
IF(Titanic_Dataset[[#This Row],[Age]]&lt;60,"50-59",
IF(Titanic_Dataset[[#This Row],[Age]]&lt;70,"60-69",)))))))</f>
        <v>0-11</v>
      </c>
      <c r="K544">
        <v>4</v>
      </c>
      <c r="L544">
        <v>2</v>
      </c>
      <c r="M544">
        <f>Titanic_Dataset[[#This Row],[Parch]]+Titanic_Dataset[[#This Row],[SibSp]]</f>
        <v>6</v>
      </c>
      <c r="N544" s="1" t="s">
        <v>50</v>
      </c>
      <c r="O544">
        <v>31.274999999999999</v>
      </c>
      <c r="P544" t="e">
        <f>IF(Titanic_Dataset[[#This Row],[Survived]]=1,Titanic_Dataset[[#This Row],[Fare]],NA())</f>
        <v>#N/A</v>
      </c>
      <c r="Q544">
        <f>IF(Titanic_Dataset[[#This Row],[Survived]]=0,Titanic_Dataset[[#This Row],[Fare]],NA())</f>
        <v>31.274999999999999</v>
      </c>
      <c r="R544" t="str">
        <f>VLOOKUP(Titanic_Dataset[[#This Row],[Fare]],Table2[],2,TRUE)</f>
        <v>very hiegh</v>
      </c>
      <c r="S544" s="1" t="s">
        <v>15</v>
      </c>
      <c r="T544" s="1" t="s">
        <v>16</v>
      </c>
      <c r="U544" s="1"/>
      <c r="V544" s="1"/>
      <c r="W544" s="1"/>
    </row>
    <row r="545" spans="1:23" x14ac:dyDescent="0.25">
      <c r="A545">
        <v>544</v>
      </c>
      <c r="B545">
        <v>1</v>
      </c>
      <c r="C545" t="str">
        <f>IF(Titanic_Dataset[[#This Row],[Survived]]=1,"Survived","Died")</f>
        <v>Survived</v>
      </c>
      <c r="D545">
        <v>2</v>
      </c>
      <c r="E545" t="str">
        <f>IF(Titanic_Dataset[[#This Row],[Pclass]]=1,"1st",IF(Titanic_Dataset[[#This Row],[Pclass]]=2,"2nd",IF(Titanic_Dataset[[#This Row],[Pclass]]=3,"3rd")))</f>
        <v>2nd</v>
      </c>
      <c r="F545" s="1" t="s">
        <v>1108</v>
      </c>
      <c r="G545" s="1" t="str">
        <f>TRIM(MID(Titanic_Dataset[[#This Row],[Name]],
FIND(",",Titanic_Dataset[[#This Row],[Name]])+2,
FIND(".",Titanic_Dataset[[#This Row],[Name]],FIND(",",Titanic_Dataset[[#This Row],[Name]]))-FIND(",",Titanic_Dataset[[#This Row],[Name]])-1))</f>
        <v>Mr.</v>
      </c>
      <c r="H545" s="1" t="s">
        <v>13</v>
      </c>
      <c r="I545">
        <v>32</v>
      </c>
      <c r="J545" t="str">
        <f>IF(Titanic_Dataset[[#This Row],[Age]]&lt;12,"0-11",
IF(Titanic_Dataset[[#This Row],[Age]]&lt;20,"12-19",
IF(Titanic_Dataset[[#This Row],[Age]]&lt;30,"20-29",
IF(Titanic_Dataset[[#This Row],[Age]]&lt;40,"30-39",
IF(Titanic_Dataset[[#This Row],[Age]]&lt;50,"40-49",
IF(Titanic_Dataset[[#This Row],[Age]]&lt;60,"50-59",
IF(Titanic_Dataset[[#This Row],[Age]]&lt;70,"60-69",)))))))</f>
        <v>30-39</v>
      </c>
      <c r="K545">
        <v>1</v>
      </c>
      <c r="L545">
        <v>0</v>
      </c>
      <c r="M545">
        <f>Titanic_Dataset[[#This Row],[Parch]]+Titanic_Dataset[[#This Row],[SibSp]]</f>
        <v>1</v>
      </c>
      <c r="N545" s="1" t="s">
        <v>1109</v>
      </c>
      <c r="O545">
        <v>26</v>
      </c>
      <c r="P545">
        <f>IF(Titanic_Dataset[[#This Row],[Survived]]=1,Titanic_Dataset[[#This Row],[Fare]],NA())</f>
        <v>26</v>
      </c>
      <c r="Q545" t="e">
        <f>IF(Titanic_Dataset[[#This Row],[Survived]]=0,Titanic_Dataset[[#This Row],[Fare]],NA())</f>
        <v>#N/A</v>
      </c>
      <c r="R545" t="str">
        <f>VLOOKUP(Titanic_Dataset[[#This Row],[Fare]],Table2[],2,TRUE)</f>
        <v>high</v>
      </c>
      <c r="S545" s="1" t="s">
        <v>15</v>
      </c>
      <c r="T545" s="1" t="s">
        <v>16</v>
      </c>
      <c r="U545" s="1"/>
      <c r="V545" s="1"/>
      <c r="W545" s="1"/>
    </row>
    <row r="546" spans="1:23" x14ac:dyDescent="0.25">
      <c r="A546">
        <v>545</v>
      </c>
      <c r="B546">
        <v>0</v>
      </c>
      <c r="C546" t="str">
        <f>IF(Titanic_Dataset[[#This Row],[Survived]]=1,"Survived","Died")</f>
        <v>Died</v>
      </c>
      <c r="D546">
        <v>1</v>
      </c>
      <c r="E546" t="str">
        <f>IF(Titanic_Dataset[[#This Row],[Pclass]]=1,"1st",IF(Titanic_Dataset[[#This Row],[Pclass]]=2,"2nd",IF(Titanic_Dataset[[#This Row],[Pclass]]=3,"3rd")))</f>
        <v>1st</v>
      </c>
      <c r="F546" s="1" t="s">
        <v>1110</v>
      </c>
      <c r="G546" s="1" t="str">
        <f>TRIM(MID(Titanic_Dataset[[#This Row],[Name]],
FIND(",",Titanic_Dataset[[#This Row],[Name]])+2,
FIND(".",Titanic_Dataset[[#This Row],[Name]],FIND(",",Titanic_Dataset[[#This Row],[Name]]))-FIND(",",Titanic_Dataset[[#This Row],[Name]])-1))</f>
        <v>Mr.</v>
      </c>
      <c r="H546" s="1" t="s">
        <v>13</v>
      </c>
      <c r="I546">
        <v>50</v>
      </c>
      <c r="J546" t="str">
        <f>IF(Titanic_Dataset[[#This Row],[Age]]&lt;12,"0-11",
IF(Titanic_Dataset[[#This Row],[Age]]&lt;20,"12-19",
IF(Titanic_Dataset[[#This Row],[Age]]&lt;30,"20-29",
IF(Titanic_Dataset[[#This Row],[Age]]&lt;40,"30-39",
IF(Titanic_Dataset[[#This Row],[Age]]&lt;50,"40-49",
IF(Titanic_Dataset[[#This Row],[Age]]&lt;60,"50-59",
IF(Titanic_Dataset[[#This Row],[Age]]&lt;70,"60-69",)))))))</f>
        <v>50-59</v>
      </c>
      <c r="K546">
        <v>1</v>
      </c>
      <c r="L546">
        <v>0</v>
      </c>
      <c r="M546">
        <f>Titanic_Dataset[[#This Row],[Parch]]+Titanic_Dataset[[#This Row],[SibSp]]</f>
        <v>1</v>
      </c>
      <c r="N546" s="1" t="s">
        <v>1097</v>
      </c>
      <c r="O546">
        <v>106.425</v>
      </c>
      <c r="P546" t="e">
        <f>IF(Titanic_Dataset[[#This Row],[Survived]]=1,Titanic_Dataset[[#This Row],[Fare]],NA())</f>
        <v>#N/A</v>
      </c>
      <c r="Q546">
        <f>IF(Titanic_Dataset[[#This Row],[Survived]]=0,Titanic_Dataset[[#This Row],[Fare]],NA())</f>
        <v>106.425</v>
      </c>
      <c r="R546" t="str">
        <f>VLOOKUP(Titanic_Dataset[[#This Row],[Fare]],Table2[],2,TRUE)</f>
        <v>very hiegh</v>
      </c>
      <c r="S546" s="1" t="s">
        <v>1111</v>
      </c>
      <c r="T546" s="1" t="s">
        <v>21</v>
      </c>
      <c r="U546" s="1"/>
      <c r="V546" s="1"/>
      <c r="W546" s="1"/>
    </row>
    <row r="547" spans="1:23" x14ac:dyDescent="0.25">
      <c r="A547">
        <v>546</v>
      </c>
      <c r="B547">
        <v>0</v>
      </c>
      <c r="C547" t="str">
        <f>IF(Titanic_Dataset[[#This Row],[Survived]]=1,"Survived","Died")</f>
        <v>Died</v>
      </c>
      <c r="D547">
        <v>1</v>
      </c>
      <c r="E547" t="str">
        <f>IF(Titanic_Dataset[[#This Row],[Pclass]]=1,"1st",IF(Titanic_Dataset[[#This Row],[Pclass]]=2,"2nd",IF(Titanic_Dataset[[#This Row],[Pclass]]=3,"3rd")))</f>
        <v>1st</v>
      </c>
      <c r="F547" s="1" t="s">
        <v>1112</v>
      </c>
      <c r="G547" s="1" t="str">
        <f>TRIM(MID(Titanic_Dataset[[#This Row],[Name]],
FIND(",",Titanic_Dataset[[#This Row],[Name]])+2,
FIND(".",Titanic_Dataset[[#This Row],[Name]],FIND(",",Titanic_Dataset[[#This Row],[Name]]))-FIND(",",Titanic_Dataset[[#This Row],[Name]])-1))</f>
        <v>Mr.</v>
      </c>
      <c r="H547" s="1" t="s">
        <v>13</v>
      </c>
      <c r="I547">
        <v>64</v>
      </c>
      <c r="J547" t="str">
        <f>IF(Titanic_Dataset[[#This Row],[Age]]&lt;12,"0-11",
IF(Titanic_Dataset[[#This Row],[Age]]&lt;20,"12-19",
IF(Titanic_Dataset[[#This Row],[Age]]&lt;30,"20-29",
IF(Titanic_Dataset[[#This Row],[Age]]&lt;40,"30-39",
IF(Titanic_Dataset[[#This Row],[Age]]&lt;50,"40-49",
IF(Titanic_Dataset[[#This Row],[Age]]&lt;60,"50-59",
IF(Titanic_Dataset[[#This Row],[Age]]&lt;70,"60-69",)))))))</f>
        <v>60-69</v>
      </c>
      <c r="K547">
        <v>0</v>
      </c>
      <c r="L547">
        <v>0</v>
      </c>
      <c r="M547">
        <f>Titanic_Dataset[[#This Row],[Parch]]+Titanic_Dataset[[#This Row],[SibSp]]</f>
        <v>0</v>
      </c>
      <c r="N547" s="1" t="s">
        <v>1113</v>
      </c>
      <c r="O547">
        <v>26</v>
      </c>
      <c r="P547" t="e">
        <f>IF(Titanic_Dataset[[#This Row],[Survived]]=1,Titanic_Dataset[[#This Row],[Fare]],NA())</f>
        <v>#N/A</v>
      </c>
      <c r="Q547">
        <f>IF(Titanic_Dataset[[#This Row],[Survived]]=0,Titanic_Dataset[[#This Row],[Fare]],NA())</f>
        <v>26</v>
      </c>
      <c r="R547" t="str">
        <f>VLOOKUP(Titanic_Dataset[[#This Row],[Fare]],Table2[],2,TRUE)</f>
        <v>high</v>
      </c>
      <c r="S547" s="1" t="s">
        <v>15</v>
      </c>
      <c r="T547" s="1" t="s">
        <v>16</v>
      </c>
      <c r="U547" s="1"/>
      <c r="V547" s="1"/>
      <c r="W547" s="1"/>
    </row>
    <row r="548" spans="1:23" x14ac:dyDescent="0.25">
      <c r="A548">
        <v>547</v>
      </c>
      <c r="B548">
        <v>1</v>
      </c>
      <c r="C548" t="str">
        <f>IF(Titanic_Dataset[[#This Row],[Survived]]=1,"Survived","Died")</f>
        <v>Survived</v>
      </c>
      <c r="D548">
        <v>2</v>
      </c>
      <c r="E548" t="str">
        <f>IF(Titanic_Dataset[[#This Row],[Pclass]]=1,"1st",IF(Titanic_Dataset[[#This Row],[Pclass]]=2,"2nd",IF(Titanic_Dataset[[#This Row],[Pclass]]=3,"3rd")))</f>
        <v>2nd</v>
      </c>
      <c r="F548" s="1" t="s">
        <v>1114</v>
      </c>
      <c r="G548" s="1" t="str">
        <f>TRIM(MID(Titanic_Dataset[[#This Row],[Name]],
FIND(",",Titanic_Dataset[[#This Row],[Name]])+2,
FIND(".",Titanic_Dataset[[#This Row],[Name]],FIND(",",Titanic_Dataset[[#This Row],[Name]]))-FIND(",",Titanic_Dataset[[#This Row],[Name]])-1))</f>
        <v>Mrs.</v>
      </c>
      <c r="H548" s="1" t="s">
        <v>18</v>
      </c>
      <c r="I548">
        <v>19</v>
      </c>
      <c r="J548" t="str">
        <f>IF(Titanic_Dataset[[#This Row],[Age]]&lt;12,"0-11",
IF(Titanic_Dataset[[#This Row],[Age]]&lt;20,"12-19",
IF(Titanic_Dataset[[#This Row],[Age]]&lt;30,"20-29",
IF(Titanic_Dataset[[#This Row],[Age]]&lt;40,"30-39",
IF(Titanic_Dataset[[#This Row],[Age]]&lt;50,"40-49",
IF(Titanic_Dataset[[#This Row],[Age]]&lt;60,"50-59",
IF(Titanic_Dataset[[#This Row],[Age]]&lt;70,"60-69",)))))))</f>
        <v>12-19</v>
      </c>
      <c r="K548">
        <v>1</v>
      </c>
      <c r="L548">
        <v>0</v>
      </c>
      <c r="M548">
        <f>Titanic_Dataset[[#This Row],[Parch]]+Titanic_Dataset[[#This Row],[SibSp]]</f>
        <v>1</v>
      </c>
      <c r="N548" s="1" t="s">
        <v>1109</v>
      </c>
      <c r="O548">
        <v>26</v>
      </c>
      <c r="P548">
        <f>IF(Titanic_Dataset[[#This Row],[Survived]]=1,Titanic_Dataset[[#This Row],[Fare]],NA())</f>
        <v>26</v>
      </c>
      <c r="Q548" t="e">
        <f>IF(Titanic_Dataset[[#This Row],[Survived]]=0,Titanic_Dataset[[#This Row],[Fare]],NA())</f>
        <v>#N/A</v>
      </c>
      <c r="R548" t="str">
        <f>VLOOKUP(Titanic_Dataset[[#This Row],[Fare]],Table2[],2,TRUE)</f>
        <v>high</v>
      </c>
      <c r="S548" s="1" t="s">
        <v>15</v>
      </c>
      <c r="T548" s="1" t="s">
        <v>16</v>
      </c>
      <c r="U548" s="1"/>
      <c r="V548" s="1"/>
      <c r="W548" s="1"/>
    </row>
    <row r="549" spans="1:23" x14ac:dyDescent="0.25">
      <c r="A549">
        <v>548</v>
      </c>
      <c r="B549">
        <v>1</v>
      </c>
      <c r="C549" t="str">
        <f>IF(Titanic_Dataset[[#This Row],[Survived]]=1,"Survived","Died")</f>
        <v>Survived</v>
      </c>
      <c r="D549">
        <v>2</v>
      </c>
      <c r="E549" t="str">
        <f>IF(Titanic_Dataset[[#This Row],[Pclass]]=1,"1st",IF(Titanic_Dataset[[#This Row],[Pclass]]=2,"2nd",IF(Titanic_Dataset[[#This Row],[Pclass]]=3,"3rd")))</f>
        <v>2nd</v>
      </c>
      <c r="F549" s="1" t="s">
        <v>1115</v>
      </c>
      <c r="G549" s="1" t="str">
        <f>TRIM(MID(Titanic_Dataset[[#This Row],[Name]],
FIND(",",Titanic_Dataset[[#This Row],[Name]])+2,
FIND(".",Titanic_Dataset[[#This Row],[Name]],FIND(",",Titanic_Dataset[[#This Row],[Name]]))-FIND(",",Titanic_Dataset[[#This Row],[Name]])-1))</f>
        <v>Mr.</v>
      </c>
      <c r="H549" s="1" t="s">
        <v>13</v>
      </c>
      <c r="I549">
        <v>28</v>
      </c>
      <c r="J54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49">
        <v>0</v>
      </c>
      <c r="L549">
        <v>0</v>
      </c>
      <c r="M549">
        <f>Titanic_Dataset[[#This Row],[Parch]]+Titanic_Dataset[[#This Row],[SibSp]]</f>
        <v>0</v>
      </c>
      <c r="N549" s="1" t="s">
        <v>1116</v>
      </c>
      <c r="O549">
        <v>13.862500000000001</v>
      </c>
      <c r="P549">
        <f>IF(Titanic_Dataset[[#This Row],[Survived]]=1,Titanic_Dataset[[#This Row],[Fare]],NA())</f>
        <v>13.862500000000001</v>
      </c>
      <c r="Q549" t="e">
        <f>IF(Titanic_Dataset[[#This Row],[Survived]]=0,Titanic_Dataset[[#This Row],[Fare]],NA())</f>
        <v>#N/A</v>
      </c>
      <c r="R549" t="str">
        <f>VLOOKUP(Titanic_Dataset[[#This Row],[Fare]],Table2[],2,TRUE)</f>
        <v>medium</v>
      </c>
      <c r="S549" s="1" t="s">
        <v>15</v>
      </c>
      <c r="T549" s="1" t="s">
        <v>21</v>
      </c>
      <c r="U549" s="1"/>
      <c r="V549" s="1"/>
      <c r="W549" s="1"/>
    </row>
    <row r="550" spans="1:23" x14ac:dyDescent="0.25">
      <c r="A550">
        <v>549</v>
      </c>
      <c r="B550">
        <v>0</v>
      </c>
      <c r="C550" t="str">
        <f>IF(Titanic_Dataset[[#This Row],[Survived]]=1,"Survived","Died")</f>
        <v>Died</v>
      </c>
      <c r="D550">
        <v>3</v>
      </c>
      <c r="E550" t="str">
        <f>IF(Titanic_Dataset[[#This Row],[Pclass]]=1,"1st",IF(Titanic_Dataset[[#This Row],[Pclass]]=2,"2nd",IF(Titanic_Dataset[[#This Row],[Pclass]]=3,"3rd")))</f>
        <v>3rd</v>
      </c>
      <c r="F550" s="1" t="s">
        <v>1117</v>
      </c>
      <c r="G550" s="1" t="str">
        <f>TRIM(MID(Titanic_Dataset[[#This Row],[Name]],
FIND(",",Titanic_Dataset[[#This Row],[Name]])+2,
FIND(".",Titanic_Dataset[[#This Row],[Name]],FIND(",",Titanic_Dataset[[#This Row],[Name]]))-FIND(",",Titanic_Dataset[[#This Row],[Name]])-1))</f>
        <v>Mr.</v>
      </c>
      <c r="H550" s="1" t="s">
        <v>13</v>
      </c>
      <c r="I550">
        <v>33</v>
      </c>
      <c r="J550" t="str">
        <f>IF(Titanic_Dataset[[#This Row],[Age]]&lt;12,"0-11",
IF(Titanic_Dataset[[#This Row],[Age]]&lt;20,"12-19",
IF(Titanic_Dataset[[#This Row],[Age]]&lt;30,"20-29",
IF(Titanic_Dataset[[#This Row],[Age]]&lt;40,"30-39",
IF(Titanic_Dataset[[#This Row],[Age]]&lt;50,"40-49",
IF(Titanic_Dataset[[#This Row],[Age]]&lt;60,"50-59",
IF(Titanic_Dataset[[#This Row],[Age]]&lt;70,"60-69",)))))))</f>
        <v>30-39</v>
      </c>
      <c r="K550">
        <v>1</v>
      </c>
      <c r="L550">
        <v>1</v>
      </c>
      <c r="M550">
        <f>Titanic_Dataset[[#This Row],[Parch]]+Titanic_Dataset[[#This Row],[SibSp]]</f>
        <v>2</v>
      </c>
      <c r="N550" s="1" t="s">
        <v>365</v>
      </c>
      <c r="O550">
        <v>20.524999999999999</v>
      </c>
      <c r="P550" t="e">
        <f>IF(Titanic_Dataset[[#This Row],[Survived]]=1,Titanic_Dataset[[#This Row],[Fare]],NA())</f>
        <v>#N/A</v>
      </c>
      <c r="Q550">
        <f>IF(Titanic_Dataset[[#This Row],[Survived]]=0,Titanic_Dataset[[#This Row],[Fare]],NA())</f>
        <v>20.524999999999999</v>
      </c>
      <c r="R550" t="str">
        <f>VLOOKUP(Titanic_Dataset[[#This Row],[Fare]],Table2[],2,TRUE)</f>
        <v>high</v>
      </c>
      <c r="S550" s="1" t="s">
        <v>15</v>
      </c>
      <c r="T550" s="1" t="s">
        <v>16</v>
      </c>
      <c r="U550" s="1"/>
      <c r="V550" s="1"/>
      <c r="W550" s="1"/>
    </row>
    <row r="551" spans="1:23" x14ac:dyDescent="0.25">
      <c r="A551">
        <v>550</v>
      </c>
      <c r="B551">
        <v>1</v>
      </c>
      <c r="C551" t="str">
        <f>IF(Titanic_Dataset[[#This Row],[Survived]]=1,"Survived","Died")</f>
        <v>Survived</v>
      </c>
      <c r="D551">
        <v>2</v>
      </c>
      <c r="E551" t="str">
        <f>IF(Titanic_Dataset[[#This Row],[Pclass]]=1,"1st",IF(Titanic_Dataset[[#This Row],[Pclass]]=2,"2nd",IF(Titanic_Dataset[[#This Row],[Pclass]]=3,"3rd")))</f>
        <v>2nd</v>
      </c>
      <c r="F551" s="1" t="s">
        <v>1118</v>
      </c>
      <c r="G551" s="1" t="str">
        <f>TRIM(MID(Titanic_Dataset[[#This Row],[Name]],
FIND(",",Titanic_Dataset[[#This Row],[Name]])+2,
FIND(".",Titanic_Dataset[[#This Row],[Name]],FIND(",",Titanic_Dataset[[#This Row],[Name]]))-FIND(",",Titanic_Dataset[[#This Row],[Name]])-1))</f>
        <v>Master.</v>
      </c>
      <c r="H551" s="1" t="s">
        <v>13</v>
      </c>
      <c r="I551">
        <v>8</v>
      </c>
      <c r="J551" t="str">
        <f>IF(Titanic_Dataset[[#This Row],[Age]]&lt;12,"0-11",
IF(Titanic_Dataset[[#This Row],[Age]]&lt;20,"12-19",
IF(Titanic_Dataset[[#This Row],[Age]]&lt;30,"20-29",
IF(Titanic_Dataset[[#This Row],[Age]]&lt;40,"30-39",
IF(Titanic_Dataset[[#This Row],[Age]]&lt;50,"40-49",
IF(Titanic_Dataset[[#This Row],[Age]]&lt;60,"50-59",
IF(Titanic_Dataset[[#This Row],[Age]]&lt;70,"60-69",)))))))</f>
        <v>0-11</v>
      </c>
      <c r="K551">
        <v>1</v>
      </c>
      <c r="L551">
        <v>1</v>
      </c>
      <c r="M551">
        <f>Titanic_Dataset[[#This Row],[Parch]]+Titanic_Dataset[[#This Row],[SibSp]]</f>
        <v>2</v>
      </c>
      <c r="N551" s="1" t="s">
        <v>325</v>
      </c>
      <c r="O551">
        <v>36.75</v>
      </c>
      <c r="P551">
        <f>IF(Titanic_Dataset[[#This Row],[Survived]]=1,Titanic_Dataset[[#This Row],[Fare]],NA())</f>
        <v>36.75</v>
      </c>
      <c r="Q551" t="e">
        <f>IF(Titanic_Dataset[[#This Row],[Survived]]=0,Titanic_Dataset[[#This Row],[Fare]],NA())</f>
        <v>#N/A</v>
      </c>
      <c r="R551" t="str">
        <f>VLOOKUP(Titanic_Dataset[[#This Row],[Fare]],Table2[],2,TRUE)</f>
        <v>very hiegh</v>
      </c>
      <c r="S551" s="1" t="s">
        <v>15</v>
      </c>
      <c r="T551" s="1" t="s">
        <v>16</v>
      </c>
      <c r="U551" s="1"/>
      <c r="V551" s="1"/>
      <c r="W551" s="1"/>
    </row>
    <row r="552" spans="1:23" x14ac:dyDescent="0.25">
      <c r="A552">
        <v>551</v>
      </c>
      <c r="B552">
        <v>1</v>
      </c>
      <c r="C552" t="str">
        <f>IF(Titanic_Dataset[[#This Row],[Survived]]=1,"Survived","Died")</f>
        <v>Survived</v>
      </c>
      <c r="D552">
        <v>1</v>
      </c>
      <c r="E552" t="str">
        <f>IF(Titanic_Dataset[[#This Row],[Pclass]]=1,"1st",IF(Titanic_Dataset[[#This Row],[Pclass]]=2,"2nd",IF(Titanic_Dataset[[#This Row],[Pclass]]=3,"3rd")))</f>
        <v>1st</v>
      </c>
      <c r="F552" s="1" t="s">
        <v>1119</v>
      </c>
      <c r="G552" s="1" t="str">
        <f>TRIM(MID(Titanic_Dataset[[#This Row],[Name]],
FIND(",",Titanic_Dataset[[#This Row],[Name]])+2,
FIND(".",Titanic_Dataset[[#This Row],[Name]],FIND(",",Titanic_Dataset[[#This Row],[Name]]))-FIND(",",Titanic_Dataset[[#This Row],[Name]])-1))</f>
        <v>Mr.</v>
      </c>
      <c r="H552" s="1" t="s">
        <v>13</v>
      </c>
      <c r="I552">
        <v>17</v>
      </c>
      <c r="J552" t="str">
        <f>IF(Titanic_Dataset[[#This Row],[Age]]&lt;12,"0-11",
IF(Titanic_Dataset[[#This Row],[Age]]&lt;20,"12-19",
IF(Titanic_Dataset[[#This Row],[Age]]&lt;30,"20-29",
IF(Titanic_Dataset[[#This Row],[Age]]&lt;40,"30-39",
IF(Titanic_Dataset[[#This Row],[Age]]&lt;50,"40-49",
IF(Titanic_Dataset[[#This Row],[Age]]&lt;60,"50-59",
IF(Titanic_Dataset[[#This Row],[Age]]&lt;70,"60-69",)))))))</f>
        <v>12-19</v>
      </c>
      <c r="K552">
        <v>0</v>
      </c>
      <c r="L552">
        <v>2</v>
      </c>
      <c r="M552">
        <f>Titanic_Dataset[[#This Row],[Parch]]+Titanic_Dataset[[#This Row],[SibSp]]</f>
        <v>2</v>
      </c>
      <c r="N552" s="1" t="s">
        <v>652</v>
      </c>
      <c r="O552">
        <v>110.88330000000001</v>
      </c>
      <c r="P552">
        <f>IF(Titanic_Dataset[[#This Row],[Survived]]=1,Titanic_Dataset[[#This Row],[Fare]],NA())</f>
        <v>110.88330000000001</v>
      </c>
      <c r="Q552" t="e">
        <f>IF(Titanic_Dataset[[#This Row],[Survived]]=0,Titanic_Dataset[[#This Row],[Fare]],NA())</f>
        <v>#N/A</v>
      </c>
      <c r="R552" t="str">
        <f>VLOOKUP(Titanic_Dataset[[#This Row],[Fare]],Table2[],2,TRUE)</f>
        <v>very hiegh</v>
      </c>
      <c r="S552" s="1" t="s">
        <v>1120</v>
      </c>
      <c r="T552" s="1" t="s">
        <v>21</v>
      </c>
      <c r="U552" s="1"/>
      <c r="V552" s="1"/>
      <c r="W552" s="1"/>
    </row>
    <row r="553" spans="1:23" x14ac:dyDescent="0.25">
      <c r="A553">
        <v>552</v>
      </c>
      <c r="B553">
        <v>0</v>
      </c>
      <c r="C553" t="str">
        <f>IF(Titanic_Dataset[[#This Row],[Survived]]=1,"Survived","Died")</f>
        <v>Died</v>
      </c>
      <c r="D553">
        <v>2</v>
      </c>
      <c r="E553" t="str">
        <f>IF(Titanic_Dataset[[#This Row],[Pclass]]=1,"1st",IF(Titanic_Dataset[[#This Row],[Pclass]]=2,"2nd",IF(Titanic_Dataset[[#This Row],[Pclass]]=3,"3rd")))</f>
        <v>2nd</v>
      </c>
      <c r="F553" s="1" t="s">
        <v>1121</v>
      </c>
      <c r="G553" s="1" t="str">
        <f>TRIM(MID(Titanic_Dataset[[#This Row],[Name]],
FIND(",",Titanic_Dataset[[#This Row],[Name]])+2,
FIND(".",Titanic_Dataset[[#This Row],[Name]],FIND(",",Titanic_Dataset[[#This Row],[Name]]))-FIND(",",Titanic_Dataset[[#This Row],[Name]])-1))</f>
        <v>Mr.</v>
      </c>
      <c r="H553" s="1" t="s">
        <v>13</v>
      </c>
      <c r="I553">
        <v>27</v>
      </c>
      <c r="J55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53">
        <v>0</v>
      </c>
      <c r="L553">
        <v>0</v>
      </c>
      <c r="M553">
        <f>Titanic_Dataset[[#This Row],[Parch]]+Titanic_Dataset[[#This Row],[SibSp]]</f>
        <v>0</v>
      </c>
      <c r="N553" s="1" t="s">
        <v>1122</v>
      </c>
      <c r="O553">
        <v>26</v>
      </c>
      <c r="P553" t="e">
        <f>IF(Titanic_Dataset[[#This Row],[Survived]]=1,Titanic_Dataset[[#This Row],[Fare]],NA())</f>
        <v>#N/A</v>
      </c>
      <c r="Q553">
        <f>IF(Titanic_Dataset[[#This Row],[Survived]]=0,Titanic_Dataset[[#This Row],[Fare]],NA())</f>
        <v>26</v>
      </c>
      <c r="R553" t="str">
        <f>VLOOKUP(Titanic_Dataset[[#This Row],[Fare]],Table2[],2,TRUE)</f>
        <v>high</v>
      </c>
      <c r="S553" s="1" t="s">
        <v>15</v>
      </c>
      <c r="T553" s="1" t="s">
        <v>16</v>
      </c>
      <c r="U553" s="1"/>
      <c r="V553" s="1"/>
      <c r="W553" s="1"/>
    </row>
    <row r="554" spans="1:23" x14ac:dyDescent="0.25">
      <c r="A554">
        <v>553</v>
      </c>
      <c r="B554">
        <v>0</v>
      </c>
      <c r="C554" t="str">
        <f>IF(Titanic_Dataset[[#This Row],[Survived]]=1,"Survived","Died")</f>
        <v>Died</v>
      </c>
      <c r="D554">
        <v>3</v>
      </c>
      <c r="E554" t="str">
        <f>IF(Titanic_Dataset[[#This Row],[Pclass]]=1,"1st",IF(Titanic_Dataset[[#This Row],[Pclass]]=2,"2nd",IF(Titanic_Dataset[[#This Row],[Pclass]]=3,"3rd")))</f>
        <v>3rd</v>
      </c>
      <c r="F554" s="1" t="s">
        <v>1123</v>
      </c>
      <c r="G554" s="1" t="str">
        <f>TRIM(MID(Titanic_Dataset[[#This Row],[Name]],
FIND(",",Titanic_Dataset[[#This Row],[Name]])+2,
FIND(".",Titanic_Dataset[[#This Row],[Name]],FIND(",",Titanic_Dataset[[#This Row],[Name]]))-FIND(",",Titanic_Dataset[[#This Row],[Name]])-1))</f>
        <v>Mr.</v>
      </c>
      <c r="H554" s="1" t="s">
        <v>13</v>
      </c>
      <c r="I554">
        <v>28</v>
      </c>
      <c r="J55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54">
        <v>0</v>
      </c>
      <c r="L554">
        <v>0</v>
      </c>
      <c r="M554">
        <f>Titanic_Dataset[[#This Row],[Parch]]+Titanic_Dataset[[#This Row],[SibSp]]</f>
        <v>0</v>
      </c>
      <c r="N554" s="1" t="s">
        <v>1124</v>
      </c>
      <c r="O554">
        <v>7.8292000000000002</v>
      </c>
      <c r="P554" t="e">
        <f>IF(Titanic_Dataset[[#This Row],[Survived]]=1,Titanic_Dataset[[#This Row],[Fare]],NA())</f>
        <v>#N/A</v>
      </c>
      <c r="Q554">
        <f>IF(Titanic_Dataset[[#This Row],[Survived]]=0,Titanic_Dataset[[#This Row],[Fare]],NA())</f>
        <v>7.8292000000000002</v>
      </c>
      <c r="R554" t="str">
        <f>VLOOKUP(Titanic_Dataset[[#This Row],[Fare]],Table2[],2,TRUE)</f>
        <v>low</v>
      </c>
      <c r="S554" s="1" t="s">
        <v>15</v>
      </c>
      <c r="T554" s="1" t="s">
        <v>31</v>
      </c>
      <c r="U554" s="1"/>
      <c r="V554" s="1"/>
      <c r="W554" s="1"/>
    </row>
    <row r="555" spans="1:23" x14ac:dyDescent="0.25">
      <c r="A555">
        <v>554</v>
      </c>
      <c r="B555">
        <v>1</v>
      </c>
      <c r="C555" t="str">
        <f>IF(Titanic_Dataset[[#This Row],[Survived]]=1,"Survived","Died")</f>
        <v>Survived</v>
      </c>
      <c r="D555">
        <v>3</v>
      </c>
      <c r="E555" t="str">
        <f>IF(Titanic_Dataset[[#This Row],[Pclass]]=1,"1st",IF(Titanic_Dataset[[#This Row],[Pclass]]=2,"2nd",IF(Titanic_Dataset[[#This Row],[Pclass]]=3,"3rd")))</f>
        <v>3rd</v>
      </c>
      <c r="F555" s="1" t="s">
        <v>1125</v>
      </c>
      <c r="G555" s="1" t="str">
        <f>TRIM(MID(Titanic_Dataset[[#This Row],[Name]],
FIND(",",Titanic_Dataset[[#This Row],[Name]])+2,
FIND(".",Titanic_Dataset[[#This Row],[Name]],FIND(",",Titanic_Dataset[[#This Row],[Name]]))-FIND(",",Titanic_Dataset[[#This Row],[Name]])-1))</f>
        <v>Mr.</v>
      </c>
      <c r="H555" s="1" t="s">
        <v>13</v>
      </c>
      <c r="I555">
        <v>22</v>
      </c>
      <c r="J55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55">
        <v>0</v>
      </c>
      <c r="L555">
        <v>0</v>
      </c>
      <c r="M555">
        <f>Titanic_Dataset[[#This Row],[Parch]]+Titanic_Dataset[[#This Row],[SibSp]]</f>
        <v>0</v>
      </c>
      <c r="N555" s="1" t="s">
        <v>1126</v>
      </c>
      <c r="O555">
        <v>7.2249999999999996</v>
      </c>
      <c r="P555">
        <f>IF(Titanic_Dataset[[#This Row],[Survived]]=1,Titanic_Dataset[[#This Row],[Fare]],NA())</f>
        <v>7.2249999999999996</v>
      </c>
      <c r="Q555" t="e">
        <f>IF(Titanic_Dataset[[#This Row],[Survived]]=0,Titanic_Dataset[[#This Row],[Fare]],NA())</f>
        <v>#N/A</v>
      </c>
      <c r="R555" t="str">
        <f>VLOOKUP(Titanic_Dataset[[#This Row],[Fare]],Table2[],2,TRUE)</f>
        <v>low</v>
      </c>
      <c r="S555" s="1" t="s">
        <v>15</v>
      </c>
      <c r="T555" s="1" t="s">
        <v>21</v>
      </c>
      <c r="U555" s="1"/>
      <c r="V555" s="1"/>
      <c r="W555" s="1"/>
    </row>
    <row r="556" spans="1:23" x14ac:dyDescent="0.25">
      <c r="A556">
        <v>555</v>
      </c>
      <c r="B556">
        <v>1</v>
      </c>
      <c r="C556" t="str">
        <f>IF(Titanic_Dataset[[#This Row],[Survived]]=1,"Survived","Died")</f>
        <v>Survived</v>
      </c>
      <c r="D556">
        <v>3</v>
      </c>
      <c r="E556" t="str">
        <f>IF(Titanic_Dataset[[#This Row],[Pclass]]=1,"1st",IF(Titanic_Dataset[[#This Row],[Pclass]]=2,"2nd",IF(Titanic_Dataset[[#This Row],[Pclass]]=3,"3rd")))</f>
        <v>3rd</v>
      </c>
      <c r="F556" s="1" t="s">
        <v>1127</v>
      </c>
      <c r="G556" s="1" t="str">
        <f>TRIM(MID(Titanic_Dataset[[#This Row],[Name]],
FIND(",",Titanic_Dataset[[#This Row],[Name]])+2,
FIND(".",Titanic_Dataset[[#This Row],[Name]],FIND(",",Titanic_Dataset[[#This Row],[Name]]))-FIND(",",Titanic_Dataset[[#This Row],[Name]])-1))</f>
        <v>Miss.</v>
      </c>
      <c r="H556" s="1" t="s">
        <v>18</v>
      </c>
      <c r="I556">
        <v>22</v>
      </c>
      <c r="J55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56">
        <v>0</v>
      </c>
      <c r="L556">
        <v>0</v>
      </c>
      <c r="M556">
        <f>Titanic_Dataset[[#This Row],[Parch]]+Titanic_Dataset[[#This Row],[SibSp]]</f>
        <v>0</v>
      </c>
      <c r="N556" s="1" t="s">
        <v>1128</v>
      </c>
      <c r="O556">
        <v>7.7750000000000004</v>
      </c>
      <c r="P556">
        <f>IF(Titanic_Dataset[[#This Row],[Survived]]=1,Titanic_Dataset[[#This Row],[Fare]],NA())</f>
        <v>7.7750000000000004</v>
      </c>
      <c r="Q556" t="e">
        <f>IF(Titanic_Dataset[[#This Row],[Survived]]=0,Titanic_Dataset[[#This Row],[Fare]],NA())</f>
        <v>#N/A</v>
      </c>
      <c r="R556" t="str">
        <f>VLOOKUP(Titanic_Dataset[[#This Row],[Fare]],Table2[],2,TRUE)</f>
        <v>low</v>
      </c>
      <c r="S556" s="1" t="s">
        <v>15</v>
      </c>
      <c r="T556" s="1" t="s">
        <v>16</v>
      </c>
      <c r="U556" s="1"/>
      <c r="V556" s="1"/>
      <c r="W556" s="1"/>
    </row>
    <row r="557" spans="1:23" x14ac:dyDescent="0.25">
      <c r="A557">
        <v>556</v>
      </c>
      <c r="B557">
        <v>0</v>
      </c>
      <c r="C557" t="str">
        <f>IF(Titanic_Dataset[[#This Row],[Survived]]=1,"Survived","Died")</f>
        <v>Died</v>
      </c>
      <c r="D557">
        <v>1</v>
      </c>
      <c r="E557" t="str">
        <f>IF(Titanic_Dataset[[#This Row],[Pclass]]=1,"1st",IF(Titanic_Dataset[[#This Row],[Pclass]]=2,"2nd",IF(Titanic_Dataset[[#This Row],[Pclass]]=3,"3rd")))</f>
        <v>1st</v>
      </c>
      <c r="F557" s="1" t="s">
        <v>1129</v>
      </c>
      <c r="G557" s="1" t="str">
        <f>TRIM(MID(Titanic_Dataset[[#This Row],[Name]],
FIND(",",Titanic_Dataset[[#This Row],[Name]])+2,
FIND(".",Titanic_Dataset[[#This Row],[Name]],FIND(",",Titanic_Dataset[[#This Row],[Name]]))-FIND(",",Titanic_Dataset[[#This Row],[Name]])-1))</f>
        <v>Mr.</v>
      </c>
      <c r="H557" s="1" t="s">
        <v>13</v>
      </c>
      <c r="I557">
        <v>62</v>
      </c>
      <c r="J557" t="str">
        <f>IF(Titanic_Dataset[[#This Row],[Age]]&lt;12,"0-11",
IF(Titanic_Dataset[[#This Row],[Age]]&lt;20,"12-19",
IF(Titanic_Dataset[[#This Row],[Age]]&lt;30,"20-29",
IF(Titanic_Dataset[[#This Row],[Age]]&lt;40,"30-39",
IF(Titanic_Dataset[[#This Row],[Age]]&lt;50,"40-49",
IF(Titanic_Dataset[[#This Row],[Age]]&lt;60,"50-59",
IF(Titanic_Dataset[[#This Row],[Age]]&lt;70,"60-69",)))))))</f>
        <v>60-69</v>
      </c>
      <c r="K557">
        <v>0</v>
      </c>
      <c r="L557">
        <v>0</v>
      </c>
      <c r="M557">
        <f>Titanic_Dataset[[#This Row],[Parch]]+Titanic_Dataset[[#This Row],[SibSp]]</f>
        <v>0</v>
      </c>
      <c r="N557" s="1" t="s">
        <v>1130</v>
      </c>
      <c r="O557">
        <v>26.55</v>
      </c>
      <c r="P557" t="e">
        <f>IF(Titanic_Dataset[[#This Row],[Survived]]=1,Titanic_Dataset[[#This Row],[Fare]],NA())</f>
        <v>#N/A</v>
      </c>
      <c r="Q557">
        <f>IF(Titanic_Dataset[[#This Row],[Survived]]=0,Titanic_Dataset[[#This Row],[Fare]],NA())</f>
        <v>26.55</v>
      </c>
      <c r="R557" t="str">
        <f>VLOOKUP(Titanic_Dataset[[#This Row],[Fare]],Table2[],2,TRUE)</f>
        <v>high</v>
      </c>
      <c r="S557" s="1" t="s">
        <v>15</v>
      </c>
      <c r="T557" s="1" t="s">
        <v>16</v>
      </c>
      <c r="U557" s="1"/>
      <c r="V557" s="1"/>
      <c r="W557" s="1"/>
    </row>
    <row r="558" spans="1:23" x14ac:dyDescent="0.25">
      <c r="A558">
        <v>557</v>
      </c>
      <c r="B558">
        <v>1</v>
      </c>
      <c r="C558" t="str">
        <f>IF(Titanic_Dataset[[#This Row],[Survived]]=1,"Survived","Died")</f>
        <v>Survived</v>
      </c>
      <c r="D558">
        <v>1</v>
      </c>
      <c r="E558" t="str">
        <f>IF(Titanic_Dataset[[#This Row],[Pclass]]=1,"1st",IF(Titanic_Dataset[[#This Row],[Pclass]]=2,"2nd",IF(Titanic_Dataset[[#This Row],[Pclass]]=3,"3rd")))</f>
        <v>1st</v>
      </c>
      <c r="F558" s="1" t="s">
        <v>1131</v>
      </c>
      <c r="G558" s="1" t="str">
        <f>TRIM(MID(Titanic_Dataset[[#This Row],[Name]],
FIND(",",Titanic_Dataset[[#This Row],[Name]])+2,
FIND(".",Titanic_Dataset[[#This Row],[Name]],FIND(",",Titanic_Dataset[[#This Row],[Name]]))-FIND(",",Titanic_Dataset[[#This Row],[Name]])-1))</f>
        <v>Lady.</v>
      </c>
      <c r="H558" s="1" t="s">
        <v>18</v>
      </c>
      <c r="I558">
        <v>48</v>
      </c>
      <c r="J558" t="str">
        <f>IF(Titanic_Dataset[[#This Row],[Age]]&lt;12,"0-11",
IF(Titanic_Dataset[[#This Row],[Age]]&lt;20,"12-19",
IF(Titanic_Dataset[[#This Row],[Age]]&lt;30,"20-29",
IF(Titanic_Dataset[[#This Row],[Age]]&lt;40,"30-39",
IF(Titanic_Dataset[[#This Row],[Age]]&lt;50,"40-49",
IF(Titanic_Dataset[[#This Row],[Age]]&lt;60,"50-59",
IF(Titanic_Dataset[[#This Row],[Age]]&lt;70,"60-69",)))))))</f>
        <v>40-49</v>
      </c>
      <c r="K558">
        <v>1</v>
      </c>
      <c r="L558">
        <v>0</v>
      </c>
      <c r="M558">
        <f>Titanic_Dataset[[#This Row],[Parch]]+Titanic_Dataset[[#This Row],[SibSp]]</f>
        <v>1</v>
      </c>
      <c r="N558" s="1" t="s">
        <v>1132</v>
      </c>
      <c r="O558">
        <v>39.6</v>
      </c>
      <c r="P558">
        <f>IF(Titanic_Dataset[[#This Row],[Survived]]=1,Titanic_Dataset[[#This Row],[Fare]],NA())</f>
        <v>39.6</v>
      </c>
      <c r="Q558" t="e">
        <f>IF(Titanic_Dataset[[#This Row],[Survived]]=0,Titanic_Dataset[[#This Row],[Fare]],NA())</f>
        <v>#N/A</v>
      </c>
      <c r="R558" t="str">
        <f>VLOOKUP(Titanic_Dataset[[#This Row],[Fare]],Table2[],2,TRUE)</f>
        <v>very hiegh</v>
      </c>
      <c r="S558" s="1" t="s">
        <v>1133</v>
      </c>
      <c r="T558" s="1" t="s">
        <v>21</v>
      </c>
      <c r="U558" s="1"/>
      <c r="V558" s="1"/>
      <c r="W558" s="1"/>
    </row>
    <row r="559" spans="1:23" x14ac:dyDescent="0.25">
      <c r="A559">
        <v>558</v>
      </c>
      <c r="B559">
        <v>0</v>
      </c>
      <c r="C559" t="str">
        <f>IF(Titanic_Dataset[[#This Row],[Survived]]=1,"Survived","Died")</f>
        <v>Died</v>
      </c>
      <c r="D559">
        <v>1</v>
      </c>
      <c r="E559" t="str">
        <f>IF(Titanic_Dataset[[#This Row],[Pclass]]=1,"1st",IF(Titanic_Dataset[[#This Row],[Pclass]]=2,"2nd",IF(Titanic_Dataset[[#This Row],[Pclass]]=3,"3rd")))</f>
        <v>1st</v>
      </c>
      <c r="F559" s="1" t="s">
        <v>1134</v>
      </c>
      <c r="G559" s="1" t="str">
        <f>TRIM(MID(Titanic_Dataset[[#This Row],[Name]],
FIND(",",Titanic_Dataset[[#This Row],[Name]])+2,
FIND(".",Titanic_Dataset[[#This Row],[Name]],FIND(",",Titanic_Dataset[[#This Row],[Name]]))-FIND(",",Titanic_Dataset[[#This Row],[Name]])-1))</f>
        <v>Mr.</v>
      </c>
      <c r="H559" s="1" t="s">
        <v>13</v>
      </c>
      <c r="I559">
        <v>28</v>
      </c>
      <c r="J55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59">
        <v>0</v>
      </c>
      <c r="L559">
        <v>0</v>
      </c>
      <c r="M559">
        <f>Titanic_Dataset[[#This Row],[Parch]]+Titanic_Dataset[[#This Row],[SibSp]]</f>
        <v>0</v>
      </c>
      <c r="N559" s="1" t="s">
        <v>798</v>
      </c>
      <c r="O559">
        <v>227.52500000000001</v>
      </c>
      <c r="P559" t="e">
        <f>IF(Titanic_Dataset[[#This Row],[Survived]]=1,Titanic_Dataset[[#This Row],[Fare]],NA())</f>
        <v>#N/A</v>
      </c>
      <c r="Q559">
        <f>IF(Titanic_Dataset[[#This Row],[Survived]]=0,Titanic_Dataset[[#This Row],[Fare]],NA())</f>
        <v>227.52500000000001</v>
      </c>
      <c r="R559" t="str">
        <f>VLOOKUP(Titanic_Dataset[[#This Row],[Fare]],Table2[],2,TRUE)</f>
        <v>very hiegh</v>
      </c>
      <c r="S559" s="1" t="s">
        <v>15</v>
      </c>
      <c r="T559" s="1" t="s">
        <v>21</v>
      </c>
      <c r="U559" s="1"/>
      <c r="V559" s="1"/>
      <c r="W559" s="1"/>
    </row>
    <row r="560" spans="1:23" x14ac:dyDescent="0.25">
      <c r="A560">
        <v>559</v>
      </c>
      <c r="B560">
        <v>1</v>
      </c>
      <c r="C560" t="str">
        <f>IF(Titanic_Dataset[[#This Row],[Survived]]=1,"Survived","Died")</f>
        <v>Survived</v>
      </c>
      <c r="D560">
        <v>1</v>
      </c>
      <c r="E560" t="str">
        <f>IF(Titanic_Dataset[[#This Row],[Pclass]]=1,"1st",IF(Titanic_Dataset[[#This Row],[Pclass]]=2,"2nd",IF(Titanic_Dataset[[#This Row],[Pclass]]=3,"3rd")))</f>
        <v>1st</v>
      </c>
      <c r="F560" s="1" t="s">
        <v>1135</v>
      </c>
      <c r="G560" s="1" t="str">
        <f>TRIM(MID(Titanic_Dataset[[#This Row],[Name]],
FIND(",",Titanic_Dataset[[#This Row],[Name]])+2,
FIND(".",Titanic_Dataset[[#This Row],[Name]],FIND(",",Titanic_Dataset[[#This Row],[Name]]))-FIND(",",Titanic_Dataset[[#This Row],[Name]])-1))</f>
        <v>Mrs.</v>
      </c>
      <c r="H560" s="1" t="s">
        <v>18</v>
      </c>
      <c r="I560">
        <v>39</v>
      </c>
      <c r="J560" t="str">
        <f>IF(Titanic_Dataset[[#This Row],[Age]]&lt;12,"0-11",
IF(Titanic_Dataset[[#This Row],[Age]]&lt;20,"12-19",
IF(Titanic_Dataset[[#This Row],[Age]]&lt;30,"20-29",
IF(Titanic_Dataset[[#This Row],[Age]]&lt;40,"30-39",
IF(Titanic_Dataset[[#This Row],[Age]]&lt;50,"40-49",
IF(Titanic_Dataset[[#This Row],[Age]]&lt;60,"50-59",
IF(Titanic_Dataset[[#This Row],[Age]]&lt;70,"60-69",)))))))</f>
        <v>30-39</v>
      </c>
      <c r="K560">
        <v>1</v>
      </c>
      <c r="L560">
        <v>1</v>
      </c>
      <c r="M560">
        <f>Titanic_Dataset[[#This Row],[Parch]]+Titanic_Dataset[[#This Row],[SibSp]]</f>
        <v>2</v>
      </c>
      <c r="N560" s="1" t="s">
        <v>559</v>
      </c>
      <c r="O560">
        <v>79.650000000000006</v>
      </c>
      <c r="P560">
        <f>IF(Titanic_Dataset[[#This Row],[Survived]]=1,Titanic_Dataset[[#This Row],[Fare]],NA())</f>
        <v>79.650000000000006</v>
      </c>
      <c r="Q560" t="e">
        <f>IF(Titanic_Dataset[[#This Row],[Survived]]=0,Titanic_Dataset[[#This Row],[Fare]],NA())</f>
        <v>#N/A</v>
      </c>
      <c r="R560" t="str">
        <f>VLOOKUP(Titanic_Dataset[[#This Row],[Fare]],Table2[],2,TRUE)</f>
        <v>very hiegh</v>
      </c>
      <c r="S560" s="1" t="s">
        <v>560</v>
      </c>
      <c r="T560" s="1" t="s">
        <v>16</v>
      </c>
      <c r="U560" s="1"/>
      <c r="V560" s="1"/>
      <c r="W560" s="1"/>
    </row>
    <row r="561" spans="1:23" x14ac:dyDescent="0.25">
      <c r="A561">
        <v>560</v>
      </c>
      <c r="B561">
        <v>1</v>
      </c>
      <c r="C561" t="str">
        <f>IF(Titanic_Dataset[[#This Row],[Survived]]=1,"Survived","Died")</f>
        <v>Survived</v>
      </c>
      <c r="D561">
        <v>3</v>
      </c>
      <c r="E561" t="str">
        <f>IF(Titanic_Dataset[[#This Row],[Pclass]]=1,"1st",IF(Titanic_Dataset[[#This Row],[Pclass]]=2,"2nd",IF(Titanic_Dataset[[#This Row],[Pclass]]=3,"3rd")))</f>
        <v>3rd</v>
      </c>
      <c r="F561" s="1" t="s">
        <v>1136</v>
      </c>
      <c r="G561" s="1" t="str">
        <f>TRIM(MID(Titanic_Dataset[[#This Row],[Name]],
FIND(",",Titanic_Dataset[[#This Row],[Name]])+2,
FIND(".",Titanic_Dataset[[#This Row],[Name]],FIND(",",Titanic_Dataset[[#This Row],[Name]]))-FIND(",",Titanic_Dataset[[#This Row],[Name]])-1))</f>
        <v>Mrs.</v>
      </c>
      <c r="H561" s="1" t="s">
        <v>18</v>
      </c>
      <c r="I561">
        <v>36</v>
      </c>
      <c r="J561" t="str">
        <f>IF(Titanic_Dataset[[#This Row],[Age]]&lt;12,"0-11",
IF(Titanic_Dataset[[#This Row],[Age]]&lt;20,"12-19",
IF(Titanic_Dataset[[#This Row],[Age]]&lt;30,"20-29",
IF(Titanic_Dataset[[#This Row],[Age]]&lt;40,"30-39",
IF(Titanic_Dataset[[#This Row],[Age]]&lt;50,"40-49",
IF(Titanic_Dataset[[#This Row],[Age]]&lt;60,"50-59",
IF(Titanic_Dataset[[#This Row],[Age]]&lt;70,"60-69",)))))))</f>
        <v>30-39</v>
      </c>
      <c r="K561">
        <v>1</v>
      </c>
      <c r="L561">
        <v>0</v>
      </c>
      <c r="M561">
        <f>Titanic_Dataset[[#This Row],[Parch]]+Titanic_Dataset[[#This Row],[SibSp]]</f>
        <v>1</v>
      </c>
      <c r="N561" s="1" t="s">
        <v>1137</v>
      </c>
      <c r="O561">
        <v>17.399999999999999</v>
      </c>
      <c r="P561">
        <f>IF(Titanic_Dataset[[#This Row],[Survived]]=1,Titanic_Dataset[[#This Row],[Fare]],NA())</f>
        <v>17.399999999999999</v>
      </c>
      <c r="Q561" t="e">
        <f>IF(Titanic_Dataset[[#This Row],[Survived]]=0,Titanic_Dataset[[#This Row],[Fare]],NA())</f>
        <v>#N/A</v>
      </c>
      <c r="R561" t="str">
        <f>VLOOKUP(Titanic_Dataset[[#This Row],[Fare]],Table2[],2,TRUE)</f>
        <v>high</v>
      </c>
      <c r="S561" s="1" t="s">
        <v>15</v>
      </c>
      <c r="T561" s="1" t="s">
        <v>16</v>
      </c>
      <c r="U561" s="1"/>
      <c r="V561" s="1"/>
      <c r="W561" s="1"/>
    </row>
    <row r="562" spans="1:23" x14ac:dyDescent="0.25">
      <c r="A562">
        <v>561</v>
      </c>
      <c r="B562">
        <v>0</v>
      </c>
      <c r="C562" t="str">
        <f>IF(Titanic_Dataset[[#This Row],[Survived]]=1,"Survived","Died")</f>
        <v>Died</v>
      </c>
      <c r="D562">
        <v>3</v>
      </c>
      <c r="E562" t="str">
        <f>IF(Titanic_Dataset[[#This Row],[Pclass]]=1,"1st",IF(Titanic_Dataset[[#This Row],[Pclass]]=2,"2nd",IF(Titanic_Dataset[[#This Row],[Pclass]]=3,"3rd")))</f>
        <v>3rd</v>
      </c>
      <c r="F562" s="1" t="s">
        <v>1138</v>
      </c>
      <c r="G562" s="1" t="str">
        <f>TRIM(MID(Titanic_Dataset[[#This Row],[Name]],
FIND(",",Titanic_Dataset[[#This Row],[Name]])+2,
FIND(".",Titanic_Dataset[[#This Row],[Name]],FIND(",",Titanic_Dataset[[#This Row],[Name]]))-FIND(",",Titanic_Dataset[[#This Row],[Name]])-1))</f>
        <v>Mr.</v>
      </c>
      <c r="H562" s="1" t="s">
        <v>13</v>
      </c>
      <c r="I562">
        <v>28</v>
      </c>
      <c r="J56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62">
        <v>0</v>
      </c>
      <c r="L562">
        <v>0</v>
      </c>
      <c r="M562">
        <f>Titanic_Dataset[[#This Row],[Parch]]+Titanic_Dataset[[#This Row],[SibSp]]</f>
        <v>0</v>
      </c>
      <c r="N562" s="1" t="s">
        <v>1139</v>
      </c>
      <c r="O562">
        <v>7.75</v>
      </c>
      <c r="P562" t="e">
        <f>IF(Titanic_Dataset[[#This Row],[Survived]]=1,Titanic_Dataset[[#This Row],[Fare]],NA())</f>
        <v>#N/A</v>
      </c>
      <c r="Q562">
        <f>IF(Titanic_Dataset[[#This Row],[Survived]]=0,Titanic_Dataset[[#This Row],[Fare]],NA())</f>
        <v>7.75</v>
      </c>
      <c r="R562" t="str">
        <f>VLOOKUP(Titanic_Dataset[[#This Row],[Fare]],Table2[],2,TRUE)</f>
        <v>low</v>
      </c>
      <c r="S562" s="1" t="s">
        <v>15</v>
      </c>
      <c r="T562" s="1" t="s">
        <v>31</v>
      </c>
      <c r="U562" s="1"/>
      <c r="V562" s="1"/>
      <c r="W562" s="1"/>
    </row>
    <row r="563" spans="1:23" x14ac:dyDescent="0.25">
      <c r="A563">
        <v>562</v>
      </c>
      <c r="B563">
        <v>0</v>
      </c>
      <c r="C563" t="str">
        <f>IF(Titanic_Dataset[[#This Row],[Survived]]=1,"Survived","Died")</f>
        <v>Died</v>
      </c>
      <c r="D563">
        <v>3</v>
      </c>
      <c r="E563" t="str">
        <f>IF(Titanic_Dataset[[#This Row],[Pclass]]=1,"1st",IF(Titanic_Dataset[[#This Row],[Pclass]]=2,"2nd",IF(Titanic_Dataset[[#This Row],[Pclass]]=3,"3rd")))</f>
        <v>3rd</v>
      </c>
      <c r="F563" s="1" t="s">
        <v>1140</v>
      </c>
      <c r="G563" s="1" t="str">
        <f>TRIM(MID(Titanic_Dataset[[#This Row],[Name]],
FIND(",",Titanic_Dataset[[#This Row],[Name]])+2,
FIND(".",Titanic_Dataset[[#This Row],[Name]],FIND(",",Titanic_Dataset[[#This Row],[Name]]))-FIND(",",Titanic_Dataset[[#This Row],[Name]])-1))</f>
        <v>Mr.</v>
      </c>
      <c r="H563" s="1" t="s">
        <v>13</v>
      </c>
      <c r="I563">
        <v>40</v>
      </c>
      <c r="J563" t="str">
        <f>IF(Titanic_Dataset[[#This Row],[Age]]&lt;12,"0-11",
IF(Titanic_Dataset[[#This Row],[Age]]&lt;20,"12-19",
IF(Titanic_Dataset[[#This Row],[Age]]&lt;30,"20-29",
IF(Titanic_Dataset[[#This Row],[Age]]&lt;40,"30-39",
IF(Titanic_Dataset[[#This Row],[Age]]&lt;50,"40-49",
IF(Titanic_Dataset[[#This Row],[Age]]&lt;60,"50-59",
IF(Titanic_Dataset[[#This Row],[Age]]&lt;70,"60-69",)))))))</f>
        <v>40-49</v>
      </c>
      <c r="K563">
        <v>0</v>
      </c>
      <c r="L563">
        <v>0</v>
      </c>
      <c r="M563">
        <f>Titanic_Dataset[[#This Row],[Parch]]+Titanic_Dataset[[#This Row],[SibSp]]</f>
        <v>0</v>
      </c>
      <c r="N563" s="1" t="s">
        <v>1141</v>
      </c>
      <c r="O563">
        <v>7.8958000000000004</v>
      </c>
      <c r="P563" t="e">
        <f>IF(Titanic_Dataset[[#This Row],[Survived]]=1,Titanic_Dataset[[#This Row],[Fare]],NA())</f>
        <v>#N/A</v>
      </c>
      <c r="Q563">
        <f>IF(Titanic_Dataset[[#This Row],[Survived]]=0,Titanic_Dataset[[#This Row],[Fare]],NA())</f>
        <v>7.8958000000000004</v>
      </c>
      <c r="R563" t="str">
        <f>VLOOKUP(Titanic_Dataset[[#This Row],[Fare]],Table2[],2,TRUE)</f>
        <v>low</v>
      </c>
      <c r="S563" s="1" t="s">
        <v>15</v>
      </c>
      <c r="T563" s="1" t="s">
        <v>16</v>
      </c>
      <c r="U563" s="1"/>
      <c r="V563" s="1"/>
      <c r="W563" s="1"/>
    </row>
    <row r="564" spans="1:23" x14ac:dyDescent="0.25">
      <c r="A564">
        <v>563</v>
      </c>
      <c r="B564">
        <v>0</v>
      </c>
      <c r="C564" t="str">
        <f>IF(Titanic_Dataset[[#This Row],[Survived]]=1,"Survived","Died")</f>
        <v>Died</v>
      </c>
      <c r="D564">
        <v>2</v>
      </c>
      <c r="E564" t="str">
        <f>IF(Titanic_Dataset[[#This Row],[Pclass]]=1,"1st",IF(Titanic_Dataset[[#This Row],[Pclass]]=2,"2nd",IF(Titanic_Dataset[[#This Row],[Pclass]]=3,"3rd")))</f>
        <v>2nd</v>
      </c>
      <c r="F564" s="1" t="s">
        <v>1142</v>
      </c>
      <c r="G564" s="1" t="str">
        <f>TRIM(MID(Titanic_Dataset[[#This Row],[Name]],
FIND(",",Titanic_Dataset[[#This Row],[Name]])+2,
FIND(".",Titanic_Dataset[[#This Row],[Name]],FIND(",",Titanic_Dataset[[#This Row],[Name]]))-FIND(",",Titanic_Dataset[[#This Row],[Name]])-1))</f>
        <v>Mr.</v>
      </c>
      <c r="H564" s="1" t="s">
        <v>13</v>
      </c>
      <c r="I564">
        <v>28</v>
      </c>
      <c r="J56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64">
        <v>0</v>
      </c>
      <c r="L564">
        <v>0</v>
      </c>
      <c r="M564">
        <f>Titanic_Dataset[[#This Row],[Parch]]+Titanic_Dataset[[#This Row],[SibSp]]</f>
        <v>0</v>
      </c>
      <c r="N564" s="1" t="s">
        <v>1143</v>
      </c>
      <c r="O564">
        <v>13.5</v>
      </c>
      <c r="P564" t="e">
        <f>IF(Titanic_Dataset[[#This Row],[Survived]]=1,Titanic_Dataset[[#This Row],[Fare]],NA())</f>
        <v>#N/A</v>
      </c>
      <c r="Q564">
        <f>IF(Titanic_Dataset[[#This Row],[Survived]]=0,Titanic_Dataset[[#This Row],[Fare]],NA())</f>
        <v>13.5</v>
      </c>
      <c r="R564" t="str">
        <f>VLOOKUP(Titanic_Dataset[[#This Row],[Fare]],Table2[],2,TRUE)</f>
        <v>medium</v>
      </c>
      <c r="S564" s="1" t="s">
        <v>15</v>
      </c>
      <c r="T564" s="1" t="s">
        <v>16</v>
      </c>
      <c r="U564" s="1"/>
      <c r="V564" s="1"/>
      <c r="W564" s="1"/>
    </row>
    <row r="565" spans="1:23" x14ac:dyDescent="0.25">
      <c r="A565">
        <v>564</v>
      </c>
      <c r="B565">
        <v>0</v>
      </c>
      <c r="C565" t="str">
        <f>IF(Titanic_Dataset[[#This Row],[Survived]]=1,"Survived","Died")</f>
        <v>Died</v>
      </c>
      <c r="D565">
        <v>3</v>
      </c>
      <c r="E565" t="str">
        <f>IF(Titanic_Dataset[[#This Row],[Pclass]]=1,"1st",IF(Titanic_Dataset[[#This Row],[Pclass]]=2,"2nd",IF(Titanic_Dataset[[#This Row],[Pclass]]=3,"3rd")))</f>
        <v>3rd</v>
      </c>
      <c r="F565" s="1" t="s">
        <v>1144</v>
      </c>
      <c r="G565" s="1" t="str">
        <f>TRIM(MID(Titanic_Dataset[[#This Row],[Name]],
FIND(",",Titanic_Dataset[[#This Row],[Name]])+2,
FIND(".",Titanic_Dataset[[#This Row],[Name]],FIND(",",Titanic_Dataset[[#This Row],[Name]]))-FIND(",",Titanic_Dataset[[#This Row],[Name]])-1))</f>
        <v>Mr.</v>
      </c>
      <c r="H565" s="1" t="s">
        <v>13</v>
      </c>
      <c r="I565">
        <v>28</v>
      </c>
      <c r="J56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65">
        <v>0</v>
      </c>
      <c r="L565">
        <v>0</v>
      </c>
      <c r="M565">
        <f>Titanic_Dataset[[#This Row],[Parch]]+Titanic_Dataset[[#This Row],[SibSp]]</f>
        <v>0</v>
      </c>
      <c r="N565" s="1" t="s">
        <v>1145</v>
      </c>
      <c r="O565">
        <v>8.0500000000000007</v>
      </c>
      <c r="P565" t="e">
        <f>IF(Titanic_Dataset[[#This Row],[Survived]]=1,Titanic_Dataset[[#This Row],[Fare]],NA())</f>
        <v>#N/A</v>
      </c>
      <c r="Q565">
        <f>IF(Titanic_Dataset[[#This Row],[Survived]]=0,Titanic_Dataset[[#This Row],[Fare]],NA())</f>
        <v>8.0500000000000007</v>
      </c>
      <c r="R565" t="str">
        <f>VLOOKUP(Titanic_Dataset[[#This Row],[Fare]],Table2[],2,TRUE)</f>
        <v>medium</v>
      </c>
      <c r="S565" s="1" t="s">
        <v>15</v>
      </c>
      <c r="T565" s="1" t="s">
        <v>16</v>
      </c>
      <c r="U565" s="1"/>
      <c r="V565" s="1"/>
      <c r="W565" s="1"/>
    </row>
    <row r="566" spans="1:23" x14ac:dyDescent="0.25">
      <c r="A566">
        <v>565</v>
      </c>
      <c r="B566">
        <v>0</v>
      </c>
      <c r="C566" t="str">
        <f>IF(Titanic_Dataset[[#This Row],[Survived]]=1,"Survived","Died")</f>
        <v>Died</v>
      </c>
      <c r="D566">
        <v>3</v>
      </c>
      <c r="E566" t="str">
        <f>IF(Titanic_Dataset[[#This Row],[Pclass]]=1,"1st",IF(Titanic_Dataset[[#This Row],[Pclass]]=2,"2nd",IF(Titanic_Dataset[[#This Row],[Pclass]]=3,"3rd")))</f>
        <v>3rd</v>
      </c>
      <c r="F566" s="1" t="s">
        <v>1146</v>
      </c>
      <c r="G566" s="1" t="str">
        <f>TRIM(MID(Titanic_Dataset[[#This Row],[Name]],
FIND(",",Titanic_Dataset[[#This Row],[Name]])+2,
FIND(".",Titanic_Dataset[[#This Row],[Name]],FIND(",",Titanic_Dataset[[#This Row],[Name]]))-FIND(",",Titanic_Dataset[[#This Row],[Name]])-1))</f>
        <v>Miss.</v>
      </c>
      <c r="H566" s="1" t="s">
        <v>18</v>
      </c>
      <c r="I566">
        <v>28</v>
      </c>
      <c r="J56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66">
        <v>0</v>
      </c>
      <c r="L566">
        <v>0</v>
      </c>
      <c r="M566">
        <f>Titanic_Dataset[[#This Row],[Parch]]+Titanic_Dataset[[#This Row],[SibSp]]</f>
        <v>0</v>
      </c>
      <c r="N566" s="1" t="s">
        <v>1147</v>
      </c>
      <c r="O566">
        <v>8.0500000000000007</v>
      </c>
      <c r="P566" t="e">
        <f>IF(Titanic_Dataset[[#This Row],[Survived]]=1,Titanic_Dataset[[#This Row],[Fare]],NA())</f>
        <v>#N/A</v>
      </c>
      <c r="Q566">
        <f>IF(Titanic_Dataset[[#This Row],[Survived]]=0,Titanic_Dataset[[#This Row],[Fare]],NA())</f>
        <v>8.0500000000000007</v>
      </c>
      <c r="R566" t="str">
        <f>VLOOKUP(Titanic_Dataset[[#This Row],[Fare]],Table2[],2,TRUE)</f>
        <v>medium</v>
      </c>
      <c r="S566" s="1" t="s">
        <v>15</v>
      </c>
      <c r="T566" s="1" t="s">
        <v>16</v>
      </c>
      <c r="U566" s="1"/>
      <c r="V566" s="1"/>
      <c r="W566" s="1"/>
    </row>
    <row r="567" spans="1:23" x14ac:dyDescent="0.25">
      <c r="A567">
        <v>566</v>
      </c>
      <c r="B567">
        <v>0</v>
      </c>
      <c r="C567" t="str">
        <f>IF(Titanic_Dataset[[#This Row],[Survived]]=1,"Survived","Died")</f>
        <v>Died</v>
      </c>
      <c r="D567">
        <v>3</v>
      </c>
      <c r="E567" t="str">
        <f>IF(Titanic_Dataset[[#This Row],[Pclass]]=1,"1st",IF(Titanic_Dataset[[#This Row],[Pclass]]=2,"2nd",IF(Titanic_Dataset[[#This Row],[Pclass]]=3,"3rd")))</f>
        <v>3rd</v>
      </c>
      <c r="F567" s="1" t="s">
        <v>1148</v>
      </c>
      <c r="G567" s="1" t="str">
        <f>TRIM(MID(Titanic_Dataset[[#This Row],[Name]],
FIND(",",Titanic_Dataset[[#This Row],[Name]])+2,
FIND(".",Titanic_Dataset[[#This Row],[Name]],FIND(",",Titanic_Dataset[[#This Row],[Name]]))-FIND(",",Titanic_Dataset[[#This Row],[Name]])-1))</f>
        <v>Mr.</v>
      </c>
      <c r="H567" s="1" t="s">
        <v>13</v>
      </c>
      <c r="I567">
        <v>24</v>
      </c>
      <c r="J56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67">
        <v>2</v>
      </c>
      <c r="L567">
        <v>0</v>
      </c>
      <c r="M567">
        <f>Titanic_Dataset[[#This Row],[Parch]]+Titanic_Dataset[[#This Row],[SibSp]]</f>
        <v>2</v>
      </c>
      <c r="N567" s="1" t="s">
        <v>1149</v>
      </c>
      <c r="O567">
        <v>24.15</v>
      </c>
      <c r="P567" t="e">
        <f>IF(Titanic_Dataset[[#This Row],[Survived]]=1,Titanic_Dataset[[#This Row],[Fare]],NA())</f>
        <v>#N/A</v>
      </c>
      <c r="Q567">
        <f>IF(Titanic_Dataset[[#This Row],[Survived]]=0,Titanic_Dataset[[#This Row],[Fare]],NA())</f>
        <v>24.15</v>
      </c>
      <c r="R567" t="str">
        <f>VLOOKUP(Titanic_Dataset[[#This Row],[Fare]],Table2[],2,TRUE)</f>
        <v>high</v>
      </c>
      <c r="S567" s="1" t="s">
        <v>15</v>
      </c>
      <c r="T567" s="1" t="s">
        <v>16</v>
      </c>
      <c r="U567" s="1"/>
      <c r="V567" s="1"/>
      <c r="W567" s="1"/>
    </row>
    <row r="568" spans="1:23" x14ac:dyDescent="0.25">
      <c r="A568">
        <v>567</v>
      </c>
      <c r="B568">
        <v>0</v>
      </c>
      <c r="C568" t="str">
        <f>IF(Titanic_Dataset[[#This Row],[Survived]]=1,"Survived","Died")</f>
        <v>Died</v>
      </c>
      <c r="D568">
        <v>3</v>
      </c>
      <c r="E568" t="str">
        <f>IF(Titanic_Dataset[[#This Row],[Pclass]]=1,"1st",IF(Titanic_Dataset[[#This Row],[Pclass]]=2,"2nd",IF(Titanic_Dataset[[#This Row],[Pclass]]=3,"3rd")))</f>
        <v>3rd</v>
      </c>
      <c r="F568" s="1" t="s">
        <v>1150</v>
      </c>
      <c r="G568" s="1" t="str">
        <f>TRIM(MID(Titanic_Dataset[[#This Row],[Name]],
FIND(",",Titanic_Dataset[[#This Row],[Name]])+2,
FIND(".",Titanic_Dataset[[#This Row],[Name]],FIND(",",Titanic_Dataset[[#This Row],[Name]]))-FIND(",",Titanic_Dataset[[#This Row],[Name]])-1))</f>
        <v>Mr.</v>
      </c>
      <c r="H568" s="1" t="s">
        <v>13</v>
      </c>
      <c r="I568">
        <v>19</v>
      </c>
      <c r="J568" t="str">
        <f>IF(Titanic_Dataset[[#This Row],[Age]]&lt;12,"0-11",
IF(Titanic_Dataset[[#This Row],[Age]]&lt;20,"12-19",
IF(Titanic_Dataset[[#This Row],[Age]]&lt;30,"20-29",
IF(Titanic_Dataset[[#This Row],[Age]]&lt;40,"30-39",
IF(Titanic_Dataset[[#This Row],[Age]]&lt;50,"40-49",
IF(Titanic_Dataset[[#This Row],[Age]]&lt;60,"50-59",
IF(Titanic_Dataset[[#This Row],[Age]]&lt;70,"60-69",)))))))</f>
        <v>12-19</v>
      </c>
      <c r="K568">
        <v>0</v>
      </c>
      <c r="L568">
        <v>0</v>
      </c>
      <c r="M568">
        <f>Titanic_Dataset[[#This Row],[Parch]]+Titanic_Dataset[[#This Row],[SibSp]]</f>
        <v>0</v>
      </c>
      <c r="N568" s="1" t="s">
        <v>1151</v>
      </c>
      <c r="O568">
        <v>7.8958000000000004</v>
      </c>
      <c r="P568" t="e">
        <f>IF(Titanic_Dataset[[#This Row],[Survived]]=1,Titanic_Dataset[[#This Row],[Fare]],NA())</f>
        <v>#N/A</v>
      </c>
      <c r="Q568">
        <f>IF(Titanic_Dataset[[#This Row],[Survived]]=0,Titanic_Dataset[[#This Row],[Fare]],NA())</f>
        <v>7.8958000000000004</v>
      </c>
      <c r="R568" t="str">
        <f>VLOOKUP(Titanic_Dataset[[#This Row],[Fare]],Table2[],2,TRUE)</f>
        <v>low</v>
      </c>
      <c r="S568" s="1" t="s">
        <v>15</v>
      </c>
      <c r="T568" s="1" t="s">
        <v>16</v>
      </c>
      <c r="U568" s="1"/>
      <c r="V568" s="1"/>
      <c r="W568" s="1"/>
    </row>
    <row r="569" spans="1:23" x14ac:dyDescent="0.25">
      <c r="A569">
        <v>568</v>
      </c>
      <c r="B569">
        <v>0</v>
      </c>
      <c r="C569" t="str">
        <f>IF(Titanic_Dataset[[#This Row],[Survived]]=1,"Survived","Died")</f>
        <v>Died</v>
      </c>
      <c r="D569">
        <v>3</v>
      </c>
      <c r="E569" t="str">
        <f>IF(Titanic_Dataset[[#This Row],[Pclass]]=1,"1st",IF(Titanic_Dataset[[#This Row],[Pclass]]=2,"2nd",IF(Titanic_Dataset[[#This Row],[Pclass]]=3,"3rd")))</f>
        <v>3rd</v>
      </c>
      <c r="F569" s="1" t="s">
        <v>1152</v>
      </c>
      <c r="G569" s="1" t="str">
        <f>TRIM(MID(Titanic_Dataset[[#This Row],[Name]],
FIND(",",Titanic_Dataset[[#This Row],[Name]])+2,
FIND(".",Titanic_Dataset[[#This Row],[Name]],FIND(",",Titanic_Dataset[[#This Row],[Name]]))-FIND(",",Titanic_Dataset[[#This Row],[Name]])-1))</f>
        <v>Mrs.</v>
      </c>
      <c r="H569" s="1" t="s">
        <v>18</v>
      </c>
      <c r="I569">
        <v>29</v>
      </c>
      <c r="J56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69">
        <v>0</v>
      </c>
      <c r="L569">
        <v>4</v>
      </c>
      <c r="M569">
        <f>Titanic_Dataset[[#This Row],[Parch]]+Titanic_Dataset[[#This Row],[SibSp]]</f>
        <v>4</v>
      </c>
      <c r="N569" s="1" t="s">
        <v>36</v>
      </c>
      <c r="O569">
        <v>21.074999999999999</v>
      </c>
      <c r="P569" t="e">
        <f>IF(Titanic_Dataset[[#This Row],[Survived]]=1,Titanic_Dataset[[#This Row],[Fare]],NA())</f>
        <v>#N/A</v>
      </c>
      <c r="Q569">
        <f>IF(Titanic_Dataset[[#This Row],[Survived]]=0,Titanic_Dataset[[#This Row],[Fare]],NA())</f>
        <v>21.074999999999999</v>
      </c>
      <c r="R569" t="str">
        <f>VLOOKUP(Titanic_Dataset[[#This Row],[Fare]],Table2[],2,TRUE)</f>
        <v>high</v>
      </c>
      <c r="S569" s="1" t="s">
        <v>15</v>
      </c>
      <c r="T569" s="1" t="s">
        <v>16</v>
      </c>
      <c r="U569" s="1"/>
      <c r="V569" s="1"/>
      <c r="W569" s="1"/>
    </row>
    <row r="570" spans="1:23" x14ac:dyDescent="0.25">
      <c r="A570">
        <v>569</v>
      </c>
      <c r="B570">
        <v>0</v>
      </c>
      <c r="C570" t="str">
        <f>IF(Titanic_Dataset[[#This Row],[Survived]]=1,"Survived","Died")</f>
        <v>Died</v>
      </c>
      <c r="D570">
        <v>3</v>
      </c>
      <c r="E570" t="str">
        <f>IF(Titanic_Dataset[[#This Row],[Pclass]]=1,"1st",IF(Titanic_Dataset[[#This Row],[Pclass]]=2,"2nd",IF(Titanic_Dataset[[#This Row],[Pclass]]=3,"3rd")))</f>
        <v>3rd</v>
      </c>
      <c r="F570" s="1" t="s">
        <v>1153</v>
      </c>
      <c r="G570" s="1" t="str">
        <f>TRIM(MID(Titanic_Dataset[[#This Row],[Name]],
FIND(",",Titanic_Dataset[[#This Row],[Name]])+2,
FIND(".",Titanic_Dataset[[#This Row],[Name]],FIND(",",Titanic_Dataset[[#This Row],[Name]]))-FIND(",",Titanic_Dataset[[#This Row],[Name]])-1))</f>
        <v>Mr.</v>
      </c>
      <c r="H570" s="1" t="s">
        <v>13</v>
      </c>
      <c r="I570">
        <v>28</v>
      </c>
      <c r="J57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70">
        <v>0</v>
      </c>
      <c r="L570">
        <v>0</v>
      </c>
      <c r="M570">
        <f>Titanic_Dataset[[#This Row],[Parch]]+Titanic_Dataset[[#This Row],[SibSp]]</f>
        <v>0</v>
      </c>
      <c r="N570" s="1" t="s">
        <v>1154</v>
      </c>
      <c r="O570">
        <v>7.2291999999999996</v>
      </c>
      <c r="P570" t="e">
        <f>IF(Titanic_Dataset[[#This Row],[Survived]]=1,Titanic_Dataset[[#This Row],[Fare]],NA())</f>
        <v>#N/A</v>
      </c>
      <c r="Q570">
        <f>IF(Titanic_Dataset[[#This Row],[Survived]]=0,Titanic_Dataset[[#This Row],[Fare]],NA())</f>
        <v>7.2291999999999996</v>
      </c>
      <c r="R570" t="str">
        <f>VLOOKUP(Titanic_Dataset[[#This Row],[Fare]],Table2[],2,TRUE)</f>
        <v>low</v>
      </c>
      <c r="S570" s="1" t="s">
        <v>15</v>
      </c>
      <c r="T570" s="1" t="s">
        <v>21</v>
      </c>
      <c r="U570" s="1"/>
      <c r="V570" s="1"/>
      <c r="W570" s="1"/>
    </row>
    <row r="571" spans="1:23" x14ac:dyDescent="0.25">
      <c r="A571">
        <v>570</v>
      </c>
      <c r="B571">
        <v>1</v>
      </c>
      <c r="C571" t="str">
        <f>IF(Titanic_Dataset[[#This Row],[Survived]]=1,"Survived","Died")</f>
        <v>Survived</v>
      </c>
      <c r="D571">
        <v>3</v>
      </c>
      <c r="E571" t="str">
        <f>IF(Titanic_Dataset[[#This Row],[Pclass]]=1,"1st",IF(Titanic_Dataset[[#This Row],[Pclass]]=2,"2nd",IF(Titanic_Dataset[[#This Row],[Pclass]]=3,"3rd")))</f>
        <v>3rd</v>
      </c>
      <c r="F571" s="1" t="s">
        <v>1155</v>
      </c>
      <c r="G571" s="1" t="str">
        <f>TRIM(MID(Titanic_Dataset[[#This Row],[Name]],
FIND(",",Titanic_Dataset[[#This Row],[Name]])+2,
FIND(".",Titanic_Dataset[[#This Row],[Name]],FIND(",",Titanic_Dataset[[#This Row],[Name]]))-FIND(",",Titanic_Dataset[[#This Row],[Name]])-1))</f>
        <v>Mr.</v>
      </c>
      <c r="H571" s="1" t="s">
        <v>13</v>
      </c>
      <c r="I571">
        <v>32</v>
      </c>
      <c r="J571" t="str">
        <f>IF(Titanic_Dataset[[#This Row],[Age]]&lt;12,"0-11",
IF(Titanic_Dataset[[#This Row],[Age]]&lt;20,"12-19",
IF(Titanic_Dataset[[#This Row],[Age]]&lt;30,"20-29",
IF(Titanic_Dataset[[#This Row],[Age]]&lt;40,"30-39",
IF(Titanic_Dataset[[#This Row],[Age]]&lt;50,"40-49",
IF(Titanic_Dataset[[#This Row],[Age]]&lt;60,"50-59",
IF(Titanic_Dataset[[#This Row],[Age]]&lt;70,"60-69",)))))))</f>
        <v>30-39</v>
      </c>
      <c r="K571">
        <v>0</v>
      </c>
      <c r="L571">
        <v>0</v>
      </c>
      <c r="M571">
        <f>Titanic_Dataset[[#This Row],[Parch]]+Titanic_Dataset[[#This Row],[SibSp]]</f>
        <v>0</v>
      </c>
      <c r="N571" s="1" t="s">
        <v>1156</v>
      </c>
      <c r="O571">
        <v>7.8541999999999996</v>
      </c>
      <c r="P571">
        <f>IF(Titanic_Dataset[[#This Row],[Survived]]=1,Titanic_Dataset[[#This Row],[Fare]],NA())</f>
        <v>7.8541999999999996</v>
      </c>
      <c r="Q571" t="e">
        <f>IF(Titanic_Dataset[[#This Row],[Survived]]=0,Titanic_Dataset[[#This Row],[Fare]],NA())</f>
        <v>#N/A</v>
      </c>
      <c r="R571" t="str">
        <f>VLOOKUP(Titanic_Dataset[[#This Row],[Fare]],Table2[],2,TRUE)</f>
        <v>low</v>
      </c>
      <c r="S571" s="1" t="s">
        <v>15</v>
      </c>
      <c r="T571" s="1" t="s">
        <v>16</v>
      </c>
      <c r="U571" s="1"/>
      <c r="V571" s="1"/>
      <c r="W571" s="1"/>
    </row>
    <row r="572" spans="1:23" x14ac:dyDescent="0.25">
      <c r="A572">
        <v>571</v>
      </c>
      <c r="B572">
        <v>1</v>
      </c>
      <c r="C572" t="str">
        <f>IF(Titanic_Dataset[[#This Row],[Survived]]=1,"Survived","Died")</f>
        <v>Survived</v>
      </c>
      <c r="D572">
        <v>2</v>
      </c>
      <c r="E572" t="str">
        <f>IF(Titanic_Dataset[[#This Row],[Pclass]]=1,"1st",IF(Titanic_Dataset[[#This Row],[Pclass]]=2,"2nd",IF(Titanic_Dataset[[#This Row],[Pclass]]=3,"3rd")))</f>
        <v>2nd</v>
      </c>
      <c r="F572" s="1" t="s">
        <v>1157</v>
      </c>
      <c r="G572" s="1" t="str">
        <f>TRIM(MID(Titanic_Dataset[[#This Row],[Name]],
FIND(",",Titanic_Dataset[[#This Row],[Name]])+2,
FIND(".",Titanic_Dataset[[#This Row],[Name]],FIND(",",Titanic_Dataset[[#This Row],[Name]]))-FIND(",",Titanic_Dataset[[#This Row],[Name]])-1))</f>
        <v>Mr.</v>
      </c>
      <c r="H572" s="1" t="s">
        <v>13</v>
      </c>
      <c r="I572">
        <v>62</v>
      </c>
      <c r="J572" t="str">
        <f>IF(Titanic_Dataset[[#This Row],[Age]]&lt;12,"0-11",
IF(Titanic_Dataset[[#This Row],[Age]]&lt;20,"12-19",
IF(Titanic_Dataset[[#This Row],[Age]]&lt;30,"20-29",
IF(Titanic_Dataset[[#This Row],[Age]]&lt;40,"30-39",
IF(Titanic_Dataset[[#This Row],[Age]]&lt;50,"40-49",
IF(Titanic_Dataset[[#This Row],[Age]]&lt;60,"50-59",
IF(Titanic_Dataset[[#This Row],[Age]]&lt;70,"60-69",)))))))</f>
        <v>60-69</v>
      </c>
      <c r="K572">
        <v>0</v>
      </c>
      <c r="L572">
        <v>0</v>
      </c>
      <c r="M572">
        <f>Titanic_Dataset[[#This Row],[Parch]]+Titanic_Dataset[[#This Row],[SibSp]]</f>
        <v>0</v>
      </c>
      <c r="N572" s="1" t="s">
        <v>1158</v>
      </c>
      <c r="O572">
        <v>10.5</v>
      </c>
      <c r="P572">
        <f>IF(Titanic_Dataset[[#This Row],[Survived]]=1,Titanic_Dataset[[#This Row],[Fare]],NA())</f>
        <v>10.5</v>
      </c>
      <c r="Q572" t="e">
        <f>IF(Titanic_Dataset[[#This Row],[Survived]]=0,Titanic_Dataset[[#This Row],[Fare]],NA())</f>
        <v>#N/A</v>
      </c>
      <c r="R572" t="str">
        <f>VLOOKUP(Titanic_Dataset[[#This Row],[Fare]],Table2[],2,TRUE)</f>
        <v>medium</v>
      </c>
      <c r="S572" s="1" t="s">
        <v>15</v>
      </c>
      <c r="T572" s="1" t="s">
        <v>16</v>
      </c>
      <c r="U572" s="1"/>
      <c r="V572" s="1"/>
      <c r="W572" s="1"/>
    </row>
    <row r="573" spans="1:23" x14ac:dyDescent="0.25">
      <c r="A573">
        <v>572</v>
      </c>
      <c r="B573">
        <v>1</v>
      </c>
      <c r="C573" t="str">
        <f>IF(Titanic_Dataset[[#This Row],[Survived]]=1,"Survived","Died")</f>
        <v>Survived</v>
      </c>
      <c r="D573">
        <v>1</v>
      </c>
      <c r="E573" t="str">
        <f>IF(Titanic_Dataset[[#This Row],[Pclass]]=1,"1st",IF(Titanic_Dataset[[#This Row],[Pclass]]=2,"2nd",IF(Titanic_Dataset[[#This Row],[Pclass]]=3,"3rd")))</f>
        <v>1st</v>
      </c>
      <c r="F573" s="1" t="s">
        <v>1159</v>
      </c>
      <c r="G573" s="1" t="str">
        <f>TRIM(MID(Titanic_Dataset[[#This Row],[Name]],
FIND(",",Titanic_Dataset[[#This Row],[Name]])+2,
FIND(".",Titanic_Dataset[[#This Row],[Name]],FIND(",",Titanic_Dataset[[#This Row],[Name]]))-FIND(",",Titanic_Dataset[[#This Row],[Name]])-1))</f>
        <v>Mrs.</v>
      </c>
      <c r="H573" s="1" t="s">
        <v>18</v>
      </c>
      <c r="I573">
        <v>53</v>
      </c>
      <c r="J573" t="str">
        <f>IF(Titanic_Dataset[[#This Row],[Age]]&lt;12,"0-11",
IF(Titanic_Dataset[[#This Row],[Age]]&lt;20,"12-19",
IF(Titanic_Dataset[[#This Row],[Age]]&lt;30,"20-29",
IF(Titanic_Dataset[[#This Row],[Age]]&lt;40,"30-39",
IF(Titanic_Dataset[[#This Row],[Age]]&lt;50,"40-49",
IF(Titanic_Dataset[[#This Row],[Age]]&lt;60,"50-59",
IF(Titanic_Dataset[[#This Row],[Age]]&lt;70,"60-69",)))))))</f>
        <v>50-59</v>
      </c>
      <c r="K573">
        <v>2</v>
      </c>
      <c r="L573">
        <v>0</v>
      </c>
      <c r="M573">
        <f>Titanic_Dataset[[#This Row],[Parch]]+Titanic_Dataset[[#This Row],[SibSp]]</f>
        <v>2</v>
      </c>
      <c r="N573" s="1" t="s">
        <v>1160</v>
      </c>
      <c r="O573">
        <v>51.479199999999999</v>
      </c>
      <c r="P573">
        <f>IF(Titanic_Dataset[[#This Row],[Survived]]=1,Titanic_Dataset[[#This Row],[Fare]],NA())</f>
        <v>51.479199999999999</v>
      </c>
      <c r="Q573" t="e">
        <f>IF(Titanic_Dataset[[#This Row],[Survived]]=0,Titanic_Dataset[[#This Row],[Fare]],NA())</f>
        <v>#N/A</v>
      </c>
      <c r="R573" t="str">
        <f>VLOOKUP(Titanic_Dataset[[#This Row],[Fare]],Table2[],2,TRUE)</f>
        <v>very hiegh</v>
      </c>
      <c r="S573" s="1" t="s">
        <v>1161</v>
      </c>
      <c r="T573" s="1" t="s">
        <v>16</v>
      </c>
      <c r="U573" s="1"/>
      <c r="V573" s="1"/>
      <c r="W573" s="1"/>
    </row>
    <row r="574" spans="1:23" x14ac:dyDescent="0.25">
      <c r="A574">
        <v>573</v>
      </c>
      <c r="B574">
        <v>1</v>
      </c>
      <c r="C574" t="str">
        <f>IF(Titanic_Dataset[[#This Row],[Survived]]=1,"Survived","Died")</f>
        <v>Survived</v>
      </c>
      <c r="D574">
        <v>1</v>
      </c>
      <c r="E574" t="str">
        <f>IF(Titanic_Dataset[[#This Row],[Pclass]]=1,"1st",IF(Titanic_Dataset[[#This Row],[Pclass]]=2,"2nd",IF(Titanic_Dataset[[#This Row],[Pclass]]=3,"3rd")))</f>
        <v>1st</v>
      </c>
      <c r="F574" s="1" t="s">
        <v>1162</v>
      </c>
      <c r="G574" s="1" t="str">
        <f>TRIM(MID(Titanic_Dataset[[#This Row],[Name]],
FIND(",",Titanic_Dataset[[#This Row],[Name]])+2,
FIND(".",Titanic_Dataset[[#This Row],[Name]],FIND(",",Titanic_Dataset[[#This Row],[Name]]))-FIND(",",Titanic_Dataset[[#This Row],[Name]])-1))</f>
        <v>Mr.</v>
      </c>
      <c r="H574" s="1" t="s">
        <v>13</v>
      </c>
      <c r="I574">
        <v>36</v>
      </c>
      <c r="J574" t="str">
        <f>IF(Titanic_Dataset[[#This Row],[Age]]&lt;12,"0-11",
IF(Titanic_Dataset[[#This Row],[Age]]&lt;20,"12-19",
IF(Titanic_Dataset[[#This Row],[Age]]&lt;30,"20-29",
IF(Titanic_Dataset[[#This Row],[Age]]&lt;40,"30-39",
IF(Titanic_Dataset[[#This Row],[Age]]&lt;50,"40-49",
IF(Titanic_Dataset[[#This Row],[Age]]&lt;60,"50-59",
IF(Titanic_Dataset[[#This Row],[Age]]&lt;70,"60-69",)))))))</f>
        <v>30-39</v>
      </c>
      <c r="K574">
        <v>0</v>
      </c>
      <c r="L574">
        <v>0</v>
      </c>
      <c r="M574">
        <f>Titanic_Dataset[[#This Row],[Parch]]+Titanic_Dataset[[#This Row],[SibSp]]</f>
        <v>0</v>
      </c>
      <c r="N574" s="1" t="s">
        <v>1163</v>
      </c>
      <c r="O574">
        <v>26.387499999999999</v>
      </c>
      <c r="P574">
        <f>IF(Titanic_Dataset[[#This Row],[Survived]]=1,Titanic_Dataset[[#This Row],[Fare]],NA())</f>
        <v>26.387499999999999</v>
      </c>
      <c r="Q574" t="e">
        <f>IF(Titanic_Dataset[[#This Row],[Survived]]=0,Titanic_Dataset[[#This Row],[Fare]],NA())</f>
        <v>#N/A</v>
      </c>
      <c r="R574" t="str">
        <f>VLOOKUP(Titanic_Dataset[[#This Row],[Fare]],Table2[],2,TRUE)</f>
        <v>high</v>
      </c>
      <c r="S574" s="1" t="s">
        <v>1048</v>
      </c>
      <c r="T574" s="1" t="s">
        <v>16</v>
      </c>
      <c r="U574" s="1"/>
      <c r="V574" s="1"/>
      <c r="W574" s="1"/>
    </row>
    <row r="575" spans="1:23" x14ac:dyDescent="0.25">
      <c r="A575">
        <v>574</v>
      </c>
      <c r="B575">
        <v>1</v>
      </c>
      <c r="C575" t="str">
        <f>IF(Titanic_Dataset[[#This Row],[Survived]]=1,"Survived","Died")</f>
        <v>Survived</v>
      </c>
      <c r="D575">
        <v>3</v>
      </c>
      <c r="E575" t="str">
        <f>IF(Titanic_Dataset[[#This Row],[Pclass]]=1,"1st",IF(Titanic_Dataset[[#This Row],[Pclass]]=2,"2nd",IF(Titanic_Dataset[[#This Row],[Pclass]]=3,"3rd")))</f>
        <v>3rd</v>
      </c>
      <c r="F575" s="1" t="s">
        <v>1164</v>
      </c>
      <c r="G575" s="1" t="str">
        <f>TRIM(MID(Titanic_Dataset[[#This Row],[Name]],
FIND(",",Titanic_Dataset[[#This Row],[Name]])+2,
FIND(".",Titanic_Dataset[[#This Row],[Name]],FIND(",",Titanic_Dataset[[#This Row],[Name]]))-FIND(",",Titanic_Dataset[[#This Row],[Name]])-1))</f>
        <v>Miss.</v>
      </c>
      <c r="H575" s="1" t="s">
        <v>18</v>
      </c>
      <c r="I575">
        <v>28</v>
      </c>
      <c r="J57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75">
        <v>0</v>
      </c>
      <c r="L575">
        <v>0</v>
      </c>
      <c r="M575">
        <f>Titanic_Dataset[[#This Row],[Parch]]+Titanic_Dataset[[#This Row],[SibSp]]</f>
        <v>0</v>
      </c>
      <c r="N575" s="1" t="s">
        <v>1165</v>
      </c>
      <c r="O575">
        <v>7.75</v>
      </c>
      <c r="P575">
        <f>IF(Titanic_Dataset[[#This Row],[Survived]]=1,Titanic_Dataset[[#This Row],[Fare]],NA())</f>
        <v>7.75</v>
      </c>
      <c r="Q575" t="e">
        <f>IF(Titanic_Dataset[[#This Row],[Survived]]=0,Titanic_Dataset[[#This Row],[Fare]],NA())</f>
        <v>#N/A</v>
      </c>
      <c r="R575" t="str">
        <f>VLOOKUP(Titanic_Dataset[[#This Row],[Fare]],Table2[],2,TRUE)</f>
        <v>low</v>
      </c>
      <c r="S575" s="1" t="s">
        <v>15</v>
      </c>
      <c r="T575" s="1" t="s">
        <v>31</v>
      </c>
      <c r="U575" s="1"/>
      <c r="V575" s="1"/>
      <c r="W575" s="1"/>
    </row>
    <row r="576" spans="1:23" x14ac:dyDescent="0.25">
      <c r="A576">
        <v>575</v>
      </c>
      <c r="B576">
        <v>0</v>
      </c>
      <c r="C576" t="str">
        <f>IF(Titanic_Dataset[[#This Row],[Survived]]=1,"Survived","Died")</f>
        <v>Died</v>
      </c>
      <c r="D576">
        <v>3</v>
      </c>
      <c r="E576" t="str">
        <f>IF(Titanic_Dataset[[#This Row],[Pclass]]=1,"1st",IF(Titanic_Dataset[[#This Row],[Pclass]]=2,"2nd",IF(Titanic_Dataset[[#This Row],[Pclass]]=3,"3rd")))</f>
        <v>3rd</v>
      </c>
      <c r="F576" s="1" t="s">
        <v>1166</v>
      </c>
      <c r="G576" s="1" t="str">
        <f>TRIM(MID(Titanic_Dataset[[#This Row],[Name]],
FIND(",",Titanic_Dataset[[#This Row],[Name]])+2,
FIND(".",Titanic_Dataset[[#This Row],[Name]],FIND(",",Titanic_Dataset[[#This Row],[Name]]))-FIND(",",Titanic_Dataset[[#This Row],[Name]])-1))</f>
        <v>Mr.</v>
      </c>
      <c r="H576" s="1" t="s">
        <v>13</v>
      </c>
      <c r="I576">
        <v>16</v>
      </c>
      <c r="J576" t="str">
        <f>IF(Titanic_Dataset[[#This Row],[Age]]&lt;12,"0-11",
IF(Titanic_Dataset[[#This Row],[Age]]&lt;20,"12-19",
IF(Titanic_Dataset[[#This Row],[Age]]&lt;30,"20-29",
IF(Titanic_Dataset[[#This Row],[Age]]&lt;40,"30-39",
IF(Titanic_Dataset[[#This Row],[Age]]&lt;50,"40-49",
IF(Titanic_Dataset[[#This Row],[Age]]&lt;60,"50-59",
IF(Titanic_Dataset[[#This Row],[Age]]&lt;70,"60-69",)))))))</f>
        <v>12-19</v>
      </c>
      <c r="K576">
        <v>0</v>
      </c>
      <c r="L576">
        <v>0</v>
      </c>
      <c r="M576">
        <f>Titanic_Dataset[[#This Row],[Parch]]+Titanic_Dataset[[#This Row],[SibSp]]</f>
        <v>0</v>
      </c>
      <c r="N576" s="1" t="s">
        <v>1167</v>
      </c>
      <c r="O576">
        <v>8.0500000000000007</v>
      </c>
      <c r="P576" t="e">
        <f>IF(Titanic_Dataset[[#This Row],[Survived]]=1,Titanic_Dataset[[#This Row],[Fare]],NA())</f>
        <v>#N/A</v>
      </c>
      <c r="Q576">
        <f>IF(Titanic_Dataset[[#This Row],[Survived]]=0,Titanic_Dataset[[#This Row],[Fare]],NA())</f>
        <v>8.0500000000000007</v>
      </c>
      <c r="R576" t="str">
        <f>VLOOKUP(Titanic_Dataset[[#This Row],[Fare]],Table2[],2,TRUE)</f>
        <v>medium</v>
      </c>
      <c r="S576" s="1" t="s">
        <v>15</v>
      </c>
      <c r="T576" s="1" t="s">
        <v>16</v>
      </c>
      <c r="U576" s="1"/>
      <c r="V576" s="1"/>
      <c r="W576" s="1"/>
    </row>
    <row r="577" spans="1:23" x14ac:dyDescent="0.25">
      <c r="A577">
        <v>576</v>
      </c>
      <c r="B577">
        <v>0</v>
      </c>
      <c r="C577" t="str">
        <f>IF(Titanic_Dataset[[#This Row],[Survived]]=1,"Survived","Died")</f>
        <v>Died</v>
      </c>
      <c r="D577">
        <v>3</v>
      </c>
      <c r="E577" t="str">
        <f>IF(Titanic_Dataset[[#This Row],[Pclass]]=1,"1st",IF(Titanic_Dataset[[#This Row],[Pclass]]=2,"2nd",IF(Titanic_Dataset[[#This Row],[Pclass]]=3,"3rd")))</f>
        <v>3rd</v>
      </c>
      <c r="F577" s="1" t="s">
        <v>1168</v>
      </c>
      <c r="G577" s="1" t="str">
        <f>TRIM(MID(Titanic_Dataset[[#This Row],[Name]],
FIND(",",Titanic_Dataset[[#This Row],[Name]])+2,
FIND(".",Titanic_Dataset[[#This Row],[Name]],FIND(",",Titanic_Dataset[[#This Row],[Name]]))-FIND(",",Titanic_Dataset[[#This Row],[Name]])-1))</f>
        <v>Mr.</v>
      </c>
      <c r="H577" s="1" t="s">
        <v>13</v>
      </c>
      <c r="I577">
        <v>19</v>
      </c>
      <c r="J577" t="str">
        <f>IF(Titanic_Dataset[[#This Row],[Age]]&lt;12,"0-11",
IF(Titanic_Dataset[[#This Row],[Age]]&lt;20,"12-19",
IF(Titanic_Dataset[[#This Row],[Age]]&lt;30,"20-29",
IF(Titanic_Dataset[[#This Row],[Age]]&lt;40,"30-39",
IF(Titanic_Dataset[[#This Row],[Age]]&lt;50,"40-49",
IF(Titanic_Dataset[[#This Row],[Age]]&lt;60,"50-59",
IF(Titanic_Dataset[[#This Row],[Age]]&lt;70,"60-69",)))))))</f>
        <v>12-19</v>
      </c>
      <c r="K577">
        <v>0</v>
      </c>
      <c r="L577">
        <v>0</v>
      </c>
      <c r="M577">
        <f>Titanic_Dataset[[#This Row],[Parch]]+Titanic_Dataset[[#This Row],[SibSp]]</f>
        <v>0</v>
      </c>
      <c r="N577" s="1" t="s">
        <v>1169</v>
      </c>
      <c r="O577">
        <v>14.5</v>
      </c>
      <c r="P577" t="e">
        <f>IF(Titanic_Dataset[[#This Row],[Survived]]=1,Titanic_Dataset[[#This Row],[Fare]],NA())</f>
        <v>#N/A</v>
      </c>
      <c r="Q577">
        <f>IF(Titanic_Dataset[[#This Row],[Survived]]=0,Titanic_Dataset[[#This Row],[Fare]],NA())</f>
        <v>14.5</v>
      </c>
      <c r="R577" t="str">
        <f>VLOOKUP(Titanic_Dataset[[#This Row],[Fare]],Table2[],2,TRUE)</f>
        <v>medium</v>
      </c>
      <c r="S577" s="1" t="s">
        <v>15</v>
      </c>
      <c r="T577" s="1" t="s">
        <v>16</v>
      </c>
      <c r="U577" s="1"/>
      <c r="V577" s="1"/>
      <c r="W577" s="1"/>
    </row>
    <row r="578" spans="1:23" x14ac:dyDescent="0.25">
      <c r="A578">
        <v>577</v>
      </c>
      <c r="B578">
        <v>1</v>
      </c>
      <c r="C578" t="str">
        <f>IF(Titanic_Dataset[[#This Row],[Survived]]=1,"Survived","Died")</f>
        <v>Survived</v>
      </c>
      <c r="D578">
        <v>2</v>
      </c>
      <c r="E578" t="str">
        <f>IF(Titanic_Dataset[[#This Row],[Pclass]]=1,"1st",IF(Titanic_Dataset[[#This Row],[Pclass]]=2,"2nd",IF(Titanic_Dataset[[#This Row],[Pclass]]=3,"3rd")))</f>
        <v>2nd</v>
      </c>
      <c r="F578" s="1" t="s">
        <v>1170</v>
      </c>
      <c r="G578" s="1" t="str">
        <f>TRIM(MID(Titanic_Dataset[[#This Row],[Name]],
FIND(",",Titanic_Dataset[[#This Row],[Name]])+2,
FIND(".",Titanic_Dataset[[#This Row],[Name]],FIND(",",Titanic_Dataset[[#This Row],[Name]]))-FIND(",",Titanic_Dataset[[#This Row],[Name]])-1))</f>
        <v>Miss.</v>
      </c>
      <c r="H578" s="1" t="s">
        <v>18</v>
      </c>
      <c r="I578">
        <v>34</v>
      </c>
      <c r="J578" t="str">
        <f>IF(Titanic_Dataset[[#This Row],[Age]]&lt;12,"0-11",
IF(Titanic_Dataset[[#This Row],[Age]]&lt;20,"12-19",
IF(Titanic_Dataset[[#This Row],[Age]]&lt;30,"20-29",
IF(Titanic_Dataset[[#This Row],[Age]]&lt;40,"30-39",
IF(Titanic_Dataset[[#This Row],[Age]]&lt;50,"40-49",
IF(Titanic_Dataset[[#This Row],[Age]]&lt;60,"50-59",
IF(Titanic_Dataset[[#This Row],[Age]]&lt;70,"60-69",)))))))</f>
        <v>30-39</v>
      </c>
      <c r="K578">
        <v>0</v>
      </c>
      <c r="L578">
        <v>0</v>
      </c>
      <c r="M578">
        <f>Titanic_Dataset[[#This Row],[Parch]]+Titanic_Dataset[[#This Row],[SibSp]]</f>
        <v>0</v>
      </c>
      <c r="N578" s="1" t="s">
        <v>1171</v>
      </c>
      <c r="O578">
        <v>13</v>
      </c>
      <c r="P578">
        <f>IF(Titanic_Dataset[[#This Row],[Survived]]=1,Titanic_Dataset[[#This Row],[Fare]],NA())</f>
        <v>13</v>
      </c>
      <c r="Q578" t="e">
        <f>IF(Titanic_Dataset[[#This Row],[Survived]]=0,Titanic_Dataset[[#This Row],[Fare]],NA())</f>
        <v>#N/A</v>
      </c>
      <c r="R578" t="str">
        <f>VLOOKUP(Titanic_Dataset[[#This Row],[Fare]],Table2[],2,TRUE)</f>
        <v>medium</v>
      </c>
      <c r="S578" s="1" t="s">
        <v>15</v>
      </c>
      <c r="T578" s="1" t="s">
        <v>16</v>
      </c>
      <c r="U578" s="1"/>
      <c r="V578" s="1"/>
      <c r="W578" s="1"/>
    </row>
    <row r="579" spans="1:23" x14ac:dyDescent="0.25">
      <c r="A579">
        <v>578</v>
      </c>
      <c r="B579">
        <v>1</v>
      </c>
      <c r="C579" t="str">
        <f>IF(Titanic_Dataset[[#This Row],[Survived]]=1,"Survived","Died")</f>
        <v>Survived</v>
      </c>
      <c r="D579">
        <v>1</v>
      </c>
      <c r="E579" t="str">
        <f>IF(Titanic_Dataset[[#This Row],[Pclass]]=1,"1st",IF(Titanic_Dataset[[#This Row],[Pclass]]=2,"2nd",IF(Titanic_Dataset[[#This Row],[Pclass]]=3,"3rd")))</f>
        <v>1st</v>
      </c>
      <c r="F579" s="1" t="s">
        <v>1172</v>
      </c>
      <c r="G579" s="1" t="str">
        <f>TRIM(MID(Titanic_Dataset[[#This Row],[Name]],
FIND(",",Titanic_Dataset[[#This Row],[Name]])+2,
FIND(".",Titanic_Dataset[[#This Row],[Name]],FIND(",",Titanic_Dataset[[#This Row],[Name]]))-FIND(",",Titanic_Dataset[[#This Row],[Name]])-1))</f>
        <v>Mrs.</v>
      </c>
      <c r="H579" s="1" t="s">
        <v>18</v>
      </c>
      <c r="I579">
        <v>39</v>
      </c>
      <c r="J579" t="str">
        <f>IF(Titanic_Dataset[[#This Row],[Age]]&lt;12,"0-11",
IF(Titanic_Dataset[[#This Row],[Age]]&lt;20,"12-19",
IF(Titanic_Dataset[[#This Row],[Age]]&lt;30,"20-29",
IF(Titanic_Dataset[[#This Row],[Age]]&lt;40,"30-39",
IF(Titanic_Dataset[[#This Row],[Age]]&lt;50,"40-49",
IF(Titanic_Dataset[[#This Row],[Age]]&lt;60,"50-59",
IF(Titanic_Dataset[[#This Row],[Age]]&lt;70,"60-69",)))))))</f>
        <v>30-39</v>
      </c>
      <c r="K579">
        <v>1</v>
      </c>
      <c r="L579">
        <v>0</v>
      </c>
      <c r="M579">
        <f>Titanic_Dataset[[#This Row],[Parch]]+Titanic_Dataset[[#This Row],[SibSp]]</f>
        <v>1</v>
      </c>
      <c r="N579" s="1" t="s">
        <v>898</v>
      </c>
      <c r="O579">
        <v>55.9</v>
      </c>
      <c r="P579">
        <f>IF(Titanic_Dataset[[#This Row],[Survived]]=1,Titanic_Dataset[[#This Row],[Fare]],NA())</f>
        <v>55.9</v>
      </c>
      <c r="Q579" t="e">
        <f>IF(Titanic_Dataset[[#This Row],[Survived]]=0,Titanic_Dataset[[#This Row],[Fare]],NA())</f>
        <v>#N/A</v>
      </c>
      <c r="R579" t="str">
        <f>VLOOKUP(Titanic_Dataset[[#This Row],[Fare]],Table2[],2,TRUE)</f>
        <v>very hiegh</v>
      </c>
      <c r="S579" s="1" t="s">
        <v>899</v>
      </c>
      <c r="T579" s="1" t="s">
        <v>16</v>
      </c>
      <c r="U579" s="1"/>
      <c r="V579" s="1"/>
      <c r="W579" s="1"/>
    </row>
    <row r="580" spans="1:23" x14ac:dyDescent="0.25">
      <c r="A580">
        <v>579</v>
      </c>
      <c r="B580">
        <v>0</v>
      </c>
      <c r="C580" t="str">
        <f>IF(Titanic_Dataset[[#This Row],[Survived]]=1,"Survived","Died")</f>
        <v>Died</v>
      </c>
      <c r="D580">
        <v>3</v>
      </c>
      <c r="E580" t="str">
        <f>IF(Titanic_Dataset[[#This Row],[Pclass]]=1,"1st",IF(Titanic_Dataset[[#This Row],[Pclass]]=2,"2nd",IF(Titanic_Dataset[[#This Row],[Pclass]]=3,"3rd")))</f>
        <v>3rd</v>
      </c>
      <c r="F580" s="1" t="s">
        <v>1173</v>
      </c>
      <c r="G580" s="1" t="str">
        <f>TRIM(MID(Titanic_Dataset[[#This Row],[Name]],
FIND(",",Titanic_Dataset[[#This Row],[Name]])+2,
FIND(".",Titanic_Dataset[[#This Row],[Name]],FIND(",",Titanic_Dataset[[#This Row],[Name]]))-FIND(",",Titanic_Dataset[[#This Row],[Name]])-1))</f>
        <v>Mrs.</v>
      </c>
      <c r="H580" s="1" t="s">
        <v>18</v>
      </c>
      <c r="I580">
        <v>28</v>
      </c>
      <c r="J58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80">
        <v>1</v>
      </c>
      <c r="L580">
        <v>0</v>
      </c>
      <c r="M580">
        <f>Titanic_Dataset[[#This Row],[Parch]]+Titanic_Dataset[[#This Row],[SibSp]]</f>
        <v>1</v>
      </c>
      <c r="N580" s="1" t="s">
        <v>1174</v>
      </c>
      <c r="O580">
        <v>14.458299999999999</v>
      </c>
      <c r="P580" t="e">
        <f>IF(Titanic_Dataset[[#This Row],[Survived]]=1,Titanic_Dataset[[#This Row],[Fare]],NA())</f>
        <v>#N/A</v>
      </c>
      <c r="Q580">
        <f>IF(Titanic_Dataset[[#This Row],[Survived]]=0,Titanic_Dataset[[#This Row],[Fare]],NA())</f>
        <v>14.458299999999999</v>
      </c>
      <c r="R580" t="str">
        <f>VLOOKUP(Titanic_Dataset[[#This Row],[Fare]],Table2[],2,TRUE)</f>
        <v>medium</v>
      </c>
      <c r="S580" s="1" t="s">
        <v>15</v>
      </c>
      <c r="T580" s="1" t="s">
        <v>21</v>
      </c>
      <c r="U580" s="1"/>
      <c r="V580" s="1"/>
      <c r="W580" s="1"/>
    </row>
    <row r="581" spans="1:23" x14ac:dyDescent="0.25">
      <c r="A581">
        <v>580</v>
      </c>
      <c r="B581">
        <v>1</v>
      </c>
      <c r="C581" t="str">
        <f>IF(Titanic_Dataset[[#This Row],[Survived]]=1,"Survived","Died")</f>
        <v>Survived</v>
      </c>
      <c r="D581">
        <v>3</v>
      </c>
      <c r="E581" t="str">
        <f>IF(Titanic_Dataset[[#This Row],[Pclass]]=1,"1st",IF(Titanic_Dataset[[#This Row],[Pclass]]=2,"2nd",IF(Titanic_Dataset[[#This Row],[Pclass]]=3,"3rd")))</f>
        <v>3rd</v>
      </c>
      <c r="F581" s="1" t="s">
        <v>1175</v>
      </c>
      <c r="G581" s="1" t="str">
        <f>TRIM(MID(Titanic_Dataset[[#This Row],[Name]],
FIND(",",Titanic_Dataset[[#This Row],[Name]])+2,
FIND(".",Titanic_Dataset[[#This Row],[Name]],FIND(",",Titanic_Dataset[[#This Row],[Name]]))-FIND(",",Titanic_Dataset[[#This Row],[Name]])-1))</f>
        <v>Mr.</v>
      </c>
      <c r="H581" s="1" t="s">
        <v>13</v>
      </c>
      <c r="I581">
        <v>32</v>
      </c>
      <c r="J581" t="str">
        <f>IF(Titanic_Dataset[[#This Row],[Age]]&lt;12,"0-11",
IF(Titanic_Dataset[[#This Row],[Age]]&lt;20,"12-19",
IF(Titanic_Dataset[[#This Row],[Age]]&lt;30,"20-29",
IF(Titanic_Dataset[[#This Row],[Age]]&lt;40,"30-39",
IF(Titanic_Dataset[[#This Row],[Age]]&lt;50,"40-49",
IF(Titanic_Dataset[[#This Row],[Age]]&lt;60,"50-59",
IF(Titanic_Dataset[[#This Row],[Age]]&lt;70,"60-69",)))))))</f>
        <v>30-39</v>
      </c>
      <c r="K581">
        <v>0</v>
      </c>
      <c r="L581">
        <v>0</v>
      </c>
      <c r="M581">
        <f>Titanic_Dataset[[#This Row],[Parch]]+Titanic_Dataset[[#This Row],[SibSp]]</f>
        <v>0</v>
      </c>
      <c r="N581" s="1" t="s">
        <v>1176</v>
      </c>
      <c r="O581">
        <v>7.9249999999999998</v>
      </c>
      <c r="P581">
        <f>IF(Titanic_Dataset[[#This Row],[Survived]]=1,Titanic_Dataset[[#This Row],[Fare]],NA())</f>
        <v>7.9249999999999998</v>
      </c>
      <c r="Q581" t="e">
        <f>IF(Titanic_Dataset[[#This Row],[Survived]]=0,Titanic_Dataset[[#This Row],[Fare]],NA())</f>
        <v>#N/A</v>
      </c>
      <c r="R581" t="str">
        <f>VLOOKUP(Titanic_Dataset[[#This Row],[Fare]],Table2[],2,TRUE)</f>
        <v>low</v>
      </c>
      <c r="S581" s="1" t="s">
        <v>15</v>
      </c>
      <c r="T581" s="1" t="s">
        <v>16</v>
      </c>
      <c r="U581" s="1"/>
      <c r="V581" s="1"/>
      <c r="W581" s="1"/>
    </row>
    <row r="582" spans="1:23" x14ac:dyDescent="0.25">
      <c r="A582">
        <v>581</v>
      </c>
      <c r="B582">
        <v>1</v>
      </c>
      <c r="C582" t="str">
        <f>IF(Titanic_Dataset[[#This Row],[Survived]]=1,"Survived","Died")</f>
        <v>Survived</v>
      </c>
      <c r="D582">
        <v>2</v>
      </c>
      <c r="E582" t="str">
        <f>IF(Titanic_Dataset[[#This Row],[Pclass]]=1,"1st",IF(Titanic_Dataset[[#This Row],[Pclass]]=2,"2nd",IF(Titanic_Dataset[[#This Row],[Pclass]]=3,"3rd")))</f>
        <v>2nd</v>
      </c>
      <c r="F582" s="1" t="s">
        <v>1177</v>
      </c>
      <c r="G582" s="1" t="str">
        <f>TRIM(MID(Titanic_Dataset[[#This Row],[Name]],
FIND(",",Titanic_Dataset[[#This Row],[Name]])+2,
FIND(".",Titanic_Dataset[[#This Row],[Name]],FIND(",",Titanic_Dataset[[#This Row],[Name]]))-FIND(",",Titanic_Dataset[[#This Row],[Name]])-1))</f>
        <v>Miss.</v>
      </c>
      <c r="H582" s="1" t="s">
        <v>18</v>
      </c>
      <c r="I582">
        <v>25</v>
      </c>
      <c r="J58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82">
        <v>1</v>
      </c>
      <c r="L582">
        <v>1</v>
      </c>
      <c r="M582">
        <f>Titanic_Dataset[[#This Row],[Parch]]+Titanic_Dataset[[#This Row],[SibSp]]</f>
        <v>2</v>
      </c>
      <c r="N582" s="1" t="s">
        <v>1178</v>
      </c>
      <c r="O582">
        <v>30</v>
      </c>
      <c r="P582">
        <f>IF(Titanic_Dataset[[#This Row],[Survived]]=1,Titanic_Dataset[[#This Row],[Fare]],NA())</f>
        <v>30</v>
      </c>
      <c r="Q582" t="e">
        <f>IF(Titanic_Dataset[[#This Row],[Survived]]=0,Titanic_Dataset[[#This Row],[Fare]],NA())</f>
        <v>#N/A</v>
      </c>
      <c r="R582" t="str">
        <f>VLOOKUP(Titanic_Dataset[[#This Row],[Fare]],Table2[],2,TRUE)</f>
        <v>very hiegh</v>
      </c>
      <c r="S582" s="1" t="s">
        <v>15</v>
      </c>
      <c r="T582" s="1" t="s">
        <v>16</v>
      </c>
      <c r="U582" s="1"/>
      <c r="V582" s="1"/>
      <c r="W582" s="1"/>
    </row>
    <row r="583" spans="1:23" x14ac:dyDescent="0.25">
      <c r="A583">
        <v>582</v>
      </c>
      <c r="B583">
        <v>1</v>
      </c>
      <c r="C583" t="str">
        <f>IF(Titanic_Dataset[[#This Row],[Survived]]=1,"Survived","Died")</f>
        <v>Survived</v>
      </c>
      <c r="D583">
        <v>1</v>
      </c>
      <c r="E583" t="str">
        <f>IF(Titanic_Dataset[[#This Row],[Pclass]]=1,"1st",IF(Titanic_Dataset[[#This Row],[Pclass]]=2,"2nd",IF(Titanic_Dataset[[#This Row],[Pclass]]=3,"3rd")))</f>
        <v>1st</v>
      </c>
      <c r="F583" s="1" t="s">
        <v>1179</v>
      </c>
      <c r="G583" s="1" t="str">
        <f>TRIM(MID(Titanic_Dataset[[#This Row],[Name]],
FIND(",",Titanic_Dataset[[#This Row],[Name]])+2,
FIND(".",Titanic_Dataset[[#This Row],[Name]],FIND(",",Titanic_Dataset[[#This Row],[Name]]))-FIND(",",Titanic_Dataset[[#This Row],[Name]])-1))</f>
        <v>Mrs.</v>
      </c>
      <c r="H583" s="1" t="s">
        <v>18</v>
      </c>
      <c r="I583">
        <v>39</v>
      </c>
      <c r="J583" t="str">
        <f>IF(Titanic_Dataset[[#This Row],[Age]]&lt;12,"0-11",
IF(Titanic_Dataset[[#This Row],[Age]]&lt;20,"12-19",
IF(Titanic_Dataset[[#This Row],[Age]]&lt;30,"20-29",
IF(Titanic_Dataset[[#This Row],[Age]]&lt;40,"30-39",
IF(Titanic_Dataset[[#This Row],[Age]]&lt;50,"40-49",
IF(Titanic_Dataset[[#This Row],[Age]]&lt;60,"50-59",
IF(Titanic_Dataset[[#This Row],[Age]]&lt;70,"60-69",)))))))</f>
        <v>30-39</v>
      </c>
      <c r="K583">
        <v>1</v>
      </c>
      <c r="L583">
        <v>1</v>
      </c>
      <c r="M583">
        <f>Titanic_Dataset[[#This Row],[Parch]]+Titanic_Dataset[[#This Row],[SibSp]]</f>
        <v>2</v>
      </c>
      <c r="N583" s="1" t="s">
        <v>652</v>
      </c>
      <c r="O583">
        <v>110.88330000000001</v>
      </c>
      <c r="P583">
        <f>IF(Titanic_Dataset[[#This Row],[Survived]]=1,Titanic_Dataset[[#This Row],[Fare]],NA())</f>
        <v>110.88330000000001</v>
      </c>
      <c r="Q583" t="e">
        <f>IF(Titanic_Dataset[[#This Row],[Survived]]=0,Titanic_Dataset[[#This Row],[Fare]],NA())</f>
        <v>#N/A</v>
      </c>
      <c r="R583" t="str">
        <f>VLOOKUP(Titanic_Dataset[[#This Row],[Fare]],Table2[],2,TRUE)</f>
        <v>very hiegh</v>
      </c>
      <c r="S583" s="1" t="s">
        <v>1180</v>
      </c>
      <c r="T583" s="1" t="s">
        <v>21</v>
      </c>
      <c r="U583" s="1"/>
      <c r="V583" s="1"/>
      <c r="W583" s="1"/>
    </row>
    <row r="584" spans="1:23" x14ac:dyDescent="0.25">
      <c r="A584">
        <v>583</v>
      </c>
      <c r="B584">
        <v>0</v>
      </c>
      <c r="C584" t="str">
        <f>IF(Titanic_Dataset[[#This Row],[Survived]]=1,"Survived","Died")</f>
        <v>Died</v>
      </c>
      <c r="D584">
        <v>2</v>
      </c>
      <c r="E584" t="str">
        <f>IF(Titanic_Dataset[[#This Row],[Pclass]]=1,"1st",IF(Titanic_Dataset[[#This Row],[Pclass]]=2,"2nd",IF(Titanic_Dataset[[#This Row],[Pclass]]=3,"3rd")))</f>
        <v>2nd</v>
      </c>
      <c r="F584" s="1" t="s">
        <v>1181</v>
      </c>
      <c r="G584" s="1" t="str">
        <f>TRIM(MID(Titanic_Dataset[[#This Row],[Name]],
FIND(",",Titanic_Dataset[[#This Row],[Name]])+2,
FIND(".",Titanic_Dataset[[#This Row],[Name]],FIND(",",Titanic_Dataset[[#This Row],[Name]]))-FIND(",",Titanic_Dataset[[#This Row],[Name]])-1))</f>
        <v>Mr.</v>
      </c>
      <c r="H584" s="1" t="s">
        <v>13</v>
      </c>
      <c r="I584">
        <v>54</v>
      </c>
      <c r="J584" t="str">
        <f>IF(Titanic_Dataset[[#This Row],[Age]]&lt;12,"0-11",
IF(Titanic_Dataset[[#This Row],[Age]]&lt;20,"12-19",
IF(Titanic_Dataset[[#This Row],[Age]]&lt;30,"20-29",
IF(Titanic_Dataset[[#This Row],[Age]]&lt;40,"30-39",
IF(Titanic_Dataset[[#This Row],[Age]]&lt;50,"40-49",
IF(Titanic_Dataset[[#This Row],[Age]]&lt;60,"50-59",
IF(Titanic_Dataset[[#This Row],[Age]]&lt;70,"60-69",)))))))</f>
        <v>50-59</v>
      </c>
      <c r="K584">
        <v>0</v>
      </c>
      <c r="L584">
        <v>0</v>
      </c>
      <c r="M584">
        <f>Titanic_Dataset[[#This Row],[Parch]]+Titanic_Dataset[[#This Row],[SibSp]]</f>
        <v>0</v>
      </c>
      <c r="N584" s="1" t="s">
        <v>828</v>
      </c>
      <c r="O584">
        <v>26</v>
      </c>
      <c r="P584" t="e">
        <f>IF(Titanic_Dataset[[#This Row],[Survived]]=1,Titanic_Dataset[[#This Row],[Fare]],NA())</f>
        <v>#N/A</v>
      </c>
      <c r="Q584">
        <f>IF(Titanic_Dataset[[#This Row],[Survived]]=0,Titanic_Dataset[[#This Row],[Fare]],NA())</f>
        <v>26</v>
      </c>
      <c r="R584" t="str">
        <f>VLOOKUP(Titanic_Dataset[[#This Row],[Fare]],Table2[],2,TRUE)</f>
        <v>high</v>
      </c>
      <c r="S584" s="1" t="s">
        <v>15</v>
      </c>
      <c r="T584" s="1" t="s">
        <v>16</v>
      </c>
      <c r="U584" s="1"/>
      <c r="V584" s="1"/>
      <c r="W584" s="1"/>
    </row>
    <row r="585" spans="1:23" x14ac:dyDescent="0.25">
      <c r="A585">
        <v>584</v>
      </c>
      <c r="B585">
        <v>0</v>
      </c>
      <c r="C585" t="str">
        <f>IF(Titanic_Dataset[[#This Row],[Survived]]=1,"Survived","Died")</f>
        <v>Died</v>
      </c>
      <c r="D585">
        <v>1</v>
      </c>
      <c r="E585" t="str">
        <f>IF(Titanic_Dataset[[#This Row],[Pclass]]=1,"1st",IF(Titanic_Dataset[[#This Row],[Pclass]]=2,"2nd",IF(Titanic_Dataset[[#This Row],[Pclass]]=3,"3rd")))</f>
        <v>1st</v>
      </c>
      <c r="F585" s="1" t="s">
        <v>1182</v>
      </c>
      <c r="G585" s="1" t="str">
        <f>TRIM(MID(Titanic_Dataset[[#This Row],[Name]],
FIND(",",Titanic_Dataset[[#This Row],[Name]])+2,
FIND(".",Titanic_Dataset[[#This Row],[Name]],FIND(",",Titanic_Dataset[[#This Row],[Name]]))-FIND(",",Titanic_Dataset[[#This Row],[Name]])-1))</f>
        <v>Mr.</v>
      </c>
      <c r="H585" s="1" t="s">
        <v>13</v>
      </c>
      <c r="I585">
        <v>36</v>
      </c>
      <c r="J585" t="str">
        <f>IF(Titanic_Dataset[[#This Row],[Age]]&lt;12,"0-11",
IF(Titanic_Dataset[[#This Row],[Age]]&lt;20,"12-19",
IF(Titanic_Dataset[[#This Row],[Age]]&lt;30,"20-29",
IF(Titanic_Dataset[[#This Row],[Age]]&lt;40,"30-39",
IF(Titanic_Dataset[[#This Row],[Age]]&lt;50,"40-49",
IF(Titanic_Dataset[[#This Row],[Age]]&lt;60,"50-59",
IF(Titanic_Dataset[[#This Row],[Age]]&lt;70,"60-69",)))))))</f>
        <v>30-39</v>
      </c>
      <c r="K585">
        <v>0</v>
      </c>
      <c r="L585">
        <v>0</v>
      </c>
      <c r="M585">
        <f>Titanic_Dataset[[#This Row],[Parch]]+Titanic_Dataset[[#This Row],[SibSp]]</f>
        <v>0</v>
      </c>
      <c r="N585" s="1" t="s">
        <v>1183</v>
      </c>
      <c r="O585">
        <v>40.125</v>
      </c>
      <c r="P585" t="e">
        <f>IF(Titanic_Dataset[[#This Row],[Survived]]=1,Titanic_Dataset[[#This Row],[Fare]],NA())</f>
        <v>#N/A</v>
      </c>
      <c r="Q585">
        <f>IF(Titanic_Dataset[[#This Row],[Survived]]=0,Titanic_Dataset[[#This Row],[Fare]],NA())</f>
        <v>40.125</v>
      </c>
      <c r="R585" t="str">
        <f>VLOOKUP(Titanic_Dataset[[#This Row],[Fare]],Table2[],2,TRUE)</f>
        <v>very hiegh</v>
      </c>
      <c r="S585" s="1" t="s">
        <v>1184</v>
      </c>
      <c r="T585" s="1" t="s">
        <v>21</v>
      </c>
      <c r="U585" s="1"/>
      <c r="V585" s="1"/>
      <c r="W585" s="1"/>
    </row>
    <row r="586" spans="1:23" x14ac:dyDescent="0.25">
      <c r="A586">
        <v>585</v>
      </c>
      <c r="B586">
        <v>0</v>
      </c>
      <c r="C586" t="str">
        <f>IF(Titanic_Dataset[[#This Row],[Survived]]=1,"Survived","Died")</f>
        <v>Died</v>
      </c>
      <c r="D586">
        <v>3</v>
      </c>
      <c r="E586" t="str">
        <f>IF(Titanic_Dataset[[#This Row],[Pclass]]=1,"1st",IF(Titanic_Dataset[[#This Row],[Pclass]]=2,"2nd",IF(Titanic_Dataset[[#This Row],[Pclass]]=3,"3rd")))</f>
        <v>3rd</v>
      </c>
      <c r="F586" s="1" t="s">
        <v>1185</v>
      </c>
      <c r="G586" s="1" t="str">
        <f>TRIM(MID(Titanic_Dataset[[#This Row],[Name]],
FIND(",",Titanic_Dataset[[#This Row],[Name]])+2,
FIND(".",Titanic_Dataset[[#This Row],[Name]],FIND(",",Titanic_Dataset[[#This Row],[Name]]))-FIND(",",Titanic_Dataset[[#This Row],[Name]])-1))</f>
        <v>Mr.</v>
      </c>
      <c r="H586" s="1" t="s">
        <v>13</v>
      </c>
      <c r="I586">
        <v>28</v>
      </c>
      <c r="J58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86">
        <v>0</v>
      </c>
      <c r="L586">
        <v>0</v>
      </c>
      <c r="M586">
        <f>Titanic_Dataset[[#This Row],[Parch]]+Titanic_Dataset[[#This Row],[SibSp]]</f>
        <v>0</v>
      </c>
      <c r="N586" s="1" t="s">
        <v>1186</v>
      </c>
      <c r="O586">
        <v>8.7125000000000004</v>
      </c>
      <c r="P586" t="e">
        <f>IF(Titanic_Dataset[[#This Row],[Survived]]=1,Titanic_Dataset[[#This Row],[Fare]],NA())</f>
        <v>#N/A</v>
      </c>
      <c r="Q586">
        <f>IF(Titanic_Dataset[[#This Row],[Survived]]=0,Titanic_Dataset[[#This Row],[Fare]],NA())</f>
        <v>8.7125000000000004</v>
      </c>
      <c r="R586" t="str">
        <f>VLOOKUP(Titanic_Dataset[[#This Row],[Fare]],Table2[],2,TRUE)</f>
        <v>medium</v>
      </c>
      <c r="S586" s="1" t="s">
        <v>15</v>
      </c>
      <c r="T586" s="1" t="s">
        <v>21</v>
      </c>
      <c r="U586" s="1"/>
      <c r="V586" s="1"/>
      <c r="W586" s="1"/>
    </row>
    <row r="587" spans="1:23" x14ac:dyDescent="0.25">
      <c r="A587">
        <v>586</v>
      </c>
      <c r="B587">
        <v>1</v>
      </c>
      <c r="C587" t="str">
        <f>IF(Titanic_Dataset[[#This Row],[Survived]]=1,"Survived","Died")</f>
        <v>Survived</v>
      </c>
      <c r="D587">
        <v>1</v>
      </c>
      <c r="E587" t="str">
        <f>IF(Titanic_Dataset[[#This Row],[Pclass]]=1,"1st",IF(Titanic_Dataset[[#This Row],[Pclass]]=2,"2nd",IF(Titanic_Dataset[[#This Row],[Pclass]]=3,"3rd")))</f>
        <v>1st</v>
      </c>
      <c r="F587" s="1" t="s">
        <v>1187</v>
      </c>
      <c r="G587" s="1" t="str">
        <f>TRIM(MID(Titanic_Dataset[[#This Row],[Name]],
FIND(",",Titanic_Dataset[[#This Row],[Name]])+2,
FIND(".",Titanic_Dataset[[#This Row],[Name]],FIND(",",Titanic_Dataset[[#This Row],[Name]]))-FIND(",",Titanic_Dataset[[#This Row],[Name]])-1))</f>
        <v>Miss.</v>
      </c>
      <c r="H587" s="1" t="s">
        <v>18</v>
      </c>
      <c r="I587">
        <v>18</v>
      </c>
      <c r="J587" t="str">
        <f>IF(Titanic_Dataset[[#This Row],[Age]]&lt;12,"0-11",
IF(Titanic_Dataset[[#This Row],[Age]]&lt;20,"12-19",
IF(Titanic_Dataset[[#This Row],[Age]]&lt;30,"20-29",
IF(Titanic_Dataset[[#This Row],[Age]]&lt;40,"30-39",
IF(Titanic_Dataset[[#This Row],[Age]]&lt;50,"40-49",
IF(Titanic_Dataset[[#This Row],[Age]]&lt;60,"50-59",
IF(Titanic_Dataset[[#This Row],[Age]]&lt;70,"60-69",)))))))</f>
        <v>12-19</v>
      </c>
      <c r="K587">
        <v>0</v>
      </c>
      <c r="L587">
        <v>2</v>
      </c>
      <c r="M587">
        <f>Titanic_Dataset[[#This Row],[Parch]]+Titanic_Dataset[[#This Row],[SibSp]]</f>
        <v>2</v>
      </c>
      <c r="N587" s="1" t="s">
        <v>559</v>
      </c>
      <c r="O587">
        <v>79.650000000000006</v>
      </c>
      <c r="P587">
        <f>IF(Titanic_Dataset[[#This Row],[Survived]]=1,Titanic_Dataset[[#This Row],[Fare]],NA())</f>
        <v>79.650000000000006</v>
      </c>
      <c r="Q587" t="e">
        <f>IF(Titanic_Dataset[[#This Row],[Survived]]=0,Titanic_Dataset[[#This Row],[Fare]],NA())</f>
        <v>#N/A</v>
      </c>
      <c r="R587" t="str">
        <f>VLOOKUP(Titanic_Dataset[[#This Row],[Fare]],Table2[],2,TRUE)</f>
        <v>very hiegh</v>
      </c>
      <c r="S587" s="1" t="s">
        <v>1188</v>
      </c>
      <c r="T587" s="1" t="s">
        <v>16</v>
      </c>
      <c r="U587" s="1"/>
      <c r="V587" s="1"/>
      <c r="W587" s="1"/>
    </row>
    <row r="588" spans="1:23" x14ac:dyDescent="0.25">
      <c r="A588">
        <v>587</v>
      </c>
      <c r="B588">
        <v>0</v>
      </c>
      <c r="C588" t="str">
        <f>IF(Titanic_Dataset[[#This Row],[Survived]]=1,"Survived","Died")</f>
        <v>Died</v>
      </c>
      <c r="D588">
        <v>2</v>
      </c>
      <c r="E588" t="str">
        <f>IF(Titanic_Dataset[[#This Row],[Pclass]]=1,"1st",IF(Titanic_Dataset[[#This Row],[Pclass]]=2,"2nd",IF(Titanic_Dataset[[#This Row],[Pclass]]=3,"3rd")))</f>
        <v>2nd</v>
      </c>
      <c r="F588" s="1" t="s">
        <v>1189</v>
      </c>
      <c r="G588" s="1" t="str">
        <f>TRIM(MID(Titanic_Dataset[[#This Row],[Name]],
FIND(",",Titanic_Dataset[[#This Row],[Name]])+2,
FIND(".",Titanic_Dataset[[#This Row],[Name]],FIND(",",Titanic_Dataset[[#This Row],[Name]]))-FIND(",",Titanic_Dataset[[#This Row],[Name]])-1))</f>
        <v>Mr.</v>
      </c>
      <c r="H588" s="1" t="s">
        <v>13</v>
      </c>
      <c r="I588">
        <v>47</v>
      </c>
      <c r="J588" t="str">
        <f>IF(Titanic_Dataset[[#This Row],[Age]]&lt;12,"0-11",
IF(Titanic_Dataset[[#This Row],[Age]]&lt;20,"12-19",
IF(Titanic_Dataset[[#This Row],[Age]]&lt;30,"20-29",
IF(Titanic_Dataset[[#This Row],[Age]]&lt;40,"30-39",
IF(Titanic_Dataset[[#This Row],[Age]]&lt;50,"40-49",
IF(Titanic_Dataset[[#This Row],[Age]]&lt;60,"50-59",
IF(Titanic_Dataset[[#This Row],[Age]]&lt;70,"60-69",)))))))</f>
        <v>40-49</v>
      </c>
      <c r="K588">
        <v>0</v>
      </c>
      <c r="L588">
        <v>0</v>
      </c>
      <c r="M588">
        <f>Titanic_Dataset[[#This Row],[Parch]]+Titanic_Dataset[[#This Row],[SibSp]]</f>
        <v>0</v>
      </c>
      <c r="N588" s="1" t="s">
        <v>1190</v>
      </c>
      <c r="O588">
        <v>15</v>
      </c>
      <c r="P588" t="e">
        <f>IF(Titanic_Dataset[[#This Row],[Survived]]=1,Titanic_Dataset[[#This Row],[Fare]],NA())</f>
        <v>#N/A</v>
      </c>
      <c r="Q588">
        <f>IF(Titanic_Dataset[[#This Row],[Survived]]=0,Titanic_Dataset[[#This Row],[Fare]],NA())</f>
        <v>15</v>
      </c>
      <c r="R588" t="str">
        <f>VLOOKUP(Titanic_Dataset[[#This Row],[Fare]],Table2[],2,TRUE)</f>
        <v>high</v>
      </c>
      <c r="S588" s="1" t="s">
        <v>15</v>
      </c>
      <c r="T588" s="1" t="s">
        <v>16</v>
      </c>
      <c r="U588" s="1"/>
      <c r="V588" s="1"/>
      <c r="W588" s="1"/>
    </row>
    <row r="589" spans="1:23" x14ac:dyDescent="0.25">
      <c r="A589">
        <v>588</v>
      </c>
      <c r="B589">
        <v>1</v>
      </c>
      <c r="C589" t="str">
        <f>IF(Titanic_Dataset[[#This Row],[Survived]]=1,"Survived","Died")</f>
        <v>Survived</v>
      </c>
      <c r="D589">
        <v>1</v>
      </c>
      <c r="E589" t="str">
        <f>IF(Titanic_Dataset[[#This Row],[Pclass]]=1,"1st",IF(Titanic_Dataset[[#This Row],[Pclass]]=2,"2nd",IF(Titanic_Dataset[[#This Row],[Pclass]]=3,"3rd")))</f>
        <v>1st</v>
      </c>
      <c r="F589" s="1" t="s">
        <v>1191</v>
      </c>
      <c r="G589" s="1" t="str">
        <f>TRIM(MID(Titanic_Dataset[[#This Row],[Name]],
FIND(",",Titanic_Dataset[[#This Row],[Name]])+2,
FIND(".",Titanic_Dataset[[#This Row],[Name]],FIND(",",Titanic_Dataset[[#This Row],[Name]]))-FIND(",",Titanic_Dataset[[#This Row],[Name]])-1))</f>
        <v>Mr.</v>
      </c>
      <c r="H589" s="1" t="s">
        <v>13</v>
      </c>
      <c r="I589">
        <v>60</v>
      </c>
      <c r="J589" t="str">
        <f>IF(Titanic_Dataset[[#This Row],[Age]]&lt;12,"0-11",
IF(Titanic_Dataset[[#This Row],[Age]]&lt;20,"12-19",
IF(Titanic_Dataset[[#This Row],[Age]]&lt;30,"20-29",
IF(Titanic_Dataset[[#This Row],[Age]]&lt;40,"30-39",
IF(Titanic_Dataset[[#This Row],[Age]]&lt;50,"40-49",
IF(Titanic_Dataset[[#This Row],[Age]]&lt;60,"50-59",
IF(Titanic_Dataset[[#This Row],[Age]]&lt;70,"60-69",)))))))</f>
        <v>60-69</v>
      </c>
      <c r="K589">
        <v>1</v>
      </c>
      <c r="L589">
        <v>1</v>
      </c>
      <c r="M589">
        <f>Titanic_Dataset[[#This Row],[Parch]]+Titanic_Dataset[[#This Row],[SibSp]]</f>
        <v>2</v>
      </c>
      <c r="N589" s="1" t="s">
        <v>1192</v>
      </c>
      <c r="O589">
        <v>79.2</v>
      </c>
      <c r="P589">
        <f>IF(Titanic_Dataset[[#This Row],[Survived]]=1,Titanic_Dataset[[#This Row],[Fare]],NA())</f>
        <v>79.2</v>
      </c>
      <c r="Q589" t="e">
        <f>IF(Titanic_Dataset[[#This Row],[Survived]]=0,Titanic_Dataset[[#This Row],[Fare]],NA())</f>
        <v>#N/A</v>
      </c>
      <c r="R589" t="str">
        <f>VLOOKUP(Titanic_Dataset[[#This Row],[Fare]],Table2[],2,TRUE)</f>
        <v>very hiegh</v>
      </c>
      <c r="S589" s="1" t="s">
        <v>1193</v>
      </c>
      <c r="T589" s="1" t="s">
        <v>21</v>
      </c>
      <c r="U589" s="1"/>
      <c r="V589" s="1"/>
      <c r="W589" s="1"/>
    </row>
    <row r="590" spans="1:23" x14ac:dyDescent="0.25">
      <c r="A590">
        <v>589</v>
      </c>
      <c r="B590">
        <v>0</v>
      </c>
      <c r="C590" t="str">
        <f>IF(Titanic_Dataset[[#This Row],[Survived]]=1,"Survived","Died")</f>
        <v>Died</v>
      </c>
      <c r="D590">
        <v>3</v>
      </c>
      <c r="E590" t="str">
        <f>IF(Titanic_Dataset[[#This Row],[Pclass]]=1,"1st",IF(Titanic_Dataset[[#This Row],[Pclass]]=2,"2nd",IF(Titanic_Dataset[[#This Row],[Pclass]]=3,"3rd")))</f>
        <v>3rd</v>
      </c>
      <c r="F590" s="1" t="s">
        <v>1194</v>
      </c>
      <c r="G590" s="1" t="str">
        <f>TRIM(MID(Titanic_Dataset[[#This Row],[Name]],
FIND(",",Titanic_Dataset[[#This Row],[Name]])+2,
FIND(".",Titanic_Dataset[[#This Row],[Name]],FIND(",",Titanic_Dataset[[#This Row],[Name]]))-FIND(",",Titanic_Dataset[[#This Row],[Name]])-1))</f>
        <v>Mr.</v>
      </c>
      <c r="H590" s="1" t="s">
        <v>13</v>
      </c>
      <c r="I590">
        <v>22</v>
      </c>
      <c r="J59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90">
        <v>0</v>
      </c>
      <c r="L590">
        <v>0</v>
      </c>
      <c r="M590">
        <f>Titanic_Dataset[[#This Row],[Parch]]+Titanic_Dataset[[#This Row],[SibSp]]</f>
        <v>0</v>
      </c>
      <c r="N590" s="1" t="s">
        <v>1195</v>
      </c>
      <c r="O590">
        <v>8.0500000000000007</v>
      </c>
      <c r="P590" t="e">
        <f>IF(Titanic_Dataset[[#This Row],[Survived]]=1,Titanic_Dataset[[#This Row],[Fare]],NA())</f>
        <v>#N/A</v>
      </c>
      <c r="Q590">
        <f>IF(Titanic_Dataset[[#This Row],[Survived]]=0,Titanic_Dataset[[#This Row],[Fare]],NA())</f>
        <v>8.0500000000000007</v>
      </c>
      <c r="R590" t="str">
        <f>VLOOKUP(Titanic_Dataset[[#This Row],[Fare]],Table2[],2,TRUE)</f>
        <v>medium</v>
      </c>
      <c r="S590" s="1" t="s">
        <v>15</v>
      </c>
      <c r="T590" s="1" t="s">
        <v>16</v>
      </c>
      <c r="U590" s="1"/>
      <c r="V590" s="1"/>
      <c r="W590" s="1"/>
    </row>
    <row r="591" spans="1:23" x14ac:dyDescent="0.25">
      <c r="A591">
        <v>590</v>
      </c>
      <c r="B591">
        <v>0</v>
      </c>
      <c r="C591" t="str">
        <f>IF(Titanic_Dataset[[#This Row],[Survived]]=1,"Survived","Died")</f>
        <v>Died</v>
      </c>
      <c r="D591">
        <v>3</v>
      </c>
      <c r="E591" t="str">
        <f>IF(Titanic_Dataset[[#This Row],[Pclass]]=1,"1st",IF(Titanic_Dataset[[#This Row],[Pclass]]=2,"2nd",IF(Titanic_Dataset[[#This Row],[Pclass]]=3,"3rd")))</f>
        <v>3rd</v>
      </c>
      <c r="F591" s="1" t="s">
        <v>1196</v>
      </c>
      <c r="G591" s="1" t="str">
        <f>TRIM(MID(Titanic_Dataset[[#This Row],[Name]],
FIND(",",Titanic_Dataset[[#This Row],[Name]])+2,
FIND(".",Titanic_Dataset[[#This Row],[Name]],FIND(",",Titanic_Dataset[[#This Row],[Name]]))-FIND(",",Titanic_Dataset[[#This Row],[Name]])-1))</f>
        <v>Mr.</v>
      </c>
      <c r="H591" s="1" t="s">
        <v>13</v>
      </c>
      <c r="I591">
        <v>28</v>
      </c>
      <c r="J59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91">
        <v>0</v>
      </c>
      <c r="L591">
        <v>0</v>
      </c>
      <c r="M591">
        <f>Titanic_Dataset[[#This Row],[Parch]]+Titanic_Dataset[[#This Row],[SibSp]]</f>
        <v>0</v>
      </c>
      <c r="N591" s="1" t="s">
        <v>1197</v>
      </c>
      <c r="O591">
        <v>8.0500000000000007</v>
      </c>
      <c r="P591" t="e">
        <f>IF(Titanic_Dataset[[#This Row],[Survived]]=1,Titanic_Dataset[[#This Row],[Fare]],NA())</f>
        <v>#N/A</v>
      </c>
      <c r="Q591">
        <f>IF(Titanic_Dataset[[#This Row],[Survived]]=0,Titanic_Dataset[[#This Row],[Fare]],NA())</f>
        <v>8.0500000000000007</v>
      </c>
      <c r="R591" t="str">
        <f>VLOOKUP(Titanic_Dataset[[#This Row],[Fare]],Table2[],2,TRUE)</f>
        <v>medium</v>
      </c>
      <c r="S591" s="1" t="s">
        <v>15</v>
      </c>
      <c r="T591" s="1" t="s">
        <v>16</v>
      </c>
      <c r="U591" s="1"/>
      <c r="V591" s="1"/>
      <c r="W591" s="1"/>
    </row>
    <row r="592" spans="1:23" x14ac:dyDescent="0.25">
      <c r="A592">
        <v>591</v>
      </c>
      <c r="B592">
        <v>0</v>
      </c>
      <c r="C592" t="str">
        <f>IF(Titanic_Dataset[[#This Row],[Survived]]=1,"Survived","Died")</f>
        <v>Died</v>
      </c>
      <c r="D592">
        <v>3</v>
      </c>
      <c r="E592" t="str">
        <f>IF(Titanic_Dataset[[#This Row],[Pclass]]=1,"1st",IF(Titanic_Dataset[[#This Row],[Pclass]]=2,"2nd",IF(Titanic_Dataset[[#This Row],[Pclass]]=3,"3rd")))</f>
        <v>3rd</v>
      </c>
      <c r="F592" s="1" t="s">
        <v>1198</v>
      </c>
      <c r="G592" s="1" t="str">
        <f>TRIM(MID(Titanic_Dataset[[#This Row],[Name]],
FIND(",",Titanic_Dataset[[#This Row],[Name]])+2,
FIND(".",Titanic_Dataset[[#This Row],[Name]],FIND(",",Titanic_Dataset[[#This Row],[Name]]))-FIND(",",Titanic_Dataset[[#This Row],[Name]])-1))</f>
        <v>Mr.</v>
      </c>
      <c r="H592" s="1" t="s">
        <v>13</v>
      </c>
      <c r="I592">
        <v>35</v>
      </c>
      <c r="J592" t="str">
        <f>IF(Titanic_Dataset[[#This Row],[Age]]&lt;12,"0-11",
IF(Titanic_Dataset[[#This Row],[Age]]&lt;20,"12-19",
IF(Titanic_Dataset[[#This Row],[Age]]&lt;30,"20-29",
IF(Titanic_Dataset[[#This Row],[Age]]&lt;40,"30-39",
IF(Titanic_Dataset[[#This Row],[Age]]&lt;50,"40-49",
IF(Titanic_Dataset[[#This Row],[Age]]&lt;60,"50-59",
IF(Titanic_Dataset[[#This Row],[Age]]&lt;70,"60-69",)))))))</f>
        <v>30-39</v>
      </c>
      <c r="K592">
        <v>0</v>
      </c>
      <c r="L592">
        <v>0</v>
      </c>
      <c r="M592">
        <f>Titanic_Dataset[[#This Row],[Parch]]+Titanic_Dataset[[#This Row],[SibSp]]</f>
        <v>0</v>
      </c>
      <c r="N592" s="1" t="s">
        <v>1199</v>
      </c>
      <c r="O592">
        <v>7.125</v>
      </c>
      <c r="P592" t="e">
        <f>IF(Titanic_Dataset[[#This Row],[Survived]]=1,Titanic_Dataset[[#This Row],[Fare]],NA())</f>
        <v>#N/A</v>
      </c>
      <c r="Q592">
        <f>IF(Titanic_Dataset[[#This Row],[Survived]]=0,Titanic_Dataset[[#This Row],[Fare]],NA())</f>
        <v>7.125</v>
      </c>
      <c r="R592" t="str">
        <f>VLOOKUP(Titanic_Dataset[[#This Row],[Fare]],Table2[],2,TRUE)</f>
        <v>low</v>
      </c>
      <c r="S592" s="1" t="s">
        <v>15</v>
      </c>
      <c r="T592" s="1" t="s">
        <v>16</v>
      </c>
      <c r="U592" s="1"/>
      <c r="V592" s="1"/>
      <c r="W592" s="1"/>
    </row>
    <row r="593" spans="1:23" x14ac:dyDescent="0.25">
      <c r="A593">
        <v>592</v>
      </c>
      <c r="B593">
        <v>1</v>
      </c>
      <c r="C593" t="str">
        <f>IF(Titanic_Dataset[[#This Row],[Survived]]=1,"Survived","Died")</f>
        <v>Survived</v>
      </c>
      <c r="D593">
        <v>1</v>
      </c>
      <c r="E593" t="str">
        <f>IF(Titanic_Dataset[[#This Row],[Pclass]]=1,"1st",IF(Titanic_Dataset[[#This Row],[Pclass]]=2,"2nd",IF(Titanic_Dataset[[#This Row],[Pclass]]=3,"3rd")))</f>
        <v>1st</v>
      </c>
      <c r="F593" s="1" t="s">
        <v>1200</v>
      </c>
      <c r="G593" s="1" t="str">
        <f>TRIM(MID(Titanic_Dataset[[#This Row],[Name]],
FIND(",",Titanic_Dataset[[#This Row],[Name]])+2,
FIND(".",Titanic_Dataset[[#This Row],[Name]],FIND(",",Titanic_Dataset[[#This Row],[Name]]))-FIND(",",Titanic_Dataset[[#This Row],[Name]])-1))</f>
        <v>Mrs.</v>
      </c>
      <c r="H593" s="1" t="s">
        <v>18</v>
      </c>
      <c r="I593">
        <v>52</v>
      </c>
      <c r="J593" t="str">
        <f>IF(Titanic_Dataset[[#This Row],[Age]]&lt;12,"0-11",
IF(Titanic_Dataset[[#This Row],[Age]]&lt;20,"12-19",
IF(Titanic_Dataset[[#This Row],[Age]]&lt;30,"20-29",
IF(Titanic_Dataset[[#This Row],[Age]]&lt;40,"30-39",
IF(Titanic_Dataset[[#This Row],[Age]]&lt;50,"40-49",
IF(Titanic_Dataset[[#This Row],[Age]]&lt;60,"50-59",
IF(Titanic_Dataset[[#This Row],[Age]]&lt;70,"60-69",)))))))</f>
        <v>50-59</v>
      </c>
      <c r="K593">
        <v>1</v>
      </c>
      <c r="L593">
        <v>0</v>
      </c>
      <c r="M593">
        <f>Titanic_Dataset[[#This Row],[Parch]]+Titanic_Dataset[[#This Row],[SibSp]]</f>
        <v>1</v>
      </c>
      <c r="N593" s="1" t="s">
        <v>1017</v>
      </c>
      <c r="O593">
        <v>78.2667</v>
      </c>
      <c r="P593">
        <f>IF(Titanic_Dataset[[#This Row],[Survived]]=1,Titanic_Dataset[[#This Row],[Fare]],NA())</f>
        <v>78.2667</v>
      </c>
      <c r="Q593" t="e">
        <f>IF(Titanic_Dataset[[#This Row],[Survived]]=0,Titanic_Dataset[[#This Row],[Fare]],NA())</f>
        <v>#N/A</v>
      </c>
      <c r="R593" t="str">
        <f>VLOOKUP(Titanic_Dataset[[#This Row],[Fare]],Table2[],2,TRUE)</f>
        <v>very hiegh</v>
      </c>
      <c r="S593" s="1" t="s">
        <v>1018</v>
      </c>
      <c r="T593" s="1" t="s">
        <v>21</v>
      </c>
      <c r="U593" s="1"/>
      <c r="V593" s="1"/>
      <c r="W593" s="1"/>
    </row>
    <row r="594" spans="1:23" x14ac:dyDescent="0.25">
      <c r="A594">
        <v>593</v>
      </c>
      <c r="B594">
        <v>0</v>
      </c>
      <c r="C594" t="str">
        <f>IF(Titanic_Dataset[[#This Row],[Survived]]=1,"Survived","Died")</f>
        <v>Died</v>
      </c>
      <c r="D594">
        <v>3</v>
      </c>
      <c r="E594" t="str">
        <f>IF(Titanic_Dataset[[#This Row],[Pclass]]=1,"1st",IF(Titanic_Dataset[[#This Row],[Pclass]]=2,"2nd",IF(Titanic_Dataset[[#This Row],[Pclass]]=3,"3rd")))</f>
        <v>3rd</v>
      </c>
      <c r="F594" s="1" t="s">
        <v>1201</v>
      </c>
      <c r="G594" s="1" t="str">
        <f>TRIM(MID(Titanic_Dataset[[#This Row],[Name]],
FIND(",",Titanic_Dataset[[#This Row],[Name]])+2,
FIND(".",Titanic_Dataset[[#This Row],[Name]],FIND(",",Titanic_Dataset[[#This Row],[Name]]))-FIND(",",Titanic_Dataset[[#This Row],[Name]])-1))</f>
        <v>Mr.</v>
      </c>
      <c r="H594" s="1" t="s">
        <v>13</v>
      </c>
      <c r="I594">
        <v>47</v>
      </c>
      <c r="J594" t="str">
        <f>IF(Titanic_Dataset[[#This Row],[Age]]&lt;12,"0-11",
IF(Titanic_Dataset[[#This Row],[Age]]&lt;20,"12-19",
IF(Titanic_Dataset[[#This Row],[Age]]&lt;30,"20-29",
IF(Titanic_Dataset[[#This Row],[Age]]&lt;40,"30-39",
IF(Titanic_Dataset[[#This Row],[Age]]&lt;50,"40-49",
IF(Titanic_Dataset[[#This Row],[Age]]&lt;60,"50-59",
IF(Titanic_Dataset[[#This Row],[Age]]&lt;70,"60-69",)))))))</f>
        <v>40-49</v>
      </c>
      <c r="K594">
        <v>0</v>
      </c>
      <c r="L594">
        <v>0</v>
      </c>
      <c r="M594">
        <f>Titanic_Dataset[[#This Row],[Parch]]+Titanic_Dataset[[#This Row],[SibSp]]</f>
        <v>0</v>
      </c>
      <c r="N594" s="1" t="s">
        <v>1202</v>
      </c>
      <c r="O594">
        <v>7.25</v>
      </c>
      <c r="P594" t="e">
        <f>IF(Titanic_Dataset[[#This Row],[Survived]]=1,Titanic_Dataset[[#This Row],[Fare]],NA())</f>
        <v>#N/A</v>
      </c>
      <c r="Q594">
        <f>IF(Titanic_Dataset[[#This Row],[Survived]]=0,Titanic_Dataset[[#This Row],[Fare]],NA())</f>
        <v>7.25</v>
      </c>
      <c r="R594" t="str">
        <f>VLOOKUP(Titanic_Dataset[[#This Row],[Fare]],Table2[],2,TRUE)</f>
        <v>low</v>
      </c>
      <c r="S594" s="1" t="s">
        <v>15</v>
      </c>
      <c r="T594" s="1" t="s">
        <v>16</v>
      </c>
      <c r="U594" s="1"/>
      <c r="V594" s="1"/>
      <c r="W594" s="1"/>
    </row>
    <row r="595" spans="1:23" x14ac:dyDescent="0.25">
      <c r="A595">
        <v>594</v>
      </c>
      <c r="B595">
        <v>0</v>
      </c>
      <c r="C595" t="str">
        <f>IF(Titanic_Dataset[[#This Row],[Survived]]=1,"Survived","Died")</f>
        <v>Died</v>
      </c>
      <c r="D595">
        <v>3</v>
      </c>
      <c r="E595" t="str">
        <f>IF(Titanic_Dataset[[#This Row],[Pclass]]=1,"1st",IF(Titanic_Dataset[[#This Row],[Pclass]]=2,"2nd",IF(Titanic_Dataset[[#This Row],[Pclass]]=3,"3rd")))</f>
        <v>3rd</v>
      </c>
      <c r="F595" s="1" t="s">
        <v>1203</v>
      </c>
      <c r="G595" s="1" t="str">
        <f>TRIM(MID(Titanic_Dataset[[#This Row],[Name]],
FIND(",",Titanic_Dataset[[#This Row],[Name]])+2,
FIND(".",Titanic_Dataset[[#This Row],[Name]],FIND(",",Titanic_Dataset[[#This Row],[Name]]))-FIND(",",Titanic_Dataset[[#This Row],[Name]])-1))</f>
        <v>Miss.</v>
      </c>
      <c r="H595" s="1" t="s">
        <v>18</v>
      </c>
      <c r="I595">
        <v>28</v>
      </c>
      <c r="J59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95">
        <v>0</v>
      </c>
      <c r="L595">
        <v>2</v>
      </c>
      <c r="M595">
        <f>Titanic_Dataset[[#This Row],[Parch]]+Titanic_Dataset[[#This Row],[SibSp]]</f>
        <v>2</v>
      </c>
      <c r="N595" s="1" t="s">
        <v>1204</v>
      </c>
      <c r="O595">
        <v>7.75</v>
      </c>
      <c r="P595" t="e">
        <f>IF(Titanic_Dataset[[#This Row],[Survived]]=1,Titanic_Dataset[[#This Row],[Fare]],NA())</f>
        <v>#N/A</v>
      </c>
      <c r="Q595">
        <f>IF(Titanic_Dataset[[#This Row],[Survived]]=0,Titanic_Dataset[[#This Row],[Fare]],NA())</f>
        <v>7.75</v>
      </c>
      <c r="R595" t="str">
        <f>VLOOKUP(Titanic_Dataset[[#This Row],[Fare]],Table2[],2,TRUE)</f>
        <v>low</v>
      </c>
      <c r="S595" s="1" t="s">
        <v>15</v>
      </c>
      <c r="T595" s="1" t="s">
        <v>31</v>
      </c>
      <c r="U595" s="1"/>
      <c r="V595" s="1"/>
      <c r="W595" s="1"/>
    </row>
    <row r="596" spans="1:23" x14ac:dyDescent="0.25">
      <c r="A596">
        <v>595</v>
      </c>
      <c r="B596">
        <v>0</v>
      </c>
      <c r="C596" t="str">
        <f>IF(Titanic_Dataset[[#This Row],[Survived]]=1,"Survived","Died")</f>
        <v>Died</v>
      </c>
      <c r="D596">
        <v>2</v>
      </c>
      <c r="E596" t="str">
        <f>IF(Titanic_Dataset[[#This Row],[Pclass]]=1,"1st",IF(Titanic_Dataset[[#This Row],[Pclass]]=2,"2nd",IF(Titanic_Dataset[[#This Row],[Pclass]]=3,"3rd")))</f>
        <v>2nd</v>
      </c>
      <c r="F596" s="1" t="s">
        <v>1205</v>
      </c>
      <c r="G596" s="1" t="str">
        <f>TRIM(MID(Titanic_Dataset[[#This Row],[Name]],
FIND(",",Titanic_Dataset[[#This Row],[Name]])+2,
FIND(".",Titanic_Dataset[[#This Row],[Name]],FIND(",",Titanic_Dataset[[#This Row],[Name]]))-FIND(",",Titanic_Dataset[[#This Row],[Name]])-1))</f>
        <v>Mr.</v>
      </c>
      <c r="H596" s="1" t="s">
        <v>13</v>
      </c>
      <c r="I596">
        <v>37</v>
      </c>
      <c r="J596" t="str">
        <f>IF(Titanic_Dataset[[#This Row],[Age]]&lt;12,"0-11",
IF(Titanic_Dataset[[#This Row],[Age]]&lt;20,"12-19",
IF(Titanic_Dataset[[#This Row],[Age]]&lt;30,"20-29",
IF(Titanic_Dataset[[#This Row],[Age]]&lt;40,"30-39",
IF(Titanic_Dataset[[#This Row],[Age]]&lt;50,"40-49",
IF(Titanic_Dataset[[#This Row],[Age]]&lt;60,"50-59",
IF(Titanic_Dataset[[#This Row],[Age]]&lt;70,"60-69",)))))))</f>
        <v>30-39</v>
      </c>
      <c r="K596">
        <v>1</v>
      </c>
      <c r="L596">
        <v>0</v>
      </c>
      <c r="M596">
        <f>Titanic_Dataset[[#This Row],[Parch]]+Titanic_Dataset[[#This Row],[SibSp]]</f>
        <v>1</v>
      </c>
      <c r="N596" s="1" t="s">
        <v>1206</v>
      </c>
      <c r="O596">
        <v>26</v>
      </c>
      <c r="P596" t="e">
        <f>IF(Titanic_Dataset[[#This Row],[Survived]]=1,Titanic_Dataset[[#This Row],[Fare]],NA())</f>
        <v>#N/A</v>
      </c>
      <c r="Q596">
        <f>IF(Titanic_Dataset[[#This Row],[Survived]]=0,Titanic_Dataset[[#This Row],[Fare]],NA())</f>
        <v>26</v>
      </c>
      <c r="R596" t="str">
        <f>VLOOKUP(Titanic_Dataset[[#This Row],[Fare]],Table2[],2,TRUE)</f>
        <v>high</v>
      </c>
      <c r="S596" s="1" t="s">
        <v>15</v>
      </c>
      <c r="T596" s="1" t="s">
        <v>16</v>
      </c>
      <c r="U596" s="1"/>
      <c r="V596" s="1"/>
      <c r="W596" s="1"/>
    </row>
    <row r="597" spans="1:23" x14ac:dyDescent="0.25">
      <c r="A597">
        <v>596</v>
      </c>
      <c r="B597">
        <v>0</v>
      </c>
      <c r="C597" t="str">
        <f>IF(Titanic_Dataset[[#This Row],[Survived]]=1,"Survived","Died")</f>
        <v>Died</v>
      </c>
      <c r="D597">
        <v>3</v>
      </c>
      <c r="E597" t="str">
        <f>IF(Titanic_Dataset[[#This Row],[Pclass]]=1,"1st",IF(Titanic_Dataset[[#This Row],[Pclass]]=2,"2nd",IF(Titanic_Dataset[[#This Row],[Pclass]]=3,"3rd")))</f>
        <v>3rd</v>
      </c>
      <c r="F597" s="1" t="s">
        <v>1207</v>
      </c>
      <c r="G597" s="1" t="str">
        <f>TRIM(MID(Titanic_Dataset[[#This Row],[Name]],
FIND(",",Titanic_Dataset[[#This Row],[Name]])+2,
FIND(".",Titanic_Dataset[[#This Row],[Name]],FIND(",",Titanic_Dataset[[#This Row],[Name]]))-FIND(",",Titanic_Dataset[[#This Row],[Name]])-1))</f>
        <v>Mr.</v>
      </c>
      <c r="H597" s="1" t="s">
        <v>13</v>
      </c>
      <c r="I597">
        <v>36</v>
      </c>
      <c r="J597" t="str">
        <f>IF(Titanic_Dataset[[#This Row],[Age]]&lt;12,"0-11",
IF(Titanic_Dataset[[#This Row],[Age]]&lt;20,"12-19",
IF(Titanic_Dataset[[#This Row],[Age]]&lt;30,"20-29",
IF(Titanic_Dataset[[#This Row],[Age]]&lt;40,"30-39",
IF(Titanic_Dataset[[#This Row],[Age]]&lt;50,"40-49",
IF(Titanic_Dataset[[#This Row],[Age]]&lt;60,"50-59",
IF(Titanic_Dataset[[#This Row],[Age]]&lt;70,"60-69",)))))))</f>
        <v>30-39</v>
      </c>
      <c r="K597">
        <v>1</v>
      </c>
      <c r="L597">
        <v>1</v>
      </c>
      <c r="M597">
        <f>Titanic_Dataset[[#This Row],[Parch]]+Titanic_Dataset[[#This Row],[SibSp]]</f>
        <v>2</v>
      </c>
      <c r="N597" s="1" t="s">
        <v>868</v>
      </c>
      <c r="O597">
        <v>24.15</v>
      </c>
      <c r="P597" t="e">
        <f>IF(Titanic_Dataset[[#This Row],[Survived]]=1,Titanic_Dataset[[#This Row],[Fare]],NA())</f>
        <v>#N/A</v>
      </c>
      <c r="Q597">
        <f>IF(Titanic_Dataset[[#This Row],[Survived]]=0,Titanic_Dataset[[#This Row],[Fare]],NA())</f>
        <v>24.15</v>
      </c>
      <c r="R597" t="str">
        <f>VLOOKUP(Titanic_Dataset[[#This Row],[Fare]],Table2[],2,TRUE)</f>
        <v>high</v>
      </c>
      <c r="S597" s="1" t="s">
        <v>15</v>
      </c>
      <c r="T597" s="1" t="s">
        <v>16</v>
      </c>
      <c r="U597" s="1"/>
      <c r="V597" s="1"/>
      <c r="W597" s="1"/>
    </row>
    <row r="598" spans="1:23" x14ac:dyDescent="0.25">
      <c r="A598">
        <v>597</v>
      </c>
      <c r="B598">
        <v>1</v>
      </c>
      <c r="C598" t="str">
        <f>IF(Titanic_Dataset[[#This Row],[Survived]]=1,"Survived","Died")</f>
        <v>Survived</v>
      </c>
      <c r="D598">
        <v>2</v>
      </c>
      <c r="E598" t="str">
        <f>IF(Titanic_Dataset[[#This Row],[Pclass]]=1,"1st",IF(Titanic_Dataset[[#This Row],[Pclass]]=2,"2nd",IF(Titanic_Dataset[[#This Row],[Pclass]]=3,"3rd")))</f>
        <v>2nd</v>
      </c>
      <c r="F598" s="1" t="s">
        <v>1208</v>
      </c>
      <c r="G598" s="1" t="str">
        <f>TRIM(MID(Titanic_Dataset[[#This Row],[Name]],
FIND(",",Titanic_Dataset[[#This Row],[Name]])+2,
FIND(".",Titanic_Dataset[[#This Row],[Name]],FIND(",",Titanic_Dataset[[#This Row],[Name]]))-FIND(",",Titanic_Dataset[[#This Row],[Name]])-1))</f>
        <v>Miss.</v>
      </c>
      <c r="H598" s="1" t="s">
        <v>18</v>
      </c>
      <c r="I598">
        <v>28</v>
      </c>
      <c r="J59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598">
        <v>0</v>
      </c>
      <c r="L598">
        <v>0</v>
      </c>
      <c r="M598">
        <f>Titanic_Dataset[[#This Row],[Parch]]+Titanic_Dataset[[#This Row],[SibSp]]</f>
        <v>0</v>
      </c>
      <c r="N598" s="1" t="s">
        <v>1209</v>
      </c>
      <c r="O598">
        <v>33</v>
      </c>
      <c r="P598">
        <f>IF(Titanic_Dataset[[#This Row],[Survived]]=1,Titanic_Dataset[[#This Row],[Fare]],NA())</f>
        <v>33</v>
      </c>
      <c r="Q598" t="e">
        <f>IF(Titanic_Dataset[[#This Row],[Survived]]=0,Titanic_Dataset[[#This Row],[Fare]],NA())</f>
        <v>#N/A</v>
      </c>
      <c r="R598" t="str">
        <f>VLOOKUP(Titanic_Dataset[[#This Row],[Fare]],Table2[],2,TRUE)</f>
        <v>very hiegh</v>
      </c>
      <c r="S598" s="1" t="s">
        <v>15</v>
      </c>
      <c r="T598" s="1" t="s">
        <v>16</v>
      </c>
      <c r="U598" s="1"/>
      <c r="V598" s="1"/>
      <c r="W598" s="1"/>
    </row>
    <row r="599" spans="1:23" x14ac:dyDescent="0.25">
      <c r="A599">
        <v>598</v>
      </c>
      <c r="B599">
        <v>0</v>
      </c>
      <c r="C599" t="str">
        <f>IF(Titanic_Dataset[[#This Row],[Survived]]=1,"Survived","Died")</f>
        <v>Died</v>
      </c>
      <c r="D599">
        <v>3</v>
      </c>
      <c r="E599" t="str">
        <f>IF(Titanic_Dataset[[#This Row],[Pclass]]=1,"1st",IF(Titanic_Dataset[[#This Row],[Pclass]]=2,"2nd",IF(Titanic_Dataset[[#This Row],[Pclass]]=3,"3rd")))</f>
        <v>3rd</v>
      </c>
      <c r="F599" s="1" t="s">
        <v>1210</v>
      </c>
      <c r="G599" s="1" t="str">
        <f>TRIM(MID(Titanic_Dataset[[#This Row],[Name]],
FIND(",",Titanic_Dataset[[#This Row],[Name]])+2,
FIND(".",Titanic_Dataset[[#This Row],[Name]],FIND(",",Titanic_Dataset[[#This Row],[Name]]))-FIND(",",Titanic_Dataset[[#This Row],[Name]])-1))</f>
        <v>Mr.</v>
      </c>
      <c r="H599" s="1" t="s">
        <v>13</v>
      </c>
      <c r="I599">
        <v>49</v>
      </c>
      <c r="J599" t="str">
        <f>IF(Titanic_Dataset[[#This Row],[Age]]&lt;12,"0-11",
IF(Titanic_Dataset[[#This Row],[Age]]&lt;20,"12-19",
IF(Titanic_Dataset[[#This Row],[Age]]&lt;30,"20-29",
IF(Titanic_Dataset[[#This Row],[Age]]&lt;40,"30-39",
IF(Titanic_Dataset[[#This Row],[Age]]&lt;50,"40-49",
IF(Titanic_Dataset[[#This Row],[Age]]&lt;60,"50-59",
IF(Titanic_Dataset[[#This Row],[Age]]&lt;70,"60-69",)))))))</f>
        <v>40-49</v>
      </c>
      <c r="K599">
        <v>0</v>
      </c>
      <c r="L599">
        <v>0</v>
      </c>
      <c r="M599">
        <f>Titanic_Dataset[[#This Row],[Parch]]+Titanic_Dataset[[#This Row],[SibSp]]</f>
        <v>0</v>
      </c>
      <c r="N599" s="1" t="s">
        <v>393</v>
      </c>
      <c r="O599">
        <v>0</v>
      </c>
      <c r="P599" t="e">
        <f>IF(Titanic_Dataset[[#This Row],[Survived]]=1,Titanic_Dataset[[#This Row],[Fare]],NA())</f>
        <v>#N/A</v>
      </c>
      <c r="Q599">
        <f>IF(Titanic_Dataset[[#This Row],[Survived]]=0,Titanic_Dataset[[#This Row],[Fare]],NA())</f>
        <v>0</v>
      </c>
      <c r="R599" t="str">
        <f>VLOOKUP(Titanic_Dataset[[#This Row],[Fare]],Table2[],2,TRUE)</f>
        <v>low</v>
      </c>
      <c r="S599" s="1" t="s">
        <v>15</v>
      </c>
      <c r="T599" s="1" t="s">
        <v>16</v>
      </c>
      <c r="U599" s="1"/>
      <c r="V599" s="1"/>
      <c r="W599" s="1"/>
    </row>
    <row r="600" spans="1:23" x14ac:dyDescent="0.25">
      <c r="A600">
        <v>599</v>
      </c>
      <c r="B600">
        <v>0</v>
      </c>
      <c r="C600" t="str">
        <f>IF(Titanic_Dataset[[#This Row],[Survived]]=1,"Survived","Died")</f>
        <v>Died</v>
      </c>
      <c r="D600">
        <v>3</v>
      </c>
      <c r="E600" t="str">
        <f>IF(Titanic_Dataset[[#This Row],[Pclass]]=1,"1st",IF(Titanic_Dataset[[#This Row],[Pclass]]=2,"2nd",IF(Titanic_Dataset[[#This Row],[Pclass]]=3,"3rd")))</f>
        <v>3rd</v>
      </c>
      <c r="F600" s="1" t="s">
        <v>1211</v>
      </c>
      <c r="G600" s="1" t="str">
        <f>TRIM(MID(Titanic_Dataset[[#This Row],[Name]],
FIND(",",Titanic_Dataset[[#This Row],[Name]])+2,
FIND(".",Titanic_Dataset[[#This Row],[Name]],FIND(",",Titanic_Dataset[[#This Row],[Name]]))-FIND(",",Titanic_Dataset[[#This Row],[Name]])-1))</f>
        <v>Mr.</v>
      </c>
      <c r="H600" s="1" t="s">
        <v>13</v>
      </c>
      <c r="I600">
        <v>28</v>
      </c>
      <c r="J60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00">
        <v>0</v>
      </c>
      <c r="L600">
        <v>0</v>
      </c>
      <c r="M600">
        <f>Titanic_Dataset[[#This Row],[Parch]]+Titanic_Dataset[[#This Row],[SibSp]]</f>
        <v>0</v>
      </c>
      <c r="N600" s="1" t="s">
        <v>1212</v>
      </c>
      <c r="O600">
        <v>7.2249999999999996</v>
      </c>
      <c r="P600" t="e">
        <f>IF(Titanic_Dataset[[#This Row],[Survived]]=1,Titanic_Dataset[[#This Row],[Fare]],NA())</f>
        <v>#N/A</v>
      </c>
      <c r="Q600">
        <f>IF(Titanic_Dataset[[#This Row],[Survived]]=0,Titanic_Dataset[[#This Row],[Fare]],NA())</f>
        <v>7.2249999999999996</v>
      </c>
      <c r="R600" t="str">
        <f>VLOOKUP(Titanic_Dataset[[#This Row],[Fare]],Table2[],2,TRUE)</f>
        <v>low</v>
      </c>
      <c r="S600" s="1" t="s">
        <v>15</v>
      </c>
      <c r="T600" s="1" t="s">
        <v>21</v>
      </c>
      <c r="U600" s="1"/>
      <c r="V600" s="1"/>
      <c r="W600" s="1"/>
    </row>
    <row r="601" spans="1:23" x14ac:dyDescent="0.25">
      <c r="A601">
        <v>600</v>
      </c>
      <c r="B601">
        <v>1</v>
      </c>
      <c r="C601" t="str">
        <f>IF(Titanic_Dataset[[#This Row],[Survived]]=1,"Survived","Died")</f>
        <v>Survived</v>
      </c>
      <c r="D601">
        <v>1</v>
      </c>
      <c r="E601" t="str">
        <f>IF(Titanic_Dataset[[#This Row],[Pclass]]=1,"1st",IF(Titanic_Dataset[[#This Row],[Pclass]]=2,"2nd",IF(Titanic_Dataset[[#This Row],[Pclass]]=3,"3rd")))</f>
        <v>1st</v>
      </c>
      <c r="F601" s="1" t="s">
        <v>1213</v>
      </c>
      <c r="G601" s="1" t="str">
        <f>TRIM(MID(Titanic_Dataset[[#This Row],[Name]],
FIND(",",Titanic_Dataset[[#This Row],[Name]])+2,
FIND(".",Titanic_Dataset[[#This Row],[Name]],FIND(",",Titanic_Dataset[[#This Row],[Name]]))-FIND(",",Titanic_Dataset[[#This Row],[Name]])-1))</f>
        <v>Sir.</v>
      </c>
      <c r="H601" s="1" t="s">
        <v>13</v>
      </c>
      <c r="I601">
        <v>49</v>
      </c>
      <c r="J601" t="str">
        <f>IF(Titanic_Dataset[[#This Row],[Age]]&lt;12,"0-11",
IF(Titanic_Dataset[[#This Row],[Age]]&lt;20,"12-19",
IF(Titanic_Dataset[[#This Row],[Age]]&lt;30,"20-29",
IF(Titanic_Dataset[[#This Row],[Age]]&lt;40,"30-39",
IF(Titanic_Dataset[[#This Row],[Age]]&lt;50,"40-49",
IF(Titanic_Dataset[[#This Row],[Age]]&lt;60,"50-59",
IF(Titanic_Dataset[[#This Row],[Age]]&lt;70,"60-69",)))))))</f>
        <v>40-49</v>
      </c>
      <c r="K601">
        <v>1</v>
      </c>
      <c r="L601">
        <v>0</v>
      </c>
      <c r="M601">
        <f>Titanic_Dataset[[#This Row],[Parch]]+Titanic_Dataset[[#This Row],[SibSp]]</f>
        <v>1</v>
      </c>
      <c r="N601" s="1" t="s">
        <v>659</v>
      </c>
      <c r="O601">
        <v>56.929200000000002</v>
      </c>
      <c r="P601">
        <f>IF(Titanic_Dataset[[#This Row],[Survived]]=1,Titanic_Dataset[[#This Row],[Fare]],NA())</f>
        <v>56.929200000000002</v>
      </c>
      <c r="Q601" t="e">
        <f>IF(Titanic_Dataset[[#This Row],[Survived]]=0,Titanic_Dataset[[#This Row],[Fare]],NA())</f>
        <v>#N/A</v>
      </c>
      <c r="R601" t="str">
        <f>VLOOKUP(Titanic_Dataset[[#This Row],[Fare]],Table2[],2,TRUE)</f>
        <v>very hiegh</v>
      </c>
      <c r="S601" s="1" t="s">
        <v>1214</v>
      </c>
      <c r="T601" s="1" t="s">
        <v>21</v>
      </c>
      <c r="U601" s="1"/>
      <c r="V601" s="1"/>
      <c r="W601" s="1"/>
    </row>
    <row r="602" spans="1:23" x14ac:dyDescent="0.25">
      <c r="A602">
        <v>601</v>
      </c>
      <c r="B602">
        <v>1</v>
      </c>
      <c r="C602" t="str">
        <f>IF(Titanic_Dataset[[#This Row],[Survived]]=1,"Survived","Died")</f>
        <v>Survived</v>
      </c>
      <c r="D602">
        <v>2</v>
      </c>
      <c r="E602" t="str">
        <f>IF(Titanic_Dataset[[#This Row],[Pclass]]=1,"1st",IF(Titanic_Dataset[[#This Row],[Pclass]]=2,"2nd",IF(Titanic_Dataset[[#This Row],[Pclass]]=3,"3rd")))</f>
        <v>2nd</v>
      </c>
      <c r="F602" s="1" t="s">
        <v>1215</v>
      </c>
      <c r="G602" s="1" t="str">
        <f>TRIM(MID(Titanic_Dataset[[#This Row],[Name]],
FIND(",",Titanic_Dataset[[#This Row],[Name]])+2,
FIND(".",Titanic_Dataset[[#This Row],[Name]],FIND(",",Titanic_Dataset[[#This Row],[Name]]))-FIND(",",Titanic_Dataset[[#This Row],[Name]])-1))</f>
        <v>Mrs.</v>
      </c>
      <c r="H602" s="1" t="s">
        <v>18</v>
      </c>
      <c r="I602">
        <v>24</v>
      </c>
      <c r="J60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02">
        <v>2</v>
      </c>
      <c r="L602">
        <v>1</v>
      </c>
      <c r="M602">
        <f>Titanic_Dataset[[#This Row],[Parch]]+Titanic_Dataset[[#This Row],[SibSp]]</f>
        <v>3</v>
      </c>
      <c r="N602" s="1" t="s">
        <v>469</v>
      </c>
      <c r="O602">
        <v>27</v>
      </c>
      <c r="P602">
        <f>IF(Titanic_Dataset[[#This Row],[Survived]]=1,Titanic_Dataset[[#This Row],[Fare]],NA())</f>
        <v>27</v>
      </c>
      <c r="Q602" t="e">
        <f>IF(Titanic_Dataset[[#This Row],[Survived]]=0,Titanic_Dataset[[#This Row],[Fare]],NA())</f>
        <v>#N/A</v>
      </c>
      <c r="R602" t="str">
        <f>VLOOKUP(Titanic_Dataset[[#This Row],[Fare]],Table2[],2,TRUE)</f>
        <v>high</v>
      </c>
      <c r="S602" s="1" t="s">
        <v>15</v>
      </c>
      <c r="T602" s="1" t="s">
        <v>16</v>
      </c>
      <c r="U602" s="1"/>
      <c r="V602" s="1"/>
      <c r="W602" s="1"/>
    </row>
    <row r="603" spans="1:23" x14ac:dyDescent="0.25">
      <c r="A603">
        <v>602</v>
      </c>
      <c r="B603">
        <v>0</v>
      </c>
      <c r="C603" t="str">
        <f>IF(Titanic_Dataset[[#This Row],[Survived]]=1,"Survived","Died")</f>
        <v>Died</v>
      </c>
      <c r="D603">
        <v>3</v>
      </c>
      <c r="E603" t="str">
        <f>IF(Titanic_Dataset[[#This Row],[Pclass]]=1,"1st",IF(Titanic_Dataset[[#This Row],[Pclass]]=2,"2nd",IF(Titanic_Dataset[[#This Row],[Pclass]]=3,"3rd")))</f>
        <v>3rd</v>
      </c>
      <c r="F603" s="1" t="s">
        <v>1216</v>
      </c>
      <c r="G603" s="1" t="str">
        <f>TRIM(MID(Titanic_Dataset[[#This Row],[Name]],
FIND(",",Titanic_Dataset[[#This Row],[Name]])+2,
FIND(".",Titanic_Dataset[[#This Row],[Name]],FIND(",",Titanic_Dataset[[#This Row],[Name]]))-FIND(",",Titanic_Dataset[[#This Row],[Name]])-1))</f>
        <v>Mr.</v>
      </c>
      <c r="H603" s="1" t="s">
        <v>13</v>
      </c>
      <c r="I603">
        <v>28</v>
      </c>
      <c r="J60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03">
        <v>0</v>
      </c>
      <c r="L603">
        <v>0</v>
      </c>
      <c r="M603">
        <f>Titanic_Dataset[[#This Row],[Parch]]+Titanic_Dataset[[#This Row],[SibSp]]</f>
        <v>0</v>
      </c>
      <c r="N603" s="1" t="s">
        <v>1217</v>
      </c>
      <c r="O603">
        <v>7.8958000000000004</v>
      </c>
      <c r="P603" t="e">
        <f>IF(Titanic_Dataset[[#This Row],[Survived]]=1,Titanic_Dataset[[#This Row],[Fare]],NA())</f>
        <v>#N/A</v>
      </c>
      <c r="Q603">
        <f>IF(Titanic_Dataset[[#This Row],[Survived]]=0,Titanic_Dataset[[#This Row],[Fare]],NA())</f>
        <v>7.8958000000000004</v>
      </c>
      <c r="R603" t="str">
        <f>VLOOKUP(Titanic_Dataset[[#This Row],[Fare]],Table2[],2,TRUE)</f>
        <v>low</v>
      </c>
      <c r="S603" s="1" t="s">
        <v>15</v>
      </c>
      <c r="T603" s="1" t="s">
        <v>16</v>
      </c>
      <c r="U603" s="1"/>
      <c r="V603" s="1"/>
      <c r="W603" s="1"/>
    </row>
    <row r="604" spans="1:23" x14ac:dyDescent="0.25">
      <c r="A604">
        <v>603</v>
      </c>
      <c r="B604">
        <v>0</v>
      </c>
      <c r="C604" t="str">
        <f>IF(Titanic_Dataset[[#This Row],[Survived]]=1,"Survived","Died")</f>
        <v>Died</v>
      </c>
      <c r="D604">
        <v>1</v>
      </c>
      <c r="E604" t="str">
        <f>IF(Titanic_Dataset[[#This Row],[Pclass]]=1,"1st",IF(Titanic_Dataset[[#This Row],[Pclass]]=2,"2nd",IF(Titanic_Dataset[[#This Row],[Pclass]]=3,"3rd")))</f>
        <v>1st</v>
      </c>
      <c r="F604" s="1" t="s">
        <v>1218</v>
      </c>
      <c r="G604" s="1" t="str">
        <f>TRIM(MID(Titanic_Dataset[[#This Row],[Name]],
FIND(",",Titanic_Dataset[[#This Row],[Name]])+2,
FIND(".",Titanic_Dataset[[#This Row],[Name]],FIND(",",Titanic_Dataset[[#This Row],[Name]]))-FIND(",",Titanic_Dataset[[#This Row],[Name]])-1))</f>
        <v>Mr.</v>
      </c>
      <c r="H604" s="1" t="s">
        <v>13</v>
      </c>
      <c r="I604">
        <v>28</v>
      </c>
      <c r="J60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04">
        <v>0</v>
      </c>
      <c r="L604">
        <v>0</v>
      </c>
      <c r="M604">
        <f>Titanic_Dataset[[#This Row],[Parch]]+Titanic_Dataset[[#This Row],[SibSp]]</f>
        <v>0</v>
      </c>
      <c r="N604" s="1" t="s">
        <v>1219</v>
      </c>
      <c r="O604">
        <v>42.4</v>
      </c>
      <c r="P604" t="e">
        <f>IF(Titanic_Dataset[[#This Row],[Survived]]=1,Titanic_Dataset[[#This Row],[Fare]],NA())</f>
        <v>#N/A</v>
      </c>
      <c r="Q604">
        <f>IF(Titanic_Dataset[[#This Row],[Survived]]=0,Titanic_Dataset[[#This Row],[Fare]],NA())</f>
        <v>42.4</v>
      </c>
      <c r="R604" t="str">
        <f>VLOOKUP(Titanic_Dataset[[#This Row],[Fare]],Table2[],2,TRUE)</f>
        <v>very hiegh</v>
      </c>
      <c r="S604" s="1" t="s">
        <v>15</v>
      </c>
      <c r="T604" s="1" t="s">
        <v>16</v>
      </c>
      <c r="U604" s="1"/>
      <c r="V604" s="1"/>
      <c r="W604" s="1"/>
    </row>
    <row r="605" spans="1:23" x14ac:dyDescent="0.25">
      <c r="A605">
        <v>604</v>
      </c>
      <c r="B605">
        <v>0</v>
      </c>
      <c r="C605" t="str">
        <f>IF(Titanic_Dataset[[#This Row],[Survived]]=1,"Survived","Died")</f>
        <v>Died</v>
      </c>
      <c r="D605">
        <v>3</v>
      </c>
      <c r="E605" t="str">
        <f>IF(Titanic_Dataset[[#This Row],[Pclass]]=1,"1st",IF(Titanic_Dataset[[#This Row],[Pclass]]=2,"2nd",IF(Titanic_Dataset[[#This Row],[Pclass]]=3,"3rd")))</f>
        <v>3rd</v>
      </c>
      <c r="F605" s="1" t="s">
        <v>1220</v>
      </c>
      <c r="G605" s="1" t="str">
        <f>TRIM(MID(Titanic_Dataset[[#This Row],[Name]],
FIND(",",Titanic_Dataset[[#This Row],[Name]])+2,
FIND(".",Titanic_Dataset[[#This Row],[Name]],FIND(",",Titanic_Dataset[[#This Row],[Name]]))-FIND(",",Titanic_Dataset[[#This Row],[Name]])-1))</f>
        <v>Mr.</v>
      </c>
      <c r="H605" s="1" t="s">
        <v>13</v>
      </c>
      <c r="I605">
        <v>44</v>
      </c>
      <c r="J605" t="str">
        <f>IF(Titanic_Dataset[[#This Row],[Age]]&lt;12,"0-11",
IF(Titanic_Dataset[[#This Row],[Age]]&lt;20,"12-19",
IF(Titanic_Dataset[[#This Row],[Age]]&lt;30,"20-29",
IF(Titanic_Dataset[[#This Row],[Age]]&lt;40,"30-39",
IF(Titanic_Dataset[[#This Row],[Age]]&lt;50,"40-49",
IF(Titanic_Dataset[[#This Row],[Age]]&lt;60,"50-59",
IF(Titanic_Dataset[[#This Row],[Age]]&lt;70,"60-69",)))))))</f>
        <v>40-49</v>
      </c>
      <c r="K605">
        <v>0</v>
      </c>
      <c r="L605">
        <v>0</v>
      </c>
      <c r="M605">
        <f>Titanic_Dataset[[#This Row],[Parch]]+Titanic_Dataset[[#This Row],[SibSp]]</f>
        <v>0</v>
      </c>
      <c r="N605" s="1" t="s">
        <v>1221</v>
      </c>
      <c r="O605">
        <v>8.0500000000000007</v>
      </c>
      <c r="P605" t="e">
        <f>IF(Titanic_Dataset[[#This Row],[Survived]]=1,Titanic_Dataset[[#This Row],[Fare]],NA())</f>
        <v>#N/A</v>
      </c>
      <c r="Q605">
        <f>IF(Titanic_Dataset[[#This Row],[Survived]]=0,Titanic_Dataset[[#This Row],[Fare]],NA())</f>
        <v>8.0500000000000007</v>
      </c>
      <c r="R605" t="str">
        <f>VLOOKUP(Titanic_Dataset[[#This Row],[Fare]],Table2[],2,TRUE)</f>
        <v>medium</v>
      </c>
      <c r="S605" s="1" t="s">
        <v>15</v>
      </c>
      <c r="T605" s="1" t="s">
        <v>16</v>
      </c>
      <c r="U605" s="1"/>
      <c r="V605" s="1"/>
      <c r="W605" s="1"/>
    </row>
    <row r="606" spans="1:23" x14ac:dyDescent="0.25">
      <c r="A606">
        <v>605</v>
      </c>
      <c r="B606">
        <v>1</v>
      </c>
      <c r="C606" t="str">
        <f>IF(Titanic_Dataset[[#This Row],[Survived]]=1,"Survived","Died")</f>
        <v>Survived</v>
      </c>
      <c r="D606">
        <v>1</v>
      </c>
      <c r="E606" t="str">
        <f>IF(Titanic_Dataset[[#This Row],[Pclass]]=1,"1st",IF(Titanic_Dataset[[#This Row],[Pclass]]=2,"2nd",IF(Titanic_Dataset[[#This Row],[Pclass]]=3,"3rd")))</f>
        <v>1st</v>
      </c>
      <c r="F606" s="1" t="s">
        <v>1222</v>
      </c>
      <c r="G606" s="1" t="str">
        <f>TRIM(MID(Titanic_Dataset[[#This Row],[Name]],
FIND(",",Titanic_Dataset[[#This Row],[Name]])+2,
FIND(".",Titanic_Dataset[[#This Row],[Name]],FIND(",",Titanic_Dataset[[#This Row],[Name]]))-FIND(",",Titanic_Dataset[[#This Row],[Name]])-1))</f>
        <v>Mr.</v>
      </c>
      <c r="H606" s="1" t="s">
        <v>13</v>
      </c>
      <c r="I606">
        <v>35</v>
      </c>
      <c r="J606" t="str">
        <f>IF(Titanic_Dataset[[#This Row],[Age]]&lt;12,"0-11",
IF(Titanic_Dataset[[#This Row],[Age]]&lt;20,"12-19",
IF(Titanic_Dataset[[#This Row],[Age]]&lt;30,"20-29",
IF(Titanic_Dataset[[#This Row],[Age]]&lt;40,"30-39",
IF(Titanic_Dataset[[#This Row],[Age]]&lt;50,"40-49",
IF(Titanic_Dataset[[#This Row],[Age]]&lt;60,"50-59",
IF(Titanic_Dataset[[#This Row],[Age]]&lt;70,"60-69",)))))))</f>
        <v>30-39</v>
      </c>
      <c r="K606">
        <v>0</v>
      </c>
      <c r="L606">
        <v>0</v>
      </c>
      <c r="M606">
        <f>Titanic_Dataset[[#This Row],[Parch]]+Titanic_Dataset[[#This Row],[SibSp]]</f>
        <v>0</v>
      </c>
      <c r="N606" s="1" t="s">
        <v>1223</v>
      </c>
      <c r="O606">
        <v>26.55</v>
      </c>
      <c r="P606">
        <f>IF(Titanic_Dataset[[#This Row],[Survived]]=1,Titanic_Dataset[[#This Row],[Fare]],NA())</f>
        <v>26.55</v>
      </c>
      <c r="Q606" t="e">
        <f>IF(Titanic_Dataset[[#This Row],[Survived]]=0,Titanic_Dataset[[#This Row],[Fare]],NA())</f>
        <v>#N/A</v>
      </c>
      <c r="R606" t="str">
        <f>VLOOKUP(Titanic_Dataset[[#This Row],[Fare]],Table2[],2,TRUE)</f>
        <v>high</v>
      </c>
      <c r="S606" s="1" t="s">
        <v>15</v>
      </c>
      <c r="T606" s="1" t="s">
        <v>21</v>
      </c>
      <c r="U606" s="1"/>
      <c r="V606" s="1"/>
      <c r="W606" s="1"/>
    </row>
    <row r="607" spans="1:23" x14ac:dyDescent="0.25">
      <c r="A607">
        <v>606</v>
      </c>
      <c r="B607">
        <v>0</v>
      </c>
      <c r="C607" t="str">
        <f>IF(Titanic_Dataset[[#This Row],[Survived]]=1,"Survived","Died")</f>
        <v>Died</v>
      </c>
      <c r="D607">
        <v>3</v>
      </c>
      <c r="E607" t="str">
        <f>IF(Titanic_Dataset[[#This Row],[Pclass]]=1,"1st",IF(Titanic_Dataset[[#This Row],[Pclass]]=2,"2nd",IF(Titanic_Dataset[[#This Row],[Pclass]]=3,"3rd")))</f>
        <v>3rd</v>
      </c>
      <c r="F607" s="1" t="s">
        <v>1224</v>
      </c>
      <c r="G607" s="1" t="str">
        <f>TRIM(MID(Titanic_Dataset[[#This Row],[Name]],
FIND(",",Titanic_Dataset[[#This Row],[Name]])+2,
FIND(".",Titanic_Dataset[[#This Row],[Name]],FIND(",",Titanic_Dataset[[#This Row],[Name]]))-FIND(",",Titanic_Dataset[[#This Row],[Name]])-1))</f>
        <v>Mr.</v>
      </c>
      <c r="H607" s="1" t="s">
        <v>13</v>
      </c>
      <c r="I607">
        <v>36</v>
      </c>
      <c r="J607" t="str">
        <f>IF(Titanic_Dataset[[#This Row],[Age]]&lt;12,"0-11",
IF(Titanic_Dataset[[#This Row],[Age]]&lt;20,"12-19",
IF(Titanic_Dataset[[#This Row],[Age]]&lt;30,"20-29",
IF(Titanic_Dataset[[#This Row],[Age]]&lt;40,"30-39",
IF(Titanic_Dataset[[#This Row],[Age]]&lt;50,"40-49",
IF(Titanic_Dataset[[#This Row],[Age]]&lt;60,"50-59",
IF(Titanic_Dataset[[#This Row],[Age]]&lt;70,"60-69",)))))))</f>
        <v>30-39</v>
      </c>
      <c r="K607">
        <v>1</v>
      </c>
      <c r="L607">
        <v>0</v>
      </c>
      <c r="M607">
        <f>Titanic_Dataset[[#This Row],[Parch]]+Titanic_Dataset[[#This Row],[SibSp]]</f>
        <v>1</v>
      </c>
      <c r="N607" s="1" t="s">
        <v>1225</v>
      </c>
      <c r="O607">
        <v>15.55</v>
      </c>
      <c r="P607" t="e">
        <f>IF(Titanic_Dataset[[#This Row],[Survived]]=1,Titanic_Dataset[[#This Row],[Fare]],NA())</f>
        <v>#N/A</v>
      </c>
      <c r="Q607">
        <f>IF(Titanic_Dataset[[#This Row],[Survived]]=0,Titanic_Dataset[[#This Row],[Fare]],NA())</f>
        <v>15.55</v>
      </c>
      <c r="R607" t="str">
        <f>VLOOKUP(Titanic_Dataset[[#This Row],[Fare]],Table2[],2,TRUE)</f>
        <v>high</v>
      </c>
      <c r="S607" s="1" t="s">
        <v>15</v>
      </c>
      <c r="T607" s="1" t="s">
        <v>16</v>
      </c>
      <c r="U607" s="1"/>
      <c r="V607" s="1"/>
      <c r="W607" s="1"/>
    </row>
    <row r="608" spans="1:23" x14ac:dyDescent="0.25">
      <c r="A608">
        <v>607</v>
      </c>
      <c r="B608">
        <v>0</v>
      </c>
      <c r="C608" t="str">
        <f>IF(Titanic_Dataset[[#This Row],[Survived]]=1,"Survived","Died")</f>
        <v>Died</v>
      </c>
      <c r="D608">
        <v>3</v>
      </c>
      <c r="E608" t="str">
        <f>IF(Titanic_Dataset[[#This Row],[Pclass]]=1,"1st",IF(Titanic_Dataset[[#This Row],[Pclass]]=2,"2nd",IF(Titanic_Dataset[[#This Row],[Pclass]]=3,"3rd")))</f>
        <v>3rd</v>
      </c>
      <c r="F608" s="1" t="s">
        <v>1226</v>
      </c>
      <c r="G608" s="1" t="str">
        <f>TRIM(MID(Titanic_Dataset[[#This Row],[Name]],
FIND(",",Titanic_Dataset[[#This Row],[Name]])+2,
FIND(".",Titanic_Dataset[[#This Row],[Name]],FIND(",",Titanic_Dataset[[#This Row],[Name]]))-FIND(",",Titanic_Dataset[[#This Row],[Name]])-1))</f>
        <v>Mr.</v>
      </c>
      <c r="H608" s="1" t="s">
        <v>13</v>
      </c>
      <c r="I608">
        <v>30</v>
      </c>
      <c r="J608" t="str">
        <f>IF(Titanic_Dataset[[#This Row],[Age]]&lt;12,"0-11",
IF(Titanic_Dataset[[#This Row],[Age]]&lt;20,"12-19",
IF(Titanic_Dataset[[#This Row],[Age]]&lt;30,"20-29",
IF(Titanic_Dataset[[#This Row],[Age]]&lt;40,"30-39",
IF(Titanic_Dataset[[#This Row],[Age]]&lt;50,"40-49",
IF(Titanic_Dataset[[#This Row],[Age]]&lt;60,"50-59",
IF(Titanic_Dataset[[#This Row],[Age]]&lt;70,"60-69",)))))))</f>
        <v>30-39</v>
      </c>
      <c r="K608">
        <v>0</v>
      </c>
      <c r="L608">
        <v>0</v>
      </c>
      <c r="M608">
        <f>Titanic_Dataset[[#This Row],[Parch]]+Titanic_Dataset[[#This Row],[SibSp]]</f>
        <v>0</v>
      </c>
      <c r="N608" s="1" t="s">
        <v>1227</v>
      </c>
      <c r="O608">
        <v>7.8958000000000004</v>
      </c>
      <c r="P608" t="e">
        <f>IF(Titanic_Dataset[[#This Row],[Survived]]=1,Titanic_Dataset[[#This Row],[Fare]],NA())</f>
        <v>#N/A</v>
      </c>
      <c r="Q608">
        <f>IF(Titanic_Dataset[[#This Row],[Survived]]=0,Titanic_Dataset[[#This Row],[Fare]],NA())</f>
        <v>7.8958000000000004</v>
      </c>
      <c r="R608" t="str">
        <f>VLOOKUP(Titanic_Dataset[[#This Row],[Fare]],Table2[],2,TRUE)</f>
        <v>low</v>
      </c>
      <c r="S608" s="1" t="s">
        <v>15</v>
      </c>
      <c r="T608" s="1" t="s">
        <v>16</v>
      </c>
      <c r="U608" s="1"/>
      <c r="V608" s="1"/>
      <c r="W608" s="1"/>
    </row>
    <row r="609" spans="1:23" x14ac:dyDescent="0.25">
      <c r="A609">
        <v>608</v>
      </c>
      <c r="B609">
        <v>1</v>
      </c>
      <c r="C609" t="str">
        <f>IF(Titanic_Dataset[[#This Row],[Survived]]=1,"Survived","Died")</f>
        <v>Survived</v>
      </c>
      <c r="D609">
        <v>1</v>
      </c>
      <c r="E609" t="str">
        <f>IF(Titanic_Dataset[[#This Row],[Pclass]]=1,"1st",IF(Titanic_Dataset[[#This Row],[Pclass]]=2,"2nd",IF(Titanic_Dataset[[#This Row],[Pclass]]=3,"3rd")))</f>
        <v>1st</v>
      </c>
      <c r="F609" s="1" t="s">
        <v>1228</v>
      </c>
      <c r="G609" s="1" t="str">
        <f>TRIM(MID(Titanic_Dataset[[#This Row],[Name]],
FIND(",",Titanic_Dataset[[#This Row],[Name]])+2,
FIND(".",Titanic_Dataset[[#This Row],[Name]],FIND(",",Titanic_Dataset[[#This Row],[Name]]))-FIND(",",Titanic_Dataset[[#This Row],[Name]])-1))</f>
        <v>Mr.</v>
      </c>
      <c r="H609" s="1" t="s">
        <v>13</v>
      </c>
      <c r="I609">
        <v>27</v>
      </c>
      <c r="J60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09">
        <v>0</v>
      </c>
      <c r="L609">
        <v>0</v>
      </c>
      <c r="M609">
        <f>Titanic_Dataset[[#This Row],[Parch]]+Titanic_Dataset[[#This Row],[SibSp]]</f>
        <v>0</v>
      </c>
      <c r="N609" s="1" t="s">
        <v>1229</v>
      </c>
      <c r="O609">
        <v>30.5</v>
      </c>
      <c r="P609">
        <f>IF(Titanic_Dataset[[#This Row],[Survived]]=1,Titanic_Dataset[[#This Row],[Fare]],NA())</f>
        <v>30.5</v>
      </c>
      <c r="Q609" t="e">
        <f>IF(Titanic_Dataset[[#This Row],[Survived]]=0,Titanic_Dataset[[#This Row],[Fare]],NA())</f>
        <v>#N/A</v>
      </c>
      <c r="R609" t="str">
        <f>VLOOKUP(Titanic_Dataset[[#This Row],[Fare]],Table2[],2,TRUE)</f>
        <v>very hiegh</v>
      </c>
      <c r="S609" s="1" t="s">
        <v>15</v>
      </c>
      <c r="T609" s="1" t="s">
        <v>16</v>
      </c>
      <c r="U609" s="1"/>
      <c r="V609" s="1"/>
      <c r="W609" s="1"/>
    </row>
    <row r="610" spans="1:23" x14ac:dyDescent="0.25">
      <c r="A610">
        <v>609</v>
      </c>
      <c r="B610">
        <v>1</v>
      </c>
      <c r="C610" t="str">
        <f>IF(Titanic_Dataset[[#This Row],[Survived]]=1,"Survived","Died")</f>
        <v>Survived</v>
      </c>
      <c r="D610">
        <v>2</v>
      </c>
      <c r="E610" t="str">
        <f>IF(Titanic_Dataset[[#This Row],[Pclass]]=1,"1st",IF(Titanic_Dataset[[#This Row],[Pclass]]=2,"2nd",IF(Titanic_Dataset[[#This Row],[Pclass]]=3,"3rd")))</f>
        <v>2nd</v>
      </c>
      <c r="F610" s="1" t="s">
        <v>1230</v>
      </c>
      <c r="G610" s="1" t="str">
        <f>TRIM(MID(Titanic_Dataset[[#This Row],[Name]],
FIND(",",Titanic_Dataset[[#This Row],[Name]])+2,
FIND(".",Titanic_Dataset[[#This Row],[Name]],FIND(",",Titanic_Dataset[[#This Row],[Name]]))-FIND(",",Titanic_Dataset[[#This Row],[Name]])-1))</f>
        <v>Mrs.</v>
      </c>
      <c r="H610" s="1" t="s">
        <v>18</v>
      </c>
      <c r="I610">
        <v>22</v>
      </c>
      <c r="J61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10">
        <v>1</v>
      </c>
      <c r="L610">
        <v>2</v>
      </c>
      <c r="M610">
        <f>Titanic_Dataset[[#This Row],[Parch]]+Titanic_Dataset[[#This Row],[SibSp]]</f>
        <v>3</v>
      </c>
      <c r="N610" s="1" t="s">
        <v>113</v>
      </c>
      <c r="O610">
        <v>41.5792</v>
      </c>
      <c r="P610">
        <f>IF(Titanic_Dataset[[#This Row],[Survived]]=1,Titanic_Dataset[[#This Row],[Fare]],NA())</f>
        <v>41.5792</v>
      </c>
      <c r="Q610" t="e">
        <f>IF(Titanic_Dataset[[#This Row],[Survived]]=0,Titanic_Dataset[[#This Row],[Fare]],NA())</f>
        <v>#N/A</v>
      </c>
      <c r="R610" t="str">
        <f>VLOOKUP(Titanic_Dataset[[#This Row],[Fare]],Table2[],2,TRUE)</f>
        <v>very hiegh</v>
      </c>
      <c r="S610" s="1" t="s">
        <v>15</v>
      </c>
      <c r="T610" s="1" t="s">
        <v>21</v>
      </c>
      <c r="U610" s="1"/>
      <c r="V610" s="1"/>
      <c r="W610" s="1"/>
    </row>
    <row r="611" spans="1:23" x14ac:dyDescent="0.25">
      <c r="A611">
        <v>610</v>
      </c>
      <c r="B611">
        <v>1</v>
      </c>
      <c r="C611" t="str">
        <f>IF(Titanic_Dataset[[#This Row],[Survived]]=1,"Survived","Died")</f>
        <v>Survived</v>
      </c>
      <c r="D611">
        <v>1</v>
      </c>
      <c r="E611" t="str">
        <f>IF(Titanic_Dataset[[#This Row],[Pclass]]=1,"1st",IF(Titanic_Dataset[[#This Row],[Pclass]]=2,"2nd",IF(Titanic_Dataset[[#This Row],[Pclass]]=3,"3rd")))</f>
        <v>1st</v>
      </c>
      <c r="F611" s="1" t="s">
        <v>1231</v>
      </c>
      <c r="G611" s="1" t="str">
        <f>TRIM(MID(Titanic_Dataset[[#This Row],[Name]],
FIND(",",Titanic_Dataset[[#This Row],[Name]])+2,
FIND(".",Titanic_Dataset[[#This Row],[Name]],FIND(",",Titanic_Dataset[[#This Row],[Name]]))-FIND(",",Titanic_Dataset[[#This Row],[Name]])-1))</f>
        <v>Miss.</v>
      </c>
      <c r="H611" s="1" t="s">
        <v>18</v>
      </c>
      <c r="I611">
        <v>40</v>
      </c>
      <c r="J611" t="str">
        <f>IF(Titanic_Dataset[[#This Row],[Age]]&lt;12,"0-11",
IF(Titanic_Dataset[[#This Row],[Age]]&lt;20,"12-19",
IF(Titanic_Dataset[[#This Row],[Age]]&lt;30,"20-29",
IF(Titanic_Dataset[[#This Row],[Age]]&lt;40,"30-39",
IF(Titanic_Dataset[[#This Row],[Age]]&lt;50,"40-49",
IF(Titanic_Dataset[[#This Row],[Age]]&lt;60,"50-59",
IF(Titanic_Dataset[[#This Row],[Age]]&lt;70,"60-69",)))))))</f>
        <v>40-49</v>
      </c>
      <c r="K611">
        <v>0</v>
      </c>
      <c r="L611">
        <v>0</v>
      </c>
      <c r="M611">
        <f>Titanic_Dataset[[#This Row],[Parch]]+Titanic_Dataset[[#This Row],[SibSp]]</f>
        <v>0</v>
      </c>
      <c r="N611" s="1" t="s">
        <v>572</v>
      </c>
      <c r="O611">
        <v>153.46250000000001</v>
      </c>
      <c r="P611">
        <f>IF(Titanic_Dataset[[#This Row],[Survived]]=1,Titanic_Dataset[[#This Row],[Fare]],NA())</f>
        <v>153.46250000000001</v>
      </c>
      <c r="Q611" t="e">
        <f>IF(Titanic_Dataset[[#This Row],[Survived]]=0,Titanic_Dataset[[#This Row],[Fare]],NA())</f>
        <v>#N/A</v>
      </c>
      <c r="R611" t="str">
        <f>VLOOKUP(Titanic_Dataset[[#This Row],[Fare]],Table2[],2,TRUE)</f>
        <v>very hiegh</v>
      </c>
      <c r="S611" s="1" t="s">
        <v>573</v>
      </c>
      <c r="T611" s="1" t="s">
        <v>16</v>
      </c>
      <c r="U611" s="1"/>
      <c r="V611" s="1"/>
      <c r="W611" s="1"/>
    </row>
    <row r="612" spans="1:23" x14ac:dyDescent="0.25">
      <c r="A612">
        <v>611</v>
      </c>
      <c r="B612">
        <v>0</v>
      </c>
      <c r="C612" t="str">
        <f>IF(Titanic_Dataset[[#This Row],[Survived]]=1,"Survived","Died")</f>
        <v>Died</v>
      </c>
      <c r="D612">
        <v>3</v>
      </c>
      <c r="E612" t="str">
        <f>IF(Titanic_Dataset[[#This Row],[Pclass]]=1,"1st",IF(Titanic_Dataset[[#This Row],[Pclass]]=2,"2nd",IF(Titanic_Dataset[[#This Row],[Pclass]]=3,"3rd")))</f>
        <v>3rd</v>
      </c>
      <c r="F612" s="1" t="s">
        <v>1232</v>
      </c>
      <c r="G612" s="1" t="str">
        <f>TRIM(MID(Titanic_Dataset[[#This Row],[Name]],
FIND(",",Titanic_Dataset[[#This Row],[Name]])+2,
FIND(".",Titanic_Dataset[[#This Row],[Name]],FIND(",",Titanic_Dataset[[#This Row],[Name]]))-FIND(",",Titanic_Dataset[[#This Row],[Name]])-1))</f>
        <v>Mrs.</v>
      </c>
      <c r="H612" s="1" t="s">
        <v>18</v>
      </c>
      <c r="I612">
        <v>39</v>
      </c>
      <c r="J612" t="str">
        <f>IF(Titanic_Dataset[[#This Row],[Age]]&lt;12,"0-11",
IF(Titanic_Dataset[[#This Row],[Age]]&lt;20,"12-19",
IF(Titanic_Dataset[[#This Row],[Age]]&lt;30,"20-29",
IF(Titanic_Dataset[[#This Row],[Age]]&lt;40,"30-39",
IF(Titanic_Dataset[[#This Row],[Age]]&lt;50,"40-49",
IF(Titanic_Dataset[[#This Row],[Age]]&lt;60,"50-59",
IF(Titanic_Dataset[[#This Row],[Age]]&lt;70,"60-69",)))))))</f>
        <v>30-39</v>
      </c>
      <c r="K612">
        <v>1</v>
      </c>
      <c r="L612">
        <v>5</v>
      </c>
      <c r="M612">
        <f>Titanic_Dataset[[#This Row],[Parch]]+Titanic_Dataset[[#This Row],[SibSp]]</f>
        <v>6</v>
      </c>
      <c r="N612" s="1" t="s">
        <v>50</v>
      </c>
      <c r="O612">
        <v>31.274999999999999</v>
      </c>
      <c r="P612" t="e">
        <f>IF(Titanic_Dataset[[#This Row],[Survived]]=1,Titanic_Dataset[[#This Row],[Fare]],NA())</f>
        <v>#N/A</v>
      </c>
      <c r="Q612">
        <f>IF(Titanic_Dataset[[#This Row],[Survived]]=0,Titanic_Dataset[[#This Row],[Fare]],NA())</f>
        <v>31.274999999999999</v>
      </c>
      <c r="R612" t="str">
        <f>VLOOKUP(Titanic_Dataset[[#This Row],[Fare]],Table2[],2,TRUE)</f>
        <v>very hiegh</v>
      </c>
      <c r="S612" s="1" t="s">
        <v>15</v>
      </c>
      <c r="T612" s="1" t="s">
        <v>16</v>
      </c>
      <c r="U612" s="1"/>
      <c r="V612" s="1"/>
      <c r="W612" s="1"/>
    </row>
    <row r="613" spans="1:23" x14ac:dyDescent="0.25">
      <c r="A613">
        <v>612</v>
      </c>
      <c r="B613">
        <v>0</v>
      </c>
      <c r="C613" t="str">
        <f>IF(Titanic_Dataset[[#This Row],[Survived]]=1,"Survived","Died")</f>
        <v>Died</v>
      </c>
      <c r="D613">
        <v>3</v>
      </c>
      <c r="E613" t="str">
        <f>IF(Titanic_Dataset[[#This Row],[Pclass]]=1,"1st",IF(Titanic_Dataset[[#This Row],[Pclass]]=2,"2nd",IF(Titanic_Dataset[[#This Row],[Pclass]]=3,"3rd")))</f>
        <v>3rd</v>
      </c>
      <c r="F613" s="1" t="s">
        <v>1233</v>
      </c>
      <c r="G613" s="1" t="str">
        <f>TRIM(MID(Titanic_Dataset[[#This Row],[Name]],
FIND(",",Titanic_Dataset[[#This Row],[Name]])+2,
FIND(".",Titanic_Dataset[[#This Row],[Name]],FIND(",",Titanic_Dataset[[#This Row],[Name]]))-FIND(",",Titanic_Dataset[[#This Row],[Name]])-1))</f>
        <v>Mr.</v>
      </c>
      <c r="H613" s="1" t="s">
        <v>13</v>
      </c>
      <c r="I613">
        <v>28</v>
      </c>
      <c r="J61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13">
        <v>0</v>
      </c>
      <c r="L613">
        <v>0</v>
      </c>
      <c r="M613">
        <f>Titanic_Dataset[[#This Row],[Parch]]+Titanic_Dataset[[#This Row],[SibSp]]</f>
        <v>0</v>
      </c>
      <c r="N613" s="1" t="s">
        <v>1234</v>
      </c>
      <c r="O613">
        <v>7.05</v>
      </c>
      <c r="P613" t="e">
        <f>IF(Titanic_Dataset[[#This Row],[Survived]]=1,Titanic_Dataset[[#This Row],[Fare]],NA())</f>
        <v>#N/A</v>
      </c>
      <c r="Q613">
        <f>IF(Titanic_Dataset[[#This Row],[Survived]]=0,Titanic_Dataset[[#This Row],[Fare]],NA())</f>
        <v>7.05</v>
      </c>
      <c r="R613" t="str">
        <f>VLOOKUP(Titanic_Dataset[[#This Row],[Fare]],Table2[],2,TRUE)</f>
        <v>low</v>
      </c>
      <c r="S613" s="1" t="s">
        <v>15</v>
      </c>
      <c r="T613" s="1" t="s">
        <v>16</v>
      </c>
      <c r="U613" s="1"/>
      <c r="V613" s="1"/>
      <c r="W613" s="1"/>
    </row>
    <row r="614" spans="1:23" x14ac:dyDescent="0.25">
      <c r="A614">
        <v>613</v>
      </c>
      <c r="B614">
        <v>1</v>
      </c>
      <c r="C614" t="str">
        <f>IF(Titanic_Dataset[[#This Row],[Survived]]=1,"Survived","Died")</f>
        <v>Survived</v>
      </c>
      <c r="D614">
        <v>3</v>
      </c>
      <c r="E614" t="str">
        <f>IF(Titanic_Dataset[[#This Row],[Pclass]]=1,"1st",IF(Titanic_Dataset[[#This Row],[Pclass]]=2,"2nd",IF(Titanic_Dataset[[#This Row],[Pclass]]=3,"3rd")))</f>
        <v>3rd</v>
      </c>
      <c r="F614" s="1" t="s">
        <v>1235</v>
      </c>
      <c r="G614" s="1" t="str">
        <f>TRIM(MID(Titanic_Dataset[[#This Row],[Name]],
FIND(",",Titanic_Dataset[[#This Row],[Name]])+2,
FIND(".",Titanic_Dataset[[#This Row],[Name]],FIND(",",Titanic_Dataset[[#This Row],[Name]]))-FIND(",",Titanic_Dataset[[#This Row],[Name]])-1))</f>
        <v>Miss.</v>
      </c>
      <c r="H614" s="1" t="s">
        <v>18</v>
      </c>
      <c r="I614">
        <v>28</v>
      </c>
      <c r="J61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14">
        <v>1</v>
      </c>
      <c r="L614">
        <v>0</v>
      </c>
      <c r="M614">
        <f>Titanic_Dataset[[#This Row],[Parch]]+Titanic_Dataset[[#This Row],[SibSp]]</f>
        <v>1</v>
      </c>
      <c r="N614" s="1" t="s">
        <v>515</v>
      </c>
      <c r="O614">
        <v>15.5</v>
      </c>
      <c r="P614">
        <f>IF(Titanic_Dataset[[#This Row],[Survived]]=1,Titanic_Dataset[[#This Row],[Fare]],NA())</f>
        <v>15.5</v>
      </c>
      <c r="Q614" t="e">
        <f>IF(Titanic_Dataset[[#This Row],[Survived]]=0,Titanic_Dataset[[#This Row],[Fare]],NA())</f>
        <v>#N/A</v>
      </c>
      <c r="R614" t="str">
        <f>VLOOKUP(Titanic_Dataset[[#This Row],[Fare]],Table2[],2,TRUE)</f>
        <v>high</v>
      </c>
      <c r="S614" s="1" t="s">
        <v>15</v>
      </c>
      <c r="T614" s="1" t="s">
        <v>31</v>
      </c>
      <c r="U614" s="1"/>
      <c r="V614" s="1"/>
      <c r="W614" s="1"/>
    </row>
    <row r="615" spans="1:23" x14ac:dyDescent="0.25">
      <c r="A615">
        <v>614</v>
      </c>
      <c r="B615">
        <v>0</v>
      </c>
      <c r="C615" t="str">
        <f>IF(Titanic_Dataset[[#This Row],[Survived]]=1,"Survived","Died")</f>
        <v>Died</v>
      </c>
      <c r="D615">
        <v>3</v>
      </c>
      <c r="E615" t="str">
        <f>IF(Titanic_Dataset[[#This Row],[Pclass]]=1,"1st",IF(Titanic_Dataset[[#This Row],[Pclass]]=2,"2nd",IF(Titanic_Dataset[[#This Row],[Pclass]]=3,"3rd")))</f>
        <v>3rd</v>
      </c>
      <c r="F615" s="1" t="s">
        <v>1236</v>
      </c>
      <c r="G615" s="1" t="str">
        <f>TRIM(MID(Titanic_Dataset[[#This Row],[Name]],
FIND(",",Titanic_Dataset[[#This Row],[Name]])+2,
FIND(".",Titanic_Dataset[[#This Row],[Name]],FIND(",",Titanic_Dataset[[#This Row],[Name]]))-FIND(",",Titanic_Dataset[[#This Row],[Name]])-1))</f>
        <v>Mr.</v>
      </c>
      <c r="H615" s="1" t="s">
        <v>13</v>
      </c>
      <c r="I615">
        <v>28</v>
      </c>
      <c r="J61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15">
        <v>0</v>
      </c>
      <c r="L615">
        <v>0</v>
      </c>
      <c r="M615">
        <f>Titanic_Dataset[[#This Row],[Parch]]+Titanic_Dataset[[#This Row],[SibSp]]</f>
        <v>0</v>
      </c>
      <c r="N615" s="1" t="s">
        <v>1237</v>
      </c>
      <c r="O615">
        <v>7.75</v>
      </c>
      <c r="P615" t="e">
        <f>IF(Titanic_Dataset[[#This Row],[Survived]]=1,Titanic_Dataset[[#This Row],[Fare]],NA())</f>
        <v>#N/A</v>
      </c>
      <c r="Q615">
        <f>IF(Titanic_Dataset[[#This Row],[Survived]]=0,Titanic_Dataset[[#This Row],[Fare]],NA())</f>
        <v>7.75</v>
      </c>
      <c r="R615" t="str">
        <f>VLOOKUP(Titanic_Dataset[[#This Row],[Fare]],Table2[],2,TRUE)</f>
        <v>low</v>
      </c>
      <c r="S615" s="1" t="s">
        <v>15</v>
      </c>
      <c r="T615" s="1" t="s">
        <v>31</v>
      </c>
      <c r="U615" s="1"/>
      <c r="V615" s="1"/>
      <c r="W615" s="1"/>
    </row>
    <row r="616" spans="1:23" x14ac:dyDescent="0.25">
      <c r="A616">
        <v>615</v>
      </c>
      <c r="B616">
        <v>0</v>
      </c>
      <c r="C616" t="str">
        <f>IF(Titanic_Dataset[[#This Row],[Survived]]=1,"Survived","Died")</f>
        <v>Died</v>
      </c>
      <c r="D616">
        <v>3</v>
      </c>
      <c r="E616" t="str">
        <f>IF(Titanic_Dataset[[#This Row],[Pclass]]=1,"1st",IF(Titanic_Dataset[[#This Row],[Pclass]]=2,"2nd",IF(Titanic_Dataset[[#This Row],[Pclass]]=3,"3rd")))</f>
        <v>3rd</v>
      </c>
      <c r="F616" s="1" t="s">
        <v>1238</v>
      </c>
      <c r="G616" s="1" t="str">
        <f>TRIM(MID(Titanic_Dataset[[#This Row],[Name]],
FIND(",",Titanic_Dataset[[#This Row],[Name]])+2,
FIND(".",Titanic_Dataset[[#This Row],[Name]],FIND(",",Titanic_Dataset[[#This Row],[Name]]))-FIND(",",Titanic_Dataset[[#This Row],[Name]])-1))</f>
        <v>Mr.</v>
      </c>
      <c r="H616" s="1" t="s">
        <v>13</v>
      </c>
      <c r="I616">
        <v>35</v>
      </c>
      <c r="J616" t="str">
        <f>IF(Titanic_Dataset[[#This Row],[Age]]&lt;12,"0-11",
IF(Titanic_Dataset[[#This Row],[Age]]&lt;20,"12-19",
IF(Titanic_Dataset[[#This Row],[Age]]&lt;30,"20-29",
IF(Titanic_Dataset[[#This Row],[Age]]&lt;40,"30-39",
IF(Titanic_Dataset[[#This Row],[Age]]&lt;50,"40-49",
IF(Titanic_Dataset[[#This Row],[Age]]&lt;60,"50-59",
IF(Titanic_Dataset[[#This Row],[Age]]&lt;70,"60-69",)))))))</f>
        <v>30-39</v>
      </c>
      <c r="K616">
        <v>0</v>
      </c>
      <c r="L616">
        <v>0</v>
      </c>
      <c r="M616">
        <f>Titanic_Dataset[[#This Row],[Parch]]+Titanic_Dataset[[#This Row],[SibSp]]</f>
        <v>0</v>
      </c>
      <c r="N616" s="1" t="s">
        <v>1239</v>
      </c>
      <c r="O616">
        <v>8.0500000000000007</v>
      </c>
      <c r="P616" t="e">
        <f>IF(Titanic_Dataset[[#This Row],[Survived]]=1,Titanic_Dataset[[#This Row],[Fare]],NA())</f>
        <v>#N/A</v>
      </c>
      <c r="Q616">
        <f>IF(Titanic_Dataset[[#This Row],[Survived]]=0,Titanic_Dataset[[#This Row],[Fare]],NA())</f>
        <v>8.0500000000000007</v>
      </c>
      <c r="R616" t="str">
        <f>VLOOKUP(Titanic_Dataset[[#This Row],[Fare]],Table2[],2,TRUE)</f>
        <v>medium</v>
      </c>
      <c r="S616" s="1" t="s">
        <v>15</v>
      </c>
      <c r="T616" s="1" t="s">
        <v>16</v>
      </c>
      <c r="U616" s="1"/>
      <c r="V616" s="1"/>
      <c r="W616" s="1"/>
    </row>
    <row r="617" spans="1:23" x14ac:dyDescent="0.25">
      <c r="A617">
        <v>616</v>
      </c>
      <c r="B617">
        <v>1</v>
      </c>
      <c r="C617" t="str">
        <f>IF(Titanic_Dataset[[#This Row],[Survived]]=1,"Survived","Died")</f>
        <v>Survived</v>
      </c>
      <c r="D617">
        <v>2</v>
      </c>
      <c r="E617" t="str">
        <f>IF(Titanic_Dataset[[#This Row],[Pclass]]=1,"1st",IF(Titanic_Dataset[[#This Row],[Pclass]]=2,"2nd",IF(Titanic_Dataset[[#This Row],[Pclass]]=3,"3rd")))</f>
        <v>2nd</v>
      </c>
      <c r="F617" s="1" t="s">
        <v>1240</v>
      </c>
      <c r="G617" s="1" t="str">
        <f>TRIM(MID(Titanic_Dataset[[#This Row],[Name]],
FIND(",",Titanic_Dataset[[#This Row],[Name]])+2,
FIND(".",Titanic_Dataset[[#This Row],[Name]],FIND(",",Titanic_Dataset[[#This Row],[Name]]))-FIND(",",Titanic_Dataset[[#This Row],[Name]])-1))</f>
        <v>Miss.</v>
      </c>
      <c r="H617" s="1" t="s">
        <v>18</v>
      </c>
      <c r="I617">
        <v>24</v>
      </c>
      <c r="J61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17">
        <v>1</v>
      </c>
      <c r="L617">
        <v>2</v>
      </c>
      <c r="M617">
        <f>Titanic_Dataset[[#This Row],[Parch]]+Titanic_Dataset[[#This Row],[SibSp]]</f>
        <v>3</v>
      </c>
      <c r="N617" s="1" t="s">
        <v>1241</v>
      </c>
      <c r="O617">
        <v>65</v>
      </c>
      <c r="P617">
        <f>IF(Titanic_Dataset[[#This Row],[Survived]]=1,Titanic_Dataset[[#This Row],[Fare]],NA())</f>
        <v>65</v>
      </c>
      <c r="Q617" t="e">
        <f>IF(Titanic_Dataset[[#This Row],[Survived]]=0,Titanic_Dataset[[#This Row],[Fare]],NA())</f>
        <v>#N/A</v>
      </c>
      <c r="R617" t="str">
        <f>VLOOKUP(Titanic_Dataset[[#This Row],[Fare]],Table2[],2,TRUE)</f>
        <v>very hiegh</v>
      </c>
      <c r="S617" s="1" t="s">
        <v>15</v>
      </c>
      <c r="T617" s="1" t="s">
        <v>16</v>
      </c>
      <c r="U617" s="1"/>
      <c r="V617" s="1"/>
      <c r="W617" s="1"/>
    </row>
    <row r="618" spans="1:23" x14ac:dyDescent="0.25">
      <c r="A618">
        <v>617</v>
      </c>
      <c r="B618">
        <v>0</v>
      </c>
      <c r="C618" t="str">
        <f>IF(Titanic_Dataset[[#This Row],[Survived]]=1,"Survived","Died")</f>
        <v>Died</v>
      </c>
      <c r="D618">
        <v>3</v>
      </c>
      <c r="E618" t="str">
        <f>IF(Titanic_Dataset[[#This Row],[Pclass]]=1,"1st",IF(Titanic_Dataset[[#This Row],[Pclass]]=2,"2nd",IF(Titanic_Dataset[[#This Row],[Pclass]]=3,"3rd")))</f>
        <v>3rd</v>
      </c>
      <c r="F618" s="1" t="s">
        <v>1242</v>
      </c>
      <c r="G618" s="1" t="str">
        <f>TRIM(MID(Titanic_Dataset[[#This Row],[Name]],
FIND(",",Titanic_Dataset[[#This Row],[Name]])+2,
FIND(".",Titanic_Dataset[[#This Row],[Name]],FIND(",",Titanic_Dataset[[#This Row],[Name]]))-FIND(",",Titanic_Dataset[[#This Row],[Name]])-1))</f>
        <v>Mr.</v>
      </c>
      <c r="H618" s="1" t="s">
        <v>13</v>
      </c>
      <c r="I618">
        <v>34</v>
      </c>
      <c r="J618" t="str">
        <f>IF(Titanic_Dataset[[#This Row],[Age]]&lt;12,"0-11",
IF(Titanic_Dataset[[#This Row],[Age]]&lt;20,"12-19",
IF(Titanic_Dataset[[#This Row],[Age]]&lt;30,"20-29",
IF(Titanic_Dataset[[#This Row],[Age]]&lt;40,"30-39",
IF(Titanic_Dataset[[#This Row],[Age]]&lt;50,"40-49",
IF(Titanic_Dataset[[#This Row],[Age]]&lt;60,"50-59",
IF(Titanic_Dataset[[#This Row],[Age]]&lt;70,"60-69",)))))))</f>
        <v>30-39</v>
      </c>
      <c r="K618">
        <v>1</v>
      </c>
      <c r="L618">
        <v>1</v>
      </c>
      <c r="M618">
        <f>Titanic_Dataset[[#This Row],[Parch]]+Titanic_Dataset[[#This Row],[SibSp]]</f>
        <v>2</v>
      </c>
      <c r="N618" s="1" t="s">
        <v>876</v>
      </c>
      <c r="O618">
        <v>14.4</v>
      </c>
      <c r="P618" t="e">
        <f>IF(Titanic_Dataset[[#This Row],[Survived]]=1,Titanic_Dataset[[#This Row],[Fare]],NA())</f>
        <v>#N/A</v>
      </c>
      <c r="Q618">
        <f>IF(Titanic_Dataset[[#This Row],[Survived]]=0,Titanic_Dataset[[#This Row],[Fare]],NA())</f>
        <v>14.4</v>
      </c>
      <c r="R618" t="str">
        <f>VLOOKUP(Titanic_Dataset[[#This Row],[Fare]],Table2[],2,TRUE)</f>
        <v>medium</v>
      </c>
      <c r="S618" s="1" t="s">
        <v>15</v>
      </c>
      <c r="T618" s="1" t="s">
        <v>16</v>
      </c>
      <c r="U618" s="1"/>
      <c r="V618" s="1"/>
      <c r="W618" s="1"/>
    </row>
    <row r="619" spans="1:23" x14ac:dyDescent="0.25">
      <c r="A619">
        <v>618</v>
      </c>
      <c r="B619">
        <v>0</v>
      </c>
      <c r="C619" t="str">
        <f>IF(Titanic_Dataset[[#This Row],[Survived]]=1,"Survived","Died")</f>
        <v>Died</v>
      </c>
      <c r="D619">
        <v>3</v>
      </c>
      <c r="E619" t="str">
        <f>IF(Titanic_Dataset[[#This Row],[Pclass]]=1,"1st",IF(Titanic_Dataset[[#This Row],[Pclass]]=2,"2nd",IF(Titanic_Dataset[[#This Row],[Pclass]]=3,"3rd")))</f>
        <v>3rd</v>
      </c>
      <c r="F619" s="1" t="s">
        <v>1243</v>
      </c>
      <c r="G619" s="1" t="str">
        <f>TRIM(MID(Titanic_Dataset[[#This Row],[Name]],
FIND(",",Titanic_Dataset[[#This Row],[Name]])+2,
FIND(".",Titanic_Dataset[[#This Row],[Name]],FIND(",",Titanic_Dataset[[#This Row],[Name]]))-FIND(",",Titanic_Dataset[[#This Row],[Name]])-1))</f>
        <v>Mrs.</v>
      </c>
      <c r="H619" s="1" t="s">
        <v>18</v>
      </c>
      <c r="I619">
        <v>26</v>
      </c>
      <c r="J61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19">
        <v>1</v>
      </c>
      <c r="L619">
        <v>0</v>
      </c>
      <c r="M619">
        <f>Titanic_Dataset[[#This Row],[Parch]]+Titanic_Dataset[[#This Row],[SibSp]]</f>
        <v>1</v>
      </c>
      <c r="N619" s="1" t="s">
        <v>541</v>
      </c>
      <c r="O619">
        <v>16.100000000000001</v>
      </c>
      <c r="P619" t="e">
        <f>IF(Titanic_Dataset[[#This Row],[Survived]]=1,Titanic_Dataset[[#This Row],[Fare]],NA())</f>
        <v>#N/A</v>
      </c>
      <c r="Q619">
        <f>IF(Titanic_Dataset[[#This Row],[Survived]]=0,Titanic_Dataset[[#This Row],[Fare]],NA())</f>
        <v>16.100000000000001</v>
      </c>
      <c r="R619" t="str">
        <f>VLOOKUP(Titanic_Dataset[[#This Row],[Fare]],Table2[],2,TRUE)</f>
        <v>high</v>
      </c>
      <c r="S619" s="1" t="s">
        <v>15</v>
      </c>
      <c r="T619" s="1" t="s">
        <v>16</v>
      </c>
      <c r="U619" s="1"/>
      <c r="V619" s="1"/>
      <c r="W619" s="1"/>
    </row>
    <row r="620" spans="1:23" x14ac:dyDescent="0.25">
      <c r="A620">
        <v>619</v>
      </c>
      <c r="B620">
        <v>1</v>
      </c>
      <c r="C620" t="str">
        <f>IF(Titanic_Dataset[[#This Row],[Survived]]=1,"Survived","Died")</f>
        <v>Survived</v>
      </c>
      <c r="D620">
        <v>2</v>
      </c>
      <c r="E620" t="str">
        <f>IF(Titanic_Dataset[[#This Row],[Pclass]]=1,"1st",IF(Titanic_Dataset[[#This Row],[Pclass]]=2,"2nd",IF(Titanic_Dataset[[#This Row],[Pclass]]=3,"3rd")))</f>
        <v>2nd</v>
      </c>
      <c r="F620" s="1" t="s">
        <v>1244</v>
      </c>
      <c r="G620" s="1" t="str">
        <f>TRIM(MID(Titanic_Dataset[[#This Row],[Name]],
FIND(",",Titanic_Dataset[[#This Row],[Name]])+2,
FIND(".",Titanic_Dataset[[#This Row],[Name]],FIND(",",Titanic_Dataset[[#This Row],[Name]]))-FIND(",",Titanic_Dataset[[#This Row],[Name]])-1))</f>
        <v>Miss.</v>
      </c>
      <c r="H620" s="1" t="s">
        <v>18</v>
      </c>
      <c r="I620">
        <v>4</v>
      </c>
      <c r="J620" t="str">
        <f>IF(Titanic_Dataset[[#This Row],[Age]]&lt;12,"0-11",
IF(Titanic_Dataset[[#This Row],[Age]]&lt;20,"12-19",
IF(Titanic_Dataset[[#This Row],[Age]]&lt;30,"20-29",
IF(Titanic_Dataset[[#This Row],[Age]]&lt;40,"30-39",
IF(Titanic_Dataset[[#This Row],[Age]]&lt;50,"40-49",
IF(Titanic_Dataset[[#This Row],[Age]]&lt;60,"50-59",
IF(Titanic_Dataset[[#This Row],[Age]]&lt;70,"60-69",)))))))</f>
        <v>0-11</v>
      </c>
      <c r="K620">
        <v>2</v>
      </c>
      <c r="L620">
        <v>1</v>
      </c>
      <c r="M620">
        <f>Titanic_Dataset[[#This Row],[Parch]]+Titanic_Dataset[[#This Row],[SibSp]]</f>
        <v>3</v>
      </c>
      <c r="N620" s="1" t="s">
        <v>399</v>
      </c>
      <c r="O620">
        <v>39</v>
      </c>
      <c r="P620">
        <f>IF(Titanic_Dataset[[#This Row],[Survived]]=1,Titanic_Dataset[[#This Row],[Fare]],NA())</f>
        <v>39</v>
      </c>
      <c r="Q620" t="e">
        <f>IF(Titanic_Dataset[[#This Row],[Survived]]=0,Titanic_Dataset[[#This Row],[Fare]],NA())</f>
        <v>#N/A</v>
      </c>
      <c r="R620" t="str">
        <f>VLOOKUP(Titanic_Dataset[[#This Row],[Fare]],Table2[],2,TRUE)</f>
        <v>very hiegh</v>
      </c>
      <c r="S620" s="1" t="s">
        <v>400</v>
      </c>
      <c r="T620" s="1" t="s">
        <v>16</v>
      </c>
      <c r="U620" s="1"/>
      <c r="V620" s="1"/>
      <c r="W620" s="1"/>
    </row>
    <row r="621" spans="1:23" x14ac:dyDescent="0.25">
      <c r="A621">
        <v>620</v>
      </c>
      <c r="B621">
        <v>0</v>
      </c>
      <c r="C621" t="str">
        <f>IF(Titanic_Dataset[[#This Row],[Survived]]=1,"Survived","Died")</f>
        <v>Died</v>
      </c>
      <c r="D621">
        <v>2</v>
      </c>
      <c r="E621" t="str">
        <f>IF(Titanic_Dataset[[#This Row],[Pclass]]=1,"1st",IF(Titanic_Dataset[[#This Row],[Pclass]]=2,"2nd",IF(Titanic_Dataset[[#This Row],[Pclass]]=3,"3rd")))</f>
        <v>2nd</v>
      </c>
      <c r="F621" s="1" t="s">
        <v>1245</v>
      </c>
      <c r="G621" s="1" t="str">
        <f>TRIM(MID(Titanic_Dataset[[#This Row],[Name]],
FIND(",",Titanic_Dataset[[#This Row],[Name]])+2,
FIND(".",Titanic_Dataset[[#This Row],[Name]],FIND(",",Titanic_Dataset[[#This Row],[Name]]))-FIND(",",Titanic_Dataset[[#This Row],[Name]])-1))</f>
        <v>Mr.</v>
      </c>
      <c r="H621" s="1" t="s">
        <v>13</v>
      </c>
      <c r="I621">
        <v>26</v>
      </c>
      <c r="J62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21">
        <v>0</v>
      </c>
      <c r="L621">
        <v>0</v>
      </c>
      <c r="M621">
        <f>Titanic_Dataset[[#This Row],[Parch]]+Titanic_Dataset[[#This Row],[SibSp]]</f>
        <v>0</v>
      </c>
      <c r="N621" s="1" t="s">
        <v>1246</v>
      </c>
      <c r="O621">
        <v>10.5</v>
      </c>
      <c r="P621" t="e">
        <f>IF(Titanic_Dataset[[#This Row],[Survived]]=1,Titanic_Dataset[[#This Row],[Fare]],NA())</f>
        <v>#N/A</v>
      </c>
      <c r="Q621">
        <f>IF(Titanic_Dataset[[#This Row],[Survived]]=0,Titanic_Dataset[[#This Row],[Fare]],NA())</f>
        <v>10.5</v>
      </c>
      <c r="R621" t="str">
        <f>VLOOKUP(Titanic_Dataset[[#This Row],[Fare]],Table2[],2,TRUE)</f>
        <v>medium</v>
      </c>
      <c r="S621" s="1" t="s">
        <v>15</v>
      </c>
      <c r="T621" s="1" t="s">
        <v>16</v>
      </c>
      <c r="U621" s="1"/>
      <c r="V621" s="1"/>
      <c r="W621" s="1"/>
    </row>
    <row r="622" spans="1:23" x14ac:dyDescent="0.25">
      <c r="A622">
        <v>621</v>
      </c>
      <c r="B622">
        <v>0</v>
      </c>
      <c r="C622" t="str">
        <f>IF(Titanic_Dataset[[#This Row],[Survived]]=1,"Survived","Died")</f>
        <v>Died</v>
      </c>
      <c r="D622">
        <v>3</v>
      </c>
      <c r="E622" t="str">
        <f>IF(Titanic_Dataset[[#This Row],[Pclass]]=1,"1st",IF(Titanic_Dataset[[#This Row],[Pclass]]=2,"2nd",IF(Titanic_Dataset[[#This Row],[Pclass]]=3,"3rd")))</f>
        <v>3rd</v>
      </c>
      <c r="F622" s="1" t="s">
        <v>1247</v>
      </c>
      <c r="G622" s="1" t="str">
        <f>TRIM(MID(Titanic_Dataset[[#This Row],[Name]],
FIND(",",Titanic_Dataset[[#This Row],[Name]])+2,
FIND(".",Titanic_Dataset[[#This Row],[Name]],FIND(",",Titanic_Dataset[[#This Row],[Name]]))-FIND(",",Titanic_Dataset[[#This Row],[Name]])-1))</f>
        <v>Mr.</v>
      </c>
      <c r="H622" s="1" t="s">
        <v>13</v>
      </c>
      <c r="I622">
        <v>27</v>
      </c>
      <c r="J62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22">
        <v>1</v>
      </c>
      <c r="L622">
        <v>0</v>
      </c>
      <c r="M622">
        <f>Titanic_Dataset[[#This Row],[Parch]]+Titanic_Dataset[[#This Row],[SibSp]]</f>
        <v>1</v>
      </c>
      <c r="N622" s="1" t="s">
        <v>1248</v>
      </c>
      <c r="O622">
        <v>14.4542</v>
      </c>
      <c r="P622" t="e">
        <f>IF(Titanic_Dataset[[#This Row],[Survived]]=1,Titanic_Dataset[[#This Row],[Fare]],NA())</f>
        <v>#N/A</v>
      </c>
      <c r="Q622">
        <f>IF(Titanic_Dataset[[#This Row],[Survived]]=0,Titanic_Dataset[[#This Row],[Fare]],NA())</f>
        <v>14.4542</v>
      </c>
      <c r="R622" t="str">
        <f>VLOOKUP(Titanic_Dataset[[#This Row],[Fare]],Table2[],2,TRUE)</f>
        <v>medium</v>
      </c>
      <c r="S622" s="1" t="s">
        <v>15</v>
      </c>
      <c r="T622" s="1" t="s">
        <v>21</v>
      </c>
      <c r="U622" s="1"/>
      <c r="V622" s="1"/>
      <c r="W622" s="1"/>
    </row>
    <row r="623" spans="1:23" x14ac:dyDescent="0.25">
      <c r="A623">
        <v>622</v>
      </c>
      <c r="B623">
        <v>1</v>
      </c>
      <c r="C623" t="str">
        <f>IF(Titanic_Dataset[[#This Row],[Survived]]=1,"Survived","Died")</f>
        <v>Survived</v>
      </c>
      <c r="D623">
        <v>1</v>
      </c>
      <c r="E623" t="str">
        <f>IF(Titanic_Dataset[[#This Row],[Pclass]]=1,"1st",IF(Titanic_Dataset[[#This Row],[Pclass]]=2,"2nd",IF(Titanic_Dataset[[#This Row],[Pclass]]=3,"3rd")))</f>
        <v>1st</v>
      </c>
      <c r="F623" s="1" t="s">
        <v>1249</v>
      </c>
      <c r="G623" s="1" t="str">
        <f>TRIM(MID(Titanic_Dataset[[#This Row],[Name]],
FIND(",",Titanic_Dataset[[#This Row],[Name]])+2,
FIND(".",Titanic_Dataset[[#This Row],[Name]],FIND(",",Titanic_Dataset[[#This Row],[Name]]))-FIND(",",Titanic_Dataset[[#This Row],[Name]])-1))</f>
        <v>Mr.</v>
      </c>
      <c r="H623" s="1" t="s">
        <v>13</v>
      </c>
      <c r="I623">
        <v>42</v>
      </c>
      <c r="J623" t="str">
        <f>IF(Titanic_Dataset[[#This Row],[Age]]&lt;12,"0-11",
IF(Titanic_Dataset[[#This Row],[Age]]&lt;20,"12-19",
IF(Titanic_Dataset[[#This Row],[Age]]&lt;30,"20-29",
IF(Titanic_Dataset[[#This Row],[Age]]&lt;40,"30-39",
IF(Titanic_Dataset[[#This Row],[Age]]&lt;50,"40-49",
IF(Titanic_Dataset[[#This Row],[Age]]&lt;60,"50-59",
IF(Titanic_Dataset[[#This Row],[Age]]&lt;70,"60-69",)))))))</f>
        <v>40-49</v>
      </c>
      <c r="K623">
        <v>1</v>
      </c>
      <c r="L623">
        <v>0</v>
      </c>
      <c r="M623">
        <f>Titanic_Dataset[[#This Row],[Parch]]+Titanic_Dataset[[#This Row],[SibSp]]</f>
        <v>1</v>
      </c>
      <c r="N623" s="1" t="s">
        <v>1250</v>
      </c>
      <c r="O623">
        <v>52.554200000000002</v>
      </c>
      <c r="P623">
        <f>IF(Titanic_Dataset[[#This Row],[Survived]]=1,Titanic_Dataset[[#This Row],[Fare]],NA())</f>
        <v>52.554200000000002</v>
      </c>
      <c r="Q623" t="e">
        <f>IF(Titanic_Dataset[[#This Row],[Survived]]=0,Titanic_Dataset[[#This Row],[Fare]],NA())</f>
        <v>#N/A</v>
      </c>
      <c r="R623" t="str">
        <f>VLOOKUP(Titanic_Dataset[[#This Row],[Fare]],Table2[],2,TRUE)</f>
        <v>very hiegh</v>
      </c>
      <c r="S623" s="1" t="s">
        <v>1251</v>
      </c>
      <c r="T623" s="1" t="s">
        <v>16</v>
      </c>
      <c r="U623" s="1"/>
      <c r="V623" s="1"/>
      <c r="W623" s="1"/>
    </row>
    <row r="624" spans="1:23" x14ac:dyDescent="0.25">
      <c r="A624">
        <v>623</v>
      </c>
      <c r="B624">
        <v>1</v>
      </c>
      <c r="C624" t="str">
        <f>IF(Titanic_Dataset[[#This Row],[Survived]]=1,"Survived","Died")</f>
        <v>Survived</v>
      </c>
      <c r="D624">
        <v>3</v>
      </c>
      <c r="E624" t="str">
        <f>IF(Titanic_Dataset[[#This Row],[Pclass]]=1,"1st",IF(Titanic_Dataset[[#This Row],[Pclass]]=2,"2nd",IF(Titanic_Dataset[[#This Row],[Pclass]]=3,"3rd")))</f>
        <v>3rd</v>
      </c>
      <c r="F624" s="1" t="s">
        <v>1252</v>
      </c>
      <c r="G624" s="1" t="str">
        <f>TRIM(MID(Titanic_Dataset[[#This Row],[Name]],
FIND(",",Titanic_Dataset[[#This Row],[Name]])+2,
FIND(".",Titanic_Dataset[[#This Row],[Name]],FIND(",",Titanic_Dataset[[#This Row],[Name]]))-FIND(",",Titanic_Dataset[[#This Row],[Name]])-1))</f>
        <v>Mr.</v>
      </c>
      <c r="H624" s="1" t="s">
        <v>13</v>
      </c>
      <c r="I624">
        <v>20</v>
      </c>
      <c r="J62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24">
        <v>1</v>
      </c>
      <c r="L624">
        <v>1</v>
      </c>
      <c r="M624">
        <f>Titanic_Dataset[[#This Row],[Parch]]+Titanic_Dataset[[#This Row],[SibSp]]</f>
        <v>2</v>
      </c>
      <c r="N624" s="1" t="s">
        <v>800</v>
      </c>
      <c r="O624">
        <v>15.7417</v>
      </c>
      <c r="P624">
        <f>IF(Titanic_Dataset[[#This Row],[Survived]]=1,Titanic_Dataset[[#This Row],[Fare]],NA())</f>
        <v>15.7417</v>
      </c>
      <c r="Q624" t="e">
        <f>IF(Titanic_Dataset[[#This Row],[Survived]]=0,Titanic_Dataset[[#This Row],[Fare]],NA())</f>
        <v>#N/A</v>
      </c>
      <c r="R624" t="str">
        <f>VLOOKUP(Titanic_Dataset[[#This Row],[Fare]],Table2[],2,TRUE)</f>
        <v>high</v>
      </c>
      <c r="S624" s="1" t="s">
        <v>15</v>
      </c>
      <c r="T624" s="1" t="s">
        <v>21</v>
      </c>
      <c r="U624" s="1"/>
      <c r="V624" s="1"/>
      <c r="W624" s="1"/>
    </row>
    <row r="625" spans="1:23" x14ac:dyDescent="0.25">
      <c r="A625">
        <v>624</v>
      </c>
      <c r="B625">
        <v>0</v>
      </c>
      <c r="C625" t="str">
        <f>IF(Titanic_Dataset[[#This Row],[Survived]]=1,"Survived","Died")</f>
        <v>Died</v>
      </c>
      <c r="D625">
        <v>3</v>
      </c>
      <c r="E625" t="str">
        <f>IF(Titanic_Dataset[[#This Row],[Pclass]]=1,"1st",IF(Titanic_Dataset[[#This Row],[Pclass]]=2,"2nd",IF(Titanic_Dataset[[#This Row],[Pclass]]=3,"3rd")))</f>
        <v>3rd</v>
      </c>
      <c r="F625" s="1" t="s">
        <v>1253</v>
      </c>
      <c r="G625" s="1" t="str">
        <f>TRIM(MID(Titanic_Dataset[[#This Row],[Name]],
FIND(",",Titanic_Dataset[[#This Row],[Name]])+2,
FIND(".",Titanic_Dataset[[#This Row],[Name]],FIND(",",Titanic_Dataset[[#This Row],[Name]]))-FIND(",",Titanic_Dataset[[#This Row],[Name]])-1))</f>
        <v>Mr.</v>
      </c>
      <c r="H625" s="1" t="s">
        <v>13</v>
      </c>
      <c r="I625">
        <v>21</v>
      </c>
      <c r="J62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25">
        <v>0</v>
      </c>
      <c r="L625">
        <v>0</v>
      </c>
      <c r="M625">
        <f>Titanic_Dataset[[#This Row],[Parch]]+Titanic_Dataset[[#This Row],[SibSp]]</f>
        <v>0</v>
      </c>
      <c r="N625" s="1" t="s">
        <v>1254</v>
      </c>
      <c r="O625">
        <v>7.8541999999999996</v>
      </c>
      <c r="P625" t="e">
        <f>IF(Titanic_Dataset[[#This Row],[Survived]]=1,Titanic_Dataset[[#This Row],[Fare]],NA())</f>
        <v>#N/A</v>
      </c>
      <c r="Q625">
        <f>IF(Titanic_Dataset[[#This Row],[Survived]]=0,Titanic_Dataset[[#This Row],[Fare]],NA())</f>
        <v>7.8541999999999996</v>
      </c>
      <c r="R625" t="str">
        <f>VLOOKUP(Titanic_Dataset[[#This Row],[Fare]],Table2[],2,TRUE)</f>
        <v>low</v>
      </c>
      <c r="S625" s="1" t="s">
        <v>15</v>
      </c>
      <c r="T625" s="1" t="s">
        <v>16</v>
      </c>
      <c r="U625" s="1"/>
      <c r="V625" s="1"/>
      <c r="W625" s="1"/>
    </row>
    <row r="626" spans="1:23" x14ac:dyDescent="0.25">
      <c r="A626">
        <v>625</v>
      </c>
      <c r="B626">
        <v>0</v>
      </c>
      <c r="C626" t="str">
        <f>IF(Titanic_Dataset[[#This Row],[Survived]]=1,"Survived","Died")</f>
        <v>Died</v>
      </c>
      <c r="D626">
        <v>3</v>
      </c>
      <c r="E626" t="str">
        <f>IF(Titanic_Dataset[[#This Row],[Pclass]]=1,"1st",IF(Titanic_Dataset[[#This Row],[Pclass]]=2,"2nd",IF(Titanic_Dataset[[#This Row],[Pclass]]=3,"3rd")))</f>
        <v>3rd</v>
      </c>
      <c r="F626" s="1" t="s">
        <v>1255</v>
      </c>
      <c r="G626" s="1" t="str">
        <f>TRIM(MID(Titanic_Dataset[[#This Row],[Name]],
FIND(",",Titanic_Dataset[[#This Row],[Name]])+2,
FIND(".",Titanic_Dataset[[#This Row],[Name]],FIND(",",Titanic_Dataset[[#This Row],[Name]]))-FIND(",",Titanic_Dataset[[#This Row],[Name]])-1))</f>
        <v>Mr.</v>
      </c>
      <c r="H626" s="1" t="s">
        <v>13</v>
      </c>
      <c r="I626">
        <v>21</v>
      </c>
      <c r="J62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26">
        <v>0</v>
      </c>
      <c r="L626">
        <v>0</v>
      </c>
      <c r="M626">
        <f>Titanic_Dataset[[#This Row],[Parch]]+Titanic_Dataset[[#This Row],[SibSp]]</f>
        <v>0</v>
      </c>
      <c r="N626" s="1" t="s">
        <v>1256</v>
      </c>
      <c r="O626">
        <v>16.100000000000001</v>
      </c>
      <c r="P626" t="e">
        <f>IF(Titanic_Dataset[[#This Row],[Survived]]=1,Titanic_Dataset[[#This Row],[Fare]],NA())</f>
        <v>#N/A</v>
      </c>
      <c r="Q626">
        <f>IF(Titanic_Dataset[[#This Row],[Survived]]=0,Titanic_Dataset[[#This Row],[Fare]],NA())</f>
        <v>16.100000000000001</v>
      </c>
      <c r="R626" t="str">
        <f>VLOOKUP(Titanic_Dataset[[#This Row],[Fare]],Table2[],2,TRUE)</f>
        <v>high</v>
      </c>
      <c r="S626" s="1" t="s">
        <v>15</v>
      </c>
      <c r="T626" s="1" t="s">
        <v>16</v>
      </c>
      <c r="U626" s="1"/>
      <c r="V626" s="1"/>
      <c r="W626" s="1"/>
    </row>
    <row r="627" spans="1:23" x14ac:dyDescent="0.25">
      <c r="A627">
        <v>626</v>
      </c>
      <c r="B627">
        <v>0</v>
      </c>
      <c r="C627" t="str">
        <f>IF(Titanic_Dataset[[#This Row],[Survived]]=1,"Survived","Died")</f>
        <v>Died</v>
      </c>
      <c r="D627">
        <v>1</v>
      </c>
      <c r="E627" t="str">
        <f>IF(Titanic_Dataset[[#This Row],[Pclass]]=1,"1st",IF(Titanic_Dataset[[#This Row],[Pclass]]=2,"2nd",IF(Titanic_Dataset[[#This Row],[Pclass]]=3,"3rd")))</f>
        <v>1st</v>
      </c>
      <c r="F627" s="1" t="s">
        <v>1257</v>
      </c>
      <c r="G627" s="1" t="str">
        <f>TRIM(MID(Titanic_Dataset[[#This Row],[Name]],
FIND(",",Titanic_Dataset[[#This Row],[Name]])+2,
FIND(".",Titanic_Dataset[[#This Row],[Name]],FIND(",",Titanic_Dataset[[#This Row],[Name]]))-FIND(",",Titanic_Dataset[[#This Row],[Name]])-1))</f>
        <v>Mr.</v>
      </c>
      <c r="H627" s="1" t="s">
        <v>13</v>
      </c>
      <c r="I627">
        <v>61</v>
      </c>
      <c r="J627" t="str">
        <f>IF(Titanic_Dataset[[#This Row],[Age]]&lt;12,"0-11",
IF(Titanic_Dataset[[#This Row],[Age]]&lt;20,"12-19",
IF(Titanic_Dataset[[#This Row],[Age]]&lt;30,"20-29",
IF(Titanic_Dataset[[#This Row],[Age]]&lt;40,"30-39",
IF(Titanic_Dataset[[#This Row],[Age]]&lt;50,"40-49",
IF(Titanic_Dataset[[#This Row],[Age]]&lt;60,"50-59",
IF(Titanic_Dataset[[#This Row],[Age]]&lt;70,"60-69",)))))))</f>
        <v>60-69</v>
      </c>
      <c r="K627">
        <v>0</v>
      </c>
      <c r="L627">
        <v>0</v>
      </c>
      <c r="M627">
        <f>Titanic_Dataset[[#This Row],[Parch]]+Titanic_Dataset[[#This Row],[SibSp]]</f>
        <v>0</v>
      </c>
      <c r="N627" s="1" t="s">
        <v>1258</v>
      </c>
      <c r="O627">
        <v>32.320799999999998</v>
      </c>
      <c r="P627" t="e">
        <f>IF(Titanic_Dataset[[#This Row],[Survived]]=1,Titanic_Dataset[[#This Row],[Fare]],NA())</f>
        <v>#N/A</v>
      </c>
      <c r="Q627">
        <f>IF(Titanic_Dataset[[#This Row],[Survived]]=0,Titanic_Dataset[[#This Row],[Fare]],NA())</f>
        <v>32.320799999999998</v>
      </c>
      <c r="R627" t="str">
        <f>VLOOKUP(Titanic_Dataset[[#This Row],[Fare]],Table2[],2,TRUE)</f>
        <v>very hiegh</v>
      </c>
      <c r="S627" s="1" t="s">
        <v>1259</v>
      </c>
      <c r="T627" s="1" t="s">
        <v>16</v>
      </c>
      <c r="U627" s="1"/>
      <c r="V627" s="1"/>
      <c r="W627" s="1"/>
    </row>
    <row r="628" spans="1:23" x14ac:dyDescent="0.25">
      <c r="A628">
        <v>627</v>
      </c>
      <c r="B628">
        <v>0</v>
      </c>
      <c r="C628" t="str">
        <f>IF(Titanic_Dataset[[#This Row],[Survived]]=1,"Survived","Died")</f>
        <v>Died</v>
      </c>
      <c r="D628">
        <v>2</v>
      </c>
      <c r="E628" t="str">
        <f>IF(Titanic_Dataset[[#This Row],[Pclass]]=1,"1st",IF(Titanic_Dataset[[#This Row],[Pclass]]=2,"2nd",IF(Titanic_Dataset[[#This Row],[Pclass]]=3,"3rd")))</f>
        <v>2nd</v>
      </c>
      <c r="F628" s="1" t="s">
        <v>1260</v>
      </c>
      <c r="G628" s="1" t="str">
        <f>TRIM(MID(Titanic_Dataset[[#This Row],[Name]],
FIND(",",Titanic_Dataset[[#This Row],[Name]])+2,
FIND(".",Titanic_Dataset[[#This Row],[Name]],FIND(",",Titanic_Dataset[[#This Row],[Name]]))-FIND(",",Titanic_Dataset[[#This Row],[Name]])-1))</f>
        <v>Rev.</v>
      </c>
      <c r="H628" s="1" t="s">
        <v>13</v>
      </c>
      <c r="I628">
        <v>57</v>
      </c>
      <c r="J628" t="str">
        <f>IF(Titanic_Dataset[[#This Row],[Age]]&lt;12,"0-11",
IF(Titanic_Dataset[[#This Row],[Age]]&lt;20,"12-19",
IF(Titanic_Dataset[[#This Row],[Age]]&lt;30,"20-29",
IF(Titanic_Dataset[[#This Row],[Age]]&lt;40,"30-39",
IF(Titanic_Dataset[[#This Row],[Age]]&lt;50,"40-49",
IF(Titanic_Dataset[[#This Row],[Age]]&lt;60,"50-59",
IF(Titanic_Dataset[[#This Row],[Age]]&lt;70,"60-69",)))))))</f>
        <v>50-59</v>
      </c>
      <c r="K628">
        <v>0</v>
      </c>
      <c r="L628">
        <v>0</v>
      </c>
      <c r="M628">
        <f>Titanic_Dataset[[#This Row],[Parch]]+Titanic_Dataset[[#This Row],[SibSp]]</f>
        <v>0</v>
      </c>
      <c r="N628" s="1" t="s">
        <v>1261</v>
      </c>
      <c r="O628">
        <v>12.35</v>
      </c>
      <c r="P628" t="e">
        <f>IF(Titanic_Dataset[[#This Row],[Survived]]=1,Titanic_Dataset[[#This Row],[Fare]],NA())</f>
        <v>#N/A</v>
      </c>
      <c r="Q628">
        <f>IF(Titanic_Dataset[[#This Row],[Survived]]=0,Titanic_Dataset[[#This Row],[Fare]],NA())</f>
        <v>12.35</v>
      </c>
      <c r="R628" t="str">
        <f>VLOOKUP(Titanic_Dataset[[#This Row],[Fare]],Table2[],2,TRUE)</f>
        <v>medium</v>
      </c>
      <c r="S628" s="1" t="s">
        <v>15</v>
      </c>
      <c r="T628" s="1" t="s">
        <v>31</v>
      </c>
      <c r="U628" s="1"/>
      <c r="V628" s="1"/>
      <c r="W628" s="1"/>
    </row>
    <row r="629" spans="1:23" x14ac:dyDescent="0.25">
      <c r="A629">
        <v>628</v>
      </c>
      <c r="B629">
        <v>1</v>
      </c>
      <c r="C629" t="str">
        <f>IF(Titanic_Dataset[[#This Row],[Survived]]=1,"Survived","Died")</f>
        <v>Survived</v>
      </c>
      <c r="D629">
        <v>1</v>
      </c>
      <c r="E629" t="str">
        <f>IF(Titanic_Dataset[[#This Row],[Pclass]]=1,"1st",IF(Titanic_Dataset[[#This Row],[Pclass]]=2,"2nd",IF(Titanic_Dataset[[#This Row],[Pclass]]=3,"3rd")))</f>
        <v>1st</v>
      </c>
      <c r="F629" s="1" t="s">
        <v>1262</v>
      </c>
      <c r="G629" s="1" t="str">
        <f>TRIM(MID(Titanic_Dataset[[#This Row],[Name]],
FIND(",",Titanic_Dataset[[#This Row],[Name]])+2,
FIND(".",Titanic_Dataset[[#This Row],[Name]],FIND(",",Titanic_Dataset[[#This Row],[Name]]))-FIND(",",Titanic_Dataset[[#This Row],[Name]])-1))</f>
        <v>Miss.</v>
      </c>
      <c r="H629" s="1" t="s">
        <v>18</v>
      </c>
      <c r="I629">
        <v>21</v>
      </c>
      <c r="J62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29">
        <v>0</v>
      </c>
      <c r="L629">
        <v>0</v>
      </c>
      <c r="M629">
        <f>Titanic_Dataset[[#This Row],[Parch]]+Titanic_Dataset[[#This Row],[SibSp]]</f>
        <v>0</v>
      </c>
      <c r="N629" s="1" t="s">
        <v>588</v>
      </c>
      <c r="O629">
        <v>77.958299999999994</v>
      </c>
      <c r="P629">
        <f>IF(Titanic_Dataset[[#This Row],[Survived]]=1,Titanic_Dataset[[#This Row],[Fare]],NA())</f>
        <v>77.958299999999994</v>
      </c>
      <c r="Q629" t="e">
        <f>IF(Titanic_Dataset[[#This Row],[Survived]]=0,Titanic_Dataset[[#This Row],[Fare]],NA())</f>
        <v>#N/A</v>
      </c>
      <c r="R629" t="str">
        <f>VLOOKUP(Titanic_Dataset[[#This Row],[Fare]],Table2[],2,TRUE)</f>
        <v>very hiegh</v>
      </c>
      <c r="S629" s="1" t="s">
        <v>1263</v>
      </c>
      <c r="T629" s="1" t="s">
        <v>16</v>
      </c>
      <c r="U629" s="1"/>
      <c r="V629" s="1"/>
      <c r="W629" s="1"/>
    </row>
    <row r="630" spans="1:23" x14ac:dyDescent="0.25">
      <c r="A630">
        <v>629</v>
      </c>
      <c r="B630">
        <v>0</v>
      </c>
      <c r="C630" t="str">
        <f>IF(Titanic_Dataset[[#This Row],[Survived]]=1,"Survived","Died")</f>
        <v>Died</v>
      </c>
      <c r="D630">
        <v>3</v>
      </c>
      <c r="E630" t="str">
        <f>IF(Titanic_Dataset[[#This Row],[Pclass]]=1,"1st",IF(Titanic_Dataset[[#This Row],[Pclass]]=2,"2nd",IF(Titanic_Dataset[[#This Row],[Pclass]]=3,"3rd")))</f>
        <v>3rd</v>
      </c>
      <c r="F630" s="1" t="s">
        <v>1264</v>
      </c>
      <c r="G630" s="1" t="str">
        <f>TRIM(MID(Titanic_Dataset[[#This Row],[Name]],
FIND(",",Titanic_Dataset[[#This Row],[Name]])+2,
FIND(".",Titanic_Dataset[[#This Row],[Name]],FIND(",",Titanic_Dataset[[#This Row],[Name]]))-FIND(",",Titanic_Dataset[[#This Row],[Name]])-1))</f>
        <v>Mr.</v>
      </c>
      <c r="H630" s="1" t="s">
        <v>13</v>
      </c>
      <c r="I630">
        <v>26</v>
      </c>
      <c r="J63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30">
        <v>0</v>
      </c>
      <c r="L630">
        <v>0</v>
      </c>
      <c r="M630">
        <f>Titanic_Dataset[[#This Row],[Parch]]+Titanic_Dataset[[#This Row],[SibSp]]</f>
        <v>0</v>
      </c>
      <c r="N630" s="1" t="s">
        <v>1265</v>
      </c>
      <c r="O630">
        <v>7.8958000000000004</v>
      </c>
      <c r="P630" t="e">
        <f>IF(Titanic_Dataset[[#This Row],[Survived]]=1,Titanic_Dataset[[#This Row],[Fare]],NA())</f>
        <v>#N/A</v>
      </c>
      <c r="Q630">
        <f>IF(Titanic_Dataset[[#This Row],[Survived]]=0,Titanic_Dataset[[#This Row],[Fare]],NA())</f>
        <v>7.8958000000000004</v>
      </c>
      <c r="R630" t="str">
        <f>VLOOKUP(Titanic_Dataset[[#This Row],[Fare]],Table2[],2,TRUE)</f>
        <v>low</v>
      </c>
      <c r="S630" s="1" t="s">
        <v>15</v>
      </c>
      <c r="T630" s="1" t="s">
        <v>16</v>
      </c>
      <c r="U630" s="1"/>
      <c r="V630" s="1"/>
      <c r="W630" s="1"/>
    </row>
    <row r="631" spans="1:23" x14ac:dyDescent="0.25">
      <c r="A631">
        <v>630</v>
      </c>
      <c r="B631">
        <v>0</v>
      </c>
      <c r="C631" t="str">
        <f>IF(Titanic_Dataset[[#This Row],[Survived]]=1,"Survived","Died")</f>
        <v>Died</v>
      </c>
      <c r="D631">
        <v>3</v>
      </c>
      <c r="E631" t="str">
        <f>IF(Titanic_Dataset[[#This Row],[Pclass]]=1,"1st",IF(Titanic_Dataset[[#This Row],[Pclass]]=2,"2nd",IF(Titanic_Dataset[[#This Row],[Pclass]]=3,"3rd")))</f>
        <v>3rd</v>
      </c>
      <c r="F631" s="1" t="s">
        <v>1266</v>
      </c>
      <c r="G631" s="1" t="str">
        <f>TRIM(MID(Titanic_Dataset[[#This Row],[Name]],
FIND(",",Titanic_Dataset[[#This Row],[Name]])+2,
FIND(".",Titanic_Dataset[[#This Row],[Name]],FIND(",",Titanic_Dataset[[#This Row],[Name]]))-FIND(",",Titanic_Dataset[[#This Row],[Name]])-1))</f>
        <v>Mr.</v>
      </c>
      <c r="H631" s="1" t="s">
        <v>13</v>
      </c>
      <c r="I631">
        <v>28</v>
      </c>
      <c r="J63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31">
        <v>0</v>
      </c>
      <c r="L631">
        <v>0</v>
      </c>
      <c r="M631">
        <f>Titanic_Dataset[[#This Row],[Parch]]+Titanic_Dataset[[#This Row],[SibSp]]</f>
        <v>0</v>
      </c>
      <c r="N631" s="1" t="s">
        <v>1267</v>
      </c>
      <c r="O631">
        <v>7.7332999999999998</v>
      </c>
      <c r="P631" t="e">
        <f>IF(Titanic_Dataset[[#This Row],[Survived]]=1,Titanic_Dataset[[#This Row],[Fare]],NA())</f>
        <v>#N/A</v>
      </c>
      <c r="Q631">
        <f>IF(Titanic_Dataset[[#This Row],[Survived]]=0,Titanic_Dataset[[#This Row],[Fare]],NA())</f>
        <v>7.7332999999999998</v>
      </c>
      <c r="R631" t="str">
        <f>VLOOKUP(Titanic_Dataset[[#This Row],[Fare]],Table2[],2,TRUE)</f>
        <v>low</v>
      </c>
      <c r="S631" s="1" t="s">
        <v>15</v>
      </c>
      <c r="T631" s="1" t="s">
        <v>31</v>
      </c>
      <c r="U631" s="1"/>
      <c r="V631" s="1"/>
      <c r="W631" s="1"/>
    </row>
    <row r="632" spans="1:23" x14ac:dyDescent="0.25">
      <c r="A632">
        <v>631</v>
      </c>
      <c r="B632">
        <v>1</v>
      </c>
      <c r="C632" t="str">
        <f>IF(Titanic_Dataset[[#This Row],[Survived]]=1,"Survived","Died")</f>
        <v>Survived</v>
      </c>
      <c r="D632">
        <v>1</v>
      </c>
      <c r="E632" t="str">
        <f>IF(Titanic_Dataset[[#This Row],[Pclass]]=1,"1st",IF(Titanic_Dataset[[#This Row],[Pclass]]=2,"2nd",IF(Titanic_Dataset[[#This Row],[Pclass]]=3,"3rd")))</f>
        <v>1st</v>
      </c>
      <c r="F632" s="1" t="s">
        <v>1268</v>
      </c>
      <c r="G632" s="1" t="str">
        <f>TRIM(MID(Titanic_Dataset[[#This Row],[Name]],
FIND(",",Titanic_Dataset[[#This Row],[Name]])+2,
FIND(".",Titanic_Dataset[[#This Row],[Name]],FIND(",",Titanic_Dataset[[#This Row],[Name]]))-FIND(",",Titanic_Dataset[[#This Row],[Name]])-1))</f>
        <v>Mr.</v>
      </c>
      <c r="H632" s="1" t="s">
        <v>13</v>
      </c>
      <c r="I632">
        <v>80</v>
      </c>
      <c r="J632">
        <f>IF(Titanic_Dataset[[#This Row],[Age]]&lt;12,"0-11",
IF(Titanic_Dataset[[#This Row],[Age]]&lt;20,"12-19",
IF(Titanic_Dataset[[#This Row],[Age]]&lt;30,"20-29",
IF(Titanic_Dataset[[#This Row],[Age]]&lt;40,"30-39",
IF(Titanic_Dataset[[#This Row],[Age]]&lt;50,"40-49",
IF(Titanic_Dataset[[#This Row],[Age]]&lt;60,"50-59",
IF(Titanic_Dataset[[#This Row],[Age]]&lt;70,"60-69",)))))))</f>
        <v>0</v>
      </c>
      <c r="K632">
        <v>0</v>
      </c>
      <c r="L632">
        <v>0</v>
      </c>
      <c r="M632">
        <f>Titanic_Dataset[[#This Row],[Parch]]+Titanic_Dataset[[#This Row],[SibSp]]</f>
        <v>0</v>
      </c>
      <c r="N632" s="1" t="s">
        <v>1269</v>
      </c>
      <c r="O632">
        <v>30</v>
      </c>
      <c r="P632">
        <f>IF(Titanic_Dataset[[#This Row],[Survived]]=1,Titanic_Dataset[[#This Row],[Fare]],NA())</f>
        <v>30</v>
      </c>
      <c r="Q632" t="e">
        <f>IF(Titanic_Dataset[[#This Row],[Survived]]=0,Titanic_Dataset[[#This Row],[Fare]],NA())</f>
        <v>#N/A</v>
      </c>
      <c r="R632" t="str">
        <f>VLOOKUP(Titanic_Dataset[[#This Row],[Fare]],Table2[],2,TRUE)</f>
        <v>very hiegh</v>
      </c>
      <c r="S632" s="1" t="s">
        <v>1270</v>
      </c>
      <c r="T632" s="1" t="s">
        <v>16</v>
      </c>
      <c r="U632" s="1"/>
      <c r="V632" s="1"/>
      <c r="W632" s="1"/>
    </row>
    <row r="633" spans="1:23" x14ac:dyDescent="0.25">
      <c r="A633">
        <v>632</v>
      </c>
      <c r="B633">
        <v>0</v>
      </c>
      <c r="C633" t="str">
        <f>IF(Titanic_Dataset[[#This Row],[Survived]]=1,"Survived","Died")</f>
        <v>Died</v>
      </c>
      <c r="D633">
        <v>3</v>
      </c>
      <c r="E633" t="str">
        <f>IF(Titanic_Dataset[[#This Row],[Pclass]]=1,"1st",IF(Titanic_Dataset[[#This Row],[Pclass]]=2,"2nd",IF(Titanic_Dataset[[#This Row],[Pclass]]=3,"3rd")))</f>
        <v>3rd</v>
      </c>
      <c r="F633" s="1" t="s">
        <v>1271</v>
      </c>
      <c r="G633" s="1" t="str">
        <f>TRIM(MID(Titanic_Dataset[[#This Row],[Name]],
FIND(",",Titanic_Dataset[[#This Row],[Name]])+2,
FIND(".",Titanic_Dataset[[#This Row],[Name]],FIND(",",Titanic_Dataset[[#This Row],[Name]]))-FIND(",",Titanic_Dataset[[#This Row],[Name]])-1))</f>
        <v>Mr.</v>
      </c>
      <c r="H633" s="1" t="s">
        <v>13</v>
      </c>
      <c r="I633">
        <v>51</v>
      </c>
      <c r="J633" t="str">
        <f>IF(Titanic_Dataset[[#This Row],[Age]]&lt;12,"0-11",
IF(Titanic_Dataset[[#This Row],[Age]]&lt;20,"12-19",
IF(Titanic_Dataset[[#This Row],[Age]]&lt;30,"20-29",
IF(Titanic_Dataset[[#This Row],[Age]]&lt;40,"30-39",
IF(Titanic_Dataset[[#This Row],[Age]]&lt;50,"40-49",
IF(Titanic_Dataset[[#This Row],[Age]]&lt;60,"50-59",
IF(Titanic_Dataset[[#This Row],[Age]]&lt;70,"60-69",)))))))</f>
        <v>50-59</v>
      </c>
      <c r="K633">
        <v>0</v>
      </c>
      <c r="L633">
        <v>0</v>
      </c>
      <c r="M633">
        <f>Titanic_Dataset[[#This Row],[Parch]]+Titanic_Dataset[[#This Row],[SibSp]]</f>
        <v>0</v>
      </c>
      <c r="N633" s="1" t="s">
        <v>1272</v>
      </c>
      <c r="O633">
        <v>7.0541999999999998</v>
      </c>
      <c r="P633" t="e">
        <f>IF(Titanic_Dataset[[#This Row],[Survived]]=1,Titanic_Dataset[[#This Row],[Fare]],NA())</f>
        <v>#N/A</v>
      </c>
      <c r="Q633">
        <f>IF(Titanic_Dataset[[#This Row],[Survived]]=0,Titanic_Dataset[[#This Row],[Fare]],NA())</f>
        <v>7.0541999999999998</v>
      </c>
      <c r="R633" t="str">
        <f>VLOOKUP(Titanic_Dataset[[#This Row],[Fare]],Table2[],2,TRUE)</f>
        <v>low</v>
      </c>
      <c r="S633" s="1" t="s">
        <v>15</v>
      </c>
      <c r="T633" s="1" t="s">
        <v>16</v>
      </c>
      <c r="U633" s="1"/>
      <c r="V633" s="1"/>
      <c r="W633" s="1"/>
    </row>
    <row r="634" spans="1:23" x14ac:dyDescent="0.25">
      <c r="A634">
        <v>633</v>
      </c>
      <c r="B634">
        <v>1</v>
      </c>
      <c r="C634" t="str">
        <f>IF(Titanic_Dataset[[#This Row],[Survived]]=1,"Survived","Died")</f>
        <v>Survived</v>
      </c>
      <c r="D634">
        <v>1</v>
      </c>
      <c r="E634" t="str">
        <f>IF(Titanic_Dataset[[#This Row],[Pclass]]=1,"1st",IF(Titanic_Dataset[[#This Row],[Pclass]]=2,"2nd",IF(Titanic_Dataset[[#This Row],[Pclass]]=3,"3rd")))</f>
        <v>1st</v>
      </c>
      <c r="F634" s="1" t="s">
        <v>1273</v>
      </c>
      <c r="G634" s="1" t="str">
        <f>TRIM(MID(Titanic_Dataset[[#This Row],[Name]],
FIND(",",Titanic_Dataset[[#This Row],[Name]])+2,
FIND(".",Titanic_Dataset[[#This Row],[Name]],FIND(",",Titanic_Dataset[[#This Row],[Name]]))-FIND(",",Titanic_Dataset[[#This Row],[Name]])-1))</f>
        <v>Dr.</v>
      </c>
      <c r="H634" s="1" t="s">
        <v>13</v>
      </c>
      <c r="I634">
        <v>32</v>
      </c>
      <c r="J634" t="str">
        <f>IF(Titanic_Dataset[[#This Row],[Age]]&lt;12,"0-11",
IF(Titanic_Dataset[[#This Row],[Age]]&lt;20,"12-19",
IF(Titanic_Dataset[[#This Row],[Age]]&lt;30,"20-29",
IF(Titanic_Dataset[[#This Row],[Age]]&lt;40,"30-39",
IF(Titanic_Dataset[[#This Row],[Age]]&lt;50,"40-49",
IF(Titanic_Dataset[[#This Row],[Age]]&lt;60,"50-59",
IF(Titanic_Dataset[[#This Row],[Age]]&lt;70,"60-69",)))))))</f>
        <v>30-39</v>
      </c>
      <c r="K634">
        <v>0</v>
      </c>
      <c r="L634">
        <v>0</v>
      </c>
      <c r="M634">
        <f>Titanic_Dataset[[#This Row],[Parch]]+Titanic_Dataset[[#This Row],[SibSp]]</f>
        <v>0</v>
      </c>
      <c r="N634" s="1" t="s">
        <v>1274</v>
      </c>
      <c r="O634">
        <v>30.5</v>
      </c>
      <c r="P634">
        <f>IF(Titanic_Dataset[[#This Row],[Survived]]=1,Titanic_Dataset[[#This Row],[Fare]],NA())</f>
        <v>30.5</v>
      </c>
      <c r="Q634" t="e">
        <f>IF(Titanic_Dataset[[#This Row],[Survived]]=0,Titanic_Dataset[[#This Row],[Fare]],NA())</f>
        <v>#N/A</v>
      </c>
      <c r="R634" t="str">
        <f>VLOOKUP(Titanic_Dataset[[#This Row],[Fare]],Table2[],2,TRUE)</f>
        <v>very hiegh</v>
      </c>
      <c r="S634" s="1" t="s">
        <v>1275</v>
      </c>
      <c r="T634" s="1" t="s">
        <v>21</v>
      </c>
      <c r="U634" s="1"/>
      <c r="V634" s="1"/>
      <c r="W634" s="1"/>
    </row>
    <row r="635" spans="1:23" x14ac:dyDescent="0.25">
      <c r="A635">
        <v>634</v>
      </c>
      <c r="B635">
        <v>0</v>
      </c>
      <c r="C635" t="str">
        <f>IF(Titanic_Dataset[[#This Row],[Survived]]=1,"Survived","Died")</f>
        <v>Died</v>
      </c>
      <c r="D635">
        <v>1</v>
      </c>
      <c r="E635" t="str">
        <f>IF(Titanic_Dataset[[#This Row],[Pclass]]=1,"1st",IF(Titanic_Dataset[[#This Row],[Pclass]]=2,"2nd",IF(Titanic_Dataset[[#This Row],[Pclass]]=3,"3rd")))</f>
        <v>1st</v>
      </c>
      <c r="F635" s="1" t="s">
        <v>1276</v>
      </c>
      <c r="G635" s="1" t="str">
        <f>TRIM(MID(Titanic_Dataset[[#This Row],[Name]],
FIND(",",Titanic_Dataset[[#This Row],[Name]])+2,
FIND(".",Titanic_Dataset[[#This Row],[Name]],FIND(",",Titanic_Dataset[[#This Row],[Name]]))-FIND(",",Titanic_Dataset[[#This Row],[Name]])-1))</f>
        <v>Mr.</v>
      </c>
      <c r="H635" s="1" t="s">
        <v>13</v>
      </c>
      <c r="I635">
        <v>28</v>
      </c>
      <c r="J63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35">
        <v>0</v>
      </c>
      <c r="L635">
        <v>0</v>
      </c>
      <c r="M635">
        <f>Titanic_Dataset[[#This Row],[Parch]]+Titanic_Dataset[[#This Row],[SibSp]]</f>
        <v>0</v>
      </c>
      <c r="N635" s="1" t="s">
        <v>1277</v>
      </c>
      <c r="O635">
        <v>0</v>
      </c>
      <c r="P635" t="e">
        <f>IF(Titanic_Dataset[[#This Row],[Survived]]=1,Titanic_Dataset[[#This Row],[Fare]],NA())</f>
        <v>#N/A</v>
      </c>
      <c r="Q635">
        <f>IF(Titanic_Dataset[[#This Row],[Survived]]=0,Titanic_Dataset[[#This Row],[Fare]],NA())</f>
        <v>0</v>
      </c>
      <c r="R635" t="str">
        <f>VLOOKUP(Titanic_Dataset[[#This Row],[Fare]],Table2[],2,TRUE)</f>
        <v>low</v>
      </c>
      <c r="S635" s="1" t="s">
        <v>15</v>
      </c>
      <c r="T635" s="1" t="s">
        <v>16</v>
      </c>
      <c r="U635" s="1"/>
      <c r="V635" s="1"/>
      <c r="W635" s="1"/>
    </row>
    <row r="636" spans="1:23" x14ac:dyDescent="0.25">
      <c r="A636">
        <v>635</v>
      </c>
      <c r="B636">
        <v>0</v>
      </c>
      <c r="C636" t="str">
        <f>IF(Titanic_Dataset[[#This Row],[Survived]]=1,"Survived","Died")</f>
        <v>Died</v>
      </c>
      <c r="D636">
        <v>3</v>
      </c>
      <c r="E636" t="str">
        <f>IF(Titanic_Dataset[[#This Row],[Pclass]]=1,"1st",IF(Titanic_Dataset[[#This Row],[Pclass]]=2,"2nd",IF(Titanic_Dataset[[#This Row],[Pclass]]=3,"3rd")))</f>
        <v>3rd</v>
      </c>
      <c r="F636" s="1" t="s">
        <v>1278</v>
      </c>
      <c r="G636" s="1" t="str">
        <f>TRIM(MID(Titanic_Dataset[[#This Row],[Name]],
FIND(",",Titanic_Dataset[[#This Row],[Name]])+2,
FIND(".",Titanic_Dataset[[#This Row],[Name]],FIND(",",Titanic_Dataset[[#This Row],[Name]]))-FIND(",",Titanic_Dataset[[#This Row],[Name]])-1))</f>
        <v>Miss.</v>
      </c>
      <c r="H636" s="1" t="s">
        <v>18</v>
      </c>
      <c r="I636">
        <v>9</v>
      </c>
      <c r="J636" t="str">
        <f>IF(Titanic_Dataset[[#This Row],[Age]]&lt;12,"0-11",
IF(Titanic_Dataset[[#This Row],[Age]]&lt;20,"12-19",
IF(Titanic_Dataset[[#This Row],[Age]]&lt;30,"20-29",
IF(Titanic_Dataset[[#This Row],[Age]]&lt;40,"30-39",
IF(Titanic_Dataset[[#This Row],[Age]]&lt;50,"40-49",
IF(Titanic_Dataset[[#This Row],[Age]]&lt;60,"50-59",
IF(Titanic_Dataset[[#This Row],[Age]]&lt;70,"60-69",)))))))</f>
        <v>0-11</v>
      </c>
      <c r="K636">
        <v>3</v>
      </c>
      <c r="L636">
        <v>2</v>
      </c>
      <c r="M636">
        <f>Titanic_Dataset[[#This Row],[Parch]]+Titanic_Dataset[[#This Row],[SibSp]]</f>
        <v>5</v>
      </c>
      <c r="N636" s="1" t="s">
        <v>158</v>
      </c>
      <c r="O636">
        <v>27.9</v>
      </c>
      <c r="P636" t="e">
        <f>IF(Titanic_Dataset[[#This Row],[Survived]]=1,Titanic_Dataset[[#This Row],[Fare]],NA())</f>
        <v>#N/A</v>
      </c>
      <c r="Q636">
        <f>IF(Titanic_Dataset[[#This Row],[Survived]]=0,Titanic_Dataset[[#This Row],[Fare]],NA())</f>
        <v>27.9</v>
      </c>
      <c r="R636" t="str">
        <f>VLOOKUP(Titanic_Dataset[[#This Row],[Fare]],Table2[],2,TRUE)</f>
        <v>high</v>
      </c>
      <c r="S636" s="1" t="s">
        <v>15</v>
      </c>
      <c r="T636" s="1" t="s">
        <v>16</v>
      </c>
      <c r="U636" s="1"/>
      <c r="V636" s="1"/>
      <c r="W636" s="1"/>
    </row>
    <row r="637" spans="1:23" x14ac:dyDescent="0.25">
      <c r="A637">
        <v>636</v>
      </c>
      <c r="B637">
        <v>1</v>
      </c>
      <c r="C637" t="str">
        <f>IF(Titanic_Dataset[[#This Row],[Survived]]=1,"Survived","Died")</f>
        <v>Survived</v>
      </c>
      <c r="D637">
        <v>2</v>
      </c>
      <c r="E637" t="str">
        <f>IF(Titanic_Dataset[[#This Row],[Pclass]]=1,"1st",IF(Titanic_Dataset[[#This Row],[Pclass]]=2,"2nd",IF(Titanic_Dataset[[#This Row],[Pclass]]=3,"3rd")))</f>
        <v>2nd</v>
      </c>
      <c r="F637" s="1" t="s">
        <v>1279</v>
      </c>
      <c r="G637" s="1" t="str">
        <f>TRIM(MID(Titanic_Dataset[[#This Row],[Name]],
FIND(",",Titanic_Dataset[[#This Row],[Name]])+2,
FIND(".",Titanic_Dataset[[#This Row],[Name]],FIND(",",Titanic_Dataset[[#This Row],[Name]]))-FIND(",",Titanic_Dataset[[#This Row],[Name]])-1))</f>
        <v>Miss.</v>
      </c>
      <c r="H637" s="1" t="s">
        <v>18</v>
      </c>
      <c r="I637">
        <v>28</v>
      </c>
      <c r="J63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37">
        <v>0</v>
      </c>
      <c r="L637">
        <v>0</v>
      </c>
      <c r="M637">
        <f>Titanic_Dataset[[#This Row],[Parch]]+Titanic_Dataset[[#This Row],[SibSp]]</f>
        <v>0</v>
      </c>
      <c r="N637" s="1" t="s">
        <v>1280</v>
      </c>
      <c r="O637">
        <v>13</v>
      </c>
      <c r="P637">
        <f>IF(Titanic_Dataset[[#This Row],[Survived]]=1,Titanic_Dataset[[#This Row],[Fare]],NA())</f>
        <v>13</v>
      </c>
      <c r="Q637" t="e">
        <f>IF(Titanic_Dataset[[#This Row],[Survived]]=0,Titanic_Dataset[[#This Row],[Fare]],NA())</f>
        <v>#N/A</v>
      </c>
      <c r="R637" t="str">
        <f>VLOOKUP(Titanic_Dataset[[#This Row],[Fare]],Table2[],2,TRUE)</f>
        <v>medium</v>
      </c>
      <c r="S637" s="1" t="s">
        <v>15</v>
      </c>
      <c r="T637" s="1" t="s">
        <v>16</v>
      </c>
      <c r="U637" s="1"/>
      <c r="V637" s="1"/>
      <c r="W637" s="1"/>
    </row>
    <row r="638" spans="1:23" x14ac:dyDescent="0.25">
      <c r="A638">
        <v>637</v>
      </c>
      <c r="B638">
        <v>0</v>
      </c>
      <c r="C638" t="str">
        <f>IF(Titanic_Dataset[[#This Row],[Survived]]=1,"Survived","Died")</f>
        <v>Died</v>
      </c>
      <c r="D638">
        <v>3</v>
      </c>
      <c r="E638" t="str">
        <f>IF(Titanic_Dataset[[#This Row],[Pclass]]=1,"1st",IF(Titanic_Dataset[[#This Row],[Pclass]]=2,"2nd",IF(Titanic_Dataset[[#This Row],[Pclass]]=3,"3rd")))</f>
        <v>3rd</v>
      </c>
      <c r="F638" s="1" t="s">
        <v>1281</v>
      </c>
      <c r="G638" s="1" t="str">
        <f>TRIM(MID(Titanic_Dataset[[#This Row],[Name]],
FIND(",",Titanic_Dataset[[#This Row],[Name]])+2,
FIND(".",Titanic_Dataset[[#This Row],[Name]],FIND(",",Titanic_Dataset[[#This Row],[Name]]))-FIND(",",Titanic_Dataset[[#This Row],[Name]])-1))</f>
        <v>Mr.</v>
      </c>
      <c r="H638" s="1" t="s">
        <v>13</v>
      </c>
      <c r="I638">
        <v>32</v>
      </c>
      <c r="J638" t="str">
        <f>IF(Titanic_Dataset[[#This Row],[Age]]&lt;12,"0-11",
IF(Titanic_Dataset[[#This Row],[Age]]&lt;20,"12-19",
IF(Titanic_Dataset[[#This Row],[Age]]&lt;30,"20-29",
IF(Titanic_Dataset[[#This Row],[Age]]&lt;40,"30-39",
IF(Titanic_Dataset[[#This Row],[Age]]&lt;50,"40-49",
IF(Titanic_Dataset[[#This Row],[Age]]&lt;60,"50-59",
IF(Titanic_Dataset[[#This Row],[Age]]&lt;70,"60-69",)))))))</f>
        <v>30-39</v>
      </c>
      <c r="K638">
        <v>0</v>
      </c>
      <c r="L638">
        <v>0</v>
      </c>
      <c r="M638">
        <f>Titanic_Dataset[[#This Row],[Parch]]+Titanic_Dataset[[#This Row],[SibSp]]</f>
        <v>0</v>
      </c>
      <c r="N638" s="1" t="s">
        <v>1282</v>
      </c>
      <c r="O638">
        <v>7.9249999999999998</v>
      </c>
      <c r="P638" t="e">
        <f>IF(Titanic_Dataset[[#This Row],[Survived]]=1,Titanic_Dataset[[#This Row],[Fare]],NA())</f>
        <v>#N/A</v>
      </c>
      <c r="Q638">
        <f>IF(Titanic_Dataset[[#This Row],[Survived]]=0,Titanic_Dataset[[#This Row],[Fare]],NA())</f>
        <v>7.9249999999999998</v>
      </c>
      <c r="R638" t="str">
        <f>VLOOKUP(Titanic_Dataset[[#This Row],[Fare]],Table2[],2,TRUE)</f>
        <v>low</v>
      </c>
      <c r="S638" s="1" t="s">
        <v>15</v>
      </c>
      <c r="T638" s="1" t="s">
        <v>16</v>
      </c>
      <c r="U638" s="1"/>
      <c r="V638" s="1"/>
      <c r="W638" s="1"/>
    </row>
    <row r="639" spans="1:23" x14ac:dyDescent="0.25">
      <c r="A639">
        <v>638</v>
      </c>
      <c r="B639">
        <v>0</v>
      </c>
      <c r="C639" t="str">
        <f>IF(Titanic_Dataset[[#This Row],[Survived]]=1,"Survived","Died")</f>
        <v>Died</v>
      </c>
      <c r="D639">
        <v>2</v>
      </c>
      <c r="E639" t="str">
        <f>IF(Titanic_Dataset[[#This Row],[Pclass]]=1,"1st",IF(Titanic_Dataset[[#This Row],[Pclass]]=2,"2nd",IF(Titanic_Dataset[[#This Row],[Pclass]]=3,"3rd")))</f>
        <v>2nd</v>
      </c>
      <c r="F639" s="1" t="s">
        <v>1283</v>
      </c>
      <c r="G639" s="1" t="str">
        <f>TRIM(MID(Titanic_Dataset[[#This Row],[Name]],
FIND(",",Titanic_Dataset[[#This Row],[Name]])+2,
FIND(".",Titanic_Dataset[[#This Row],[Name]],FIND(",",Titanic_Dataset[[#This Row],[Name]]))-FIND(",",Titanic_Dataset[[#This Row],[Name]])-1))</f>
        <v>Mr.</v>
      </c>
      <c r="H639" s="1" t="s">
        <v>13</v>
      </c>
      <c r="I639">
        <v>31</v>
      </c>
      <c r="J639" t="str">
        <f>IF(Titanic_Dataset[[#This Row],[Age]]&lt;12,"0-11",
IF(Titanic_Dataset[[#This Row],[Age]]&lt;20,"12-19",
IF(Titanic_Dataset[[#This Row],[Age]]&lt;30,"20-29",
IF(Titanic_Dataset[[#This Row],[Age]]&lt;40,"30-39",
IF(Titanic_Dataset[[#This Row],[Age]]&lt;50,"40-49",
IF(Titanic_Dataset[[#This Row],[Age]]&lt;60,"50-59",
IF(Titanic_Dataset[[#This Row],[Age]]&lt;70,"60-69",)))))))</f>
        <v>30-39</v>
      </c>
      <c r="K639">
        <v>1</v>
      </c>
      <c r="L639">
        <v>1</v>
      </c>
      <c r="M639">
        <f>Titanic_Dataset[[#This Row],[Parch]]+Titanic_Dataset[[#This Row],[SibSp]]</f>
        <v>2</v>
      </c>
      <c r="N639" s="1" t="s">
        <v>508</v>
      </c>
      <c r="O639">
        <v>26.25</v>
      </c>
      <c r="P639" t="e">
        <f>IF(Titanic_Dataset[[#This Row],[Survived]]=1,Titanic_Dataset[[#This Row],[Fare]],NA())</f>
        <v>#N/A</v>
      </c>
      <c r="Q639">
        <f>IF(Titanic_Dataset[[#This Row],[Survived]]=0,Titanic_Dataset[[#This Row],[Fare]],NA())</f>
        <v>26.25</v>
      </c>
      <c r="R639" t="str">
        <f>VLOOKUP(Titanic_Dataset[[#This Row],[Fare]],Table2[],2,TRUE)</f>
        <v>high</v>
      </c>
      <c r="S639" s="1" t="s">
        <v>15</v>
      </c>
      <c r="T639" s="1" t="s">
        <v>16</v>
      </c>
      <c r="U639" s="1"/>
      <c r="V639" s="1"/>
      <c r="W639" s="1"/>
    </row>
    <row r="640" spans="1:23" x14ac:dyDescent="0.25">
      <c r="A640">
        <v>639</v>
      </c>
      <c r="B640">
        <v>0</v>
      </c>
      <c r="C640" t="str">
        <f>IF(Titanic_Dataset[[#This Row],[Survived]]=1,"Survived","Died")</f>
        <v>Died</v>
      </c>
      <c r="D640">
        <v>3</v>
      </c>
      <c r="E640" t="str">
        <f>IF(Titanic_Dataset[[#This Row],[Pclass]]=1,"1st",IF(Titanic_Dataset[[#This Row],[Pclass]]=2,"2nd",IF(Titanic_Dataset[[#This Row],[Pclass]]=3,"3rd")))</f>
        <v>3rd</v>
      </c>
      <c r="F640" s="1" t="s">
        <v>1284</v>
      </c>
      <c r="G640" s="1" t="str">
        <f>TRIM(MID(Titanic_Dataset[[#This Row],[Name]],
FIND(",",Titanic_Dataset[[#This Row],[Name]])+2,
FIND(".",Titanic_Dataset[[#This Row],[Name]],FIND(",",Titanic_Dataset[[#This Row],[Name]]))-FIND(",",Titanic_Dataset[[#This Row],[Name]])-1))</f>
        <v>Mrs.</v>
      </c>
      <c r="H640" s="1" t="s">
        <v>18</v>
      </c>
      <c r="I640">
        <v>41</v>
      </c>
      <c r="J640" t="str">
        <f>IF(Titanic_Dataset[[#This Row],[Age]]&lt;12,"0-11",
IF(Titanic_Dataset[[#This Row],[Age]]&lt;20,"12-19",
IF(Titanic_Dataset[[#This Row],[Age]]&lt;30,"20-29",
IF(Titanic_Dataset[[#This Row],[Age]]&lt;40,"30-39",
IF(Titanic_Dataset[[#This Row],[Age]]&lt;50,"40-49",
IF(Titanic_Dataset[[#This Row],[Age]]&lt;60,"50-59",
IF(Titanic_Dataset[[#This Row],[Age]]&lt;70,"60-69",)))))))</f>
        <v>40-49</v>
      </c>
      <c r="K640">
        <v>0</v>
      </c>
      <c r="L640">
        <v>5</v>
      </c>
      <c r="M640">
        <f>Titanic_Dataset[[#This Row],[Parch]]+Titanic_Dataset[[#This Row],[SibSp]]</f>
        <v>5</v>
      </c>
      <c r="N640" s="1" t="s">
        <v>127</v>
      </c>
      <c r="O640">
        <v>39.6875</v>
      </c>
      <c r="P640" t="e">
        <f>IF(Titanic_Dataset[[#This Row],[Survived]]=1,Titanic_Dataset[[#This Row],[Fare]],NA())</f>
        <v>#N/A</v>
      </c>
      <c r="Q640">
        <f>IF(Titanic_Dataset[[#This Row],[Survived]]=0,Titanic_Dataset[[#This Row],[Fare]],NA())</f>
        <v>39.6875</v>
      </c>
      <c r="R640" t="str">
        <f>VLOOKUP(Titanic_Dataset[[#This Row],[Fare]],Table2[],2,TRUE)</f>
        <v>very hiegh</v>
      </c>
      <c r="S640" s="1" t="s">
        <v>15</v>
      </c>
      <c r="T640" s="1" t="s">
        <v>16</v>
      </c>
      <c r="U640" s="1"/>
      <c r="V640" s="1"/>
      <c r="W640" s="1"/>
    </row>
    <row r="641" spans="1:23" x14ac:dyDescent="0.25">
      <c r="A641">
        <v>640</v>
      </c>
      <c r="B641">
        <v>0</v>
      </c>
      <c r="C641" t="str">
        <f>IF(Titanic_Dataset[[#This Row],[Survived]]=1,"Survived","Died")</f>
        <v>Died</v>
      </c>
      <c r="D641">
        <v>3</v>
      </c>
      <c r="E641" t="str">
        <f>IF(Titanic_Dataset[[#This Row],[Pclass]]=1,"1st",IF(Titanic_Dataset[[#This Row],[Pclass]]=2,"2nd",IF(Titanic_Dataset[[#This Row],[Pclass]]=3,"3rd")))</f>
        <v>3rd</v>
      </c>
      <c r="F641" s="1" t="s">
        <v>1285</v>
      </c>
      <c r="G641" s="1" t="str">
        <f>TRIM(MID(Titanic_Dataset[[#This Row],[Name]],
FIND(",",Titanic_Dataset[[#This Row],[Name]])+2,
FIND(".",Titanic_Dataset[[#This Row],[Name]],FIND(",",Titanic_Dataset[[#This Row],[Name]]))-FIND(",",Titanic_Dataset[[#This Row],[Name]])-1))</f>
        <v>Mr.</v>
      </c>
      <c r="H641" s="1" t="s">
        <v>13</v>
      </c>
      <c r="I641">
        <v>28</v>
      </c>
      <c r="J64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41">
        <v>1</v>
      </c>
      <c r="L641">
        <v>0</v>
      </c>
      <c r="M641">
        <f>Titanic_Dataset[[#This Row],[Parch]]+Titanic_Dataset[[#This Row],[SibSp]]</f>
        <v>1</v>
      </c>
      <c r="N641" s="1" t="s">
        <v>892</v>
      </c>
      <c r="O641">
        <v>16.100000000000001</v>
      </c>
      <c r="P641" t="e">
        <f>IF(Titanic_Dataset[[#This Row],[Survived]]=1,Titanic_Dataset[[#This Row],[Fare]],NA())</f>
        <v>#N/A</v>
      </c>
      <c r="Q641">
        <f>IF(Titanic_Dataset[[#This Row],[Survived]]=0,Titanic_Dataset[[#This Row],[Fare]],NA())</f>
        <v>16.100000000000001</v>
      </c>
      <c r="R641" t="str">
        <f>VLOOKUP(Titanic_Dataset[[#This Row],[Fare]],Table2[],2,TRUE)</f>
        <v>high</v>
      </c>
      <c r="S641" s="1" t="s">
        <v>15</v>
      </c>
      <c r="T641" s="1" t="s">
        <v>16</v>
      </c>
      <c r="U641" s="1"/>
      <c r="V641" s="1"/>
      <c r="W641" s="1"/>
    </row>
    <row r="642" spans="1:23" x14ac:dyDescent="0.25">
      <c r="A642">
        <v>641</v>
      </c>
      <c r="B642">
        <v>0</v>
      </c>
      <c r="C642" t="str">
        <f>IF(Titanic_Dataset[[#This Row],[Survived]]=1,"Survived","Died")</f>
        <v>Died</v>
      </c>
      <c r="D642">
        <v>3</v>
      </c>
      <c r="E642" t="str">
        <f>IF(Titanic_Dataset[[#This Row],[Pclass]]=1,"1st",IF(Titanic_Dataset[[#This Row],[Pclass]]=2,"2nd",IF(Titanic_Dataset[[#This Row],[Pclass]]=3,"3rd")))</f>
        <v>3rd</v>
      </c>
      <c r="F642" s="1" t="s">
        <v>1286</v>
      </c>
      <c r="G642" s="1" t="str">
        <f>TRIM(MID(Titanic_Dataset[[#This Row],[Name]],
FIND(",",Titanic_Dataset[[#This Row],[Name]])+2,
FIND(".",Titanic_Dataset[[#This Row],[Name]],FIND(",",Titanic_Dataset[[#This Row],[Name]]))-FIND(",",Titanic_Dataset[[#This Row],[Name]])-1))</f>
        <v>Mr.</v>
      </c>
      <c r="H642" s="1" t="s">
        <v>13</v>
      </c>
      <c r="I642">
        <v>20</v>
      </c>
      <c r="J64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42">
        <v>0</v>
      </c>
      <c r="L642">
        <v>0</v>
      </c>
      <c r="M642">
        <f>Titanic_Dataset[[#This Row],[Parch]]+Titanic_Dataset[[#This Row],[SibSp]]</f>
        <v>0</v>
      </c>
      <c r="N642" s="1" t="s">
        <v>1287</v>
      </c>
      <c r="O642">
        <v>7.8541999999999996</v>
      </c>
      <c r="P642" t="e">
        <f>IF(Titanic_Dataset[[#This Row],[Survived]]=1,Titanic_Dataset[[#This Row],[Fare]],NA())</f>
        <v>#N/A</v>
      </c>
      <c r="Q642">
        <f>IF(Titanic_Dataset[[#This Row],[Survived]]=0,Titanic_Dataset[[#This Row],[Fare]],NA())</f>
        <v>7.8541999999999996</v>
      </c>
      <c r="R642" t="str">
        <f>VLOOKUP(Titanic_Dataset[[#This Row],[Fare]],Table2[],2,TRUE)</f>
        <v>low</v>
      </c>
      <c r="S642" s="1" t="s">
        <v>15</v>
      </c>
      <c r="T642" s="1" t="s">
        <v>16</v>
      </c>
      <c r="U642" s="1"/>
      <c r="V642" s="1"/>
      <c r="W642" s="1"/>
    </row>
    <row r="643" spans="1:23" x14ac:dyDescent="0.25">
      <c r="A643">
        <v>642</v>
      </c>
      <c r="B643">
        <v>1</v>
      </c>
      <c r="C643" t="str">
        <f>IF(Titanic_Dataset[[#This Row],[Survived]]=1,"Survived","Died")</f>
        <v>Survived</v>
      </c>
      <c r="D643">
        <v>1</v>
      </c>
      <c r="E643" t="str">
        <f>IF(Titanic_Dataset[[#This Row],[Pclass]]=1,"1st",IF(Titanic_Dataset[[#This Row],[Pclass]]=2,"2nd",IF(Titanic_Dataset[[#This Row],[Pclass]]=3,"3rd")))</f>
        <v>1st</v>
      </c>
      <c r="F643" s="1" t="s">
        <v>1288</v>
      </c>
      <c r="G643" s="1" t="str">
        <f>TRIM(MID(Titanic_Dataset[[#This Row],[Name]],
FIND(",",Titanic_Dataset[[#This Row],[Name]])+2,
FIND(".",Titanic_Dataset[[#This Row],[Name]],FIND(",",Titanic_Dataset[[#This Row],[Name]]))-FIND(",",Titanic_Dataset[[#This Row],[Name]])-1))</f>
        <v>Mlle.</v>
      </c>
      <c r="H643" s="1" t="s">
        <v>18</v>
      </c>
      <c r="I643">
        <v>24</v>
      </c>
      <c r="J64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43">
        <v>0</v>
      </c>
      <c r="L643">
        <v>0</v>
      </c>
      <c r="M643">
        <f>Titanic_Dataset[[#This Row],[Parch]]+Titanic_Dataset[[#This Row],[SibSp]]</f>
        <v>0</v>
      </c>
      <c r="N643" s="1" t="s">
        <v>776</v>
      </c>
      <c r="O643">
        <v>69.3</v>
      </c>
      <c r="P643">
        <f>IF(Titanic_Dataset[[#This Row],[Survived]]=1,Titanic_Dataset[[#This Row],[Fare]],NA())</f>
        <v>69.3</v>
      </c>
      <c r="Q643" t="e">
        <f>IF(Titanic_Dataset[[#This Row],[Survived]]=0,Titanic_Dataset[[#This Row],[Fare]],NA())</f>
        <v>#N/A</v>
      </c>
      <c r="R643" t="str">
        <f>VLOOKUP(Titanic_Dataset[[#This Row],[Fare]],Table2[],2,TRUE)</f>
        <v>very hiegh</v>
      </c>
      <c r="S643" s="1" t="s">
        <v>777</v>
      </c>
      <c r="T643" s="1" t="s">
        <v>21</v>
      </c>
      <c r="U643" s="1"/>
      <c r="V643" s="1"/>
      <c r="W643" s="1"/>
    </row>
    <row r="644" spans="1:23" x14ac:dyDescent="0.25">
      <c r="A644">
        <v>643</v>
      </c>
      <c r="B644">
        <v>0</v>
      </c>
      <c r="C644" t="str">
        <f>IF(Titanic_Dataset[[#This Row],[Survived]]=1,"Survived","Died")</f>
        <v>Died</v>
      </c>
      <c r="D644">
        <v>3</v>
      </c>
      <c r="E644" t="str">
        <f>IF(Titanic_Dataset[[#This Row],[Pclass]]=1,"1st",IF(Titanic_Dataset[[#This Row],[Pclass]]=2,"2nd",IF(Titanic_Dataset[[#This Row],[Pclass]]=3,"3rd")))</f>
        <v>3rd</v>
      </c>
      <c r="F644" s="1" t="s">
        <v>1289</v>
      </c>
      <c r="G644" s="1" t="str">
        <f>TRIM(MID(Titanic_Dataset[[#This Row],[Name]],
FIND(",",Titanic_Dataset[[#This Row],[Name]])+2,
FIND(".",Titanic_Dataset[[#This Row],[Name]],FIND(",",Titanic_Dataset[[#This Row],[Name]]))-FIND(",",Titanic_Dataset[[#This Row],[Name]])-1))</f>
        <v>Miss.</v>
      </c>
      <c r="H644" s="1" t="s">
        <v>18</v>
      </c>
      <c r="I644">
        <v>2</v>
      </c>
      <c r="J644" t="str">
        <f>IF(Titanic_Dataset[[#This Row],[Age]]&lt;12,"0-11",
IF(Titanic_Dataset[[#This Row],[Age]]&lt;20,"12-19",
IF(Titanic_Dataset[[#This Row],[Age]]&lt;30,"20-29",
IF(Titanic_Dataset[[#This Row],[Age]]&lt;40,"30-39",
IF(Titanic_Dataset[[#This Row],[Age]]&lt;50,"40-49",
IF(Titanic_Dataset[[#This Row],[Age]]&lt;60,"50-59",
IF(Titanic_Dataset[[#This Row],[Age]]&lt;70,"60-69",)))))))</f>
        <v>0-11</v>
      </c>
      <c r="K644">
        <v>3</v>
      </c>
      <c r="L644">
        <v>2</v>
      </c>
      <c r="M644">
        <f>Titanic_Dataset[[#This Row],[Parch]]+Titanic_Dataset[[#This Row],[SibSp]]</f>
        <v>5</v>
      </c>
      <c r="N644" s="1" t="s">
        <v>158</v>
      </c>
      <c r="O644">
        <v>27.9</v>
      </c>
      <c r="P644" t="e">
        <f>IF(Titanic_Dataset[[#This Row],[Survived]]=1,Titanic_Dataset[[#This Row],[Fare]],NA())</f>
        <v>#N/A</v>
      </c>
      <c r="Q644">
        <f>IF(Titanic_Dataset[[#This Row],[Survived]]=0,Titanic_Dataset[[#This Row],[Fare]],NA())</f>
        <v>27.9</v>
      </c>
      <c r="R644" t="str">
        <f>VLOOKUP(Titanic_Dataset[[#This Row],[Fare]],Table2[],2,TRUE)</f>
        <v>high</v>
      </c>
      <c r="S644" s="1" t="s">
        <v>15</v>
      </c>
      <c r="T644" s="1" t="s">
        <v>16</v>
      </c>
      <c r="U644" s="1"/>
      <c r="V644" s="1"/>
      <c r="W644" s="1"/>
    </row>
    <row r="645" spans="1:23" x14ac:dyDescent="0.25">
      <c r="A645">
        <v>644</v>
      </c>
      <c r="B645">
        <v>1</v>
      </c>
      <c r="C645" t="str">
        <f>IF(Titanic_Dataset[[#This Row],[Survived]]=1,"Survived","Died")</f>
        <v>Survived</v>
      </c>
      <c r="D645">
        <v>3</v>
      </c>
      <c r="E645" t="str">
        <f>IF(Titanic_Dataset[[#This Row],[Pclass]]=1,"1st",IF(Titanic_Dataset[[#This Row],[Pclass]]=2,"2nd",IF(Titanic_Dataset[[#This Row],[Pclass]]=3,"3rd")))</f>
        <v>3rd</v>
      </c>
      <c r="F645" s="1" t="s">
        <v>1290</v>
      </c>
      <c r="G645" s="1" t="str">
        <f>TRIM(MID(Titanic_Dataset[[#This Row],[Name]],
FIND(",",Titanic_Dataset[[#This Row],[Name]])+2,
FIND(".",Titanic_Dataset[[#This Row],[Name]],FIND(",",Titanic_Dataset[[#This Row],[Name]]))-FIND(",",Titanic_Dataset[[#This Row],[Name]])-1))</f>
        <v>Mr.</v>
      </c>
      <c r="H645" s="1" t="s">
        <v>13</v>
      </c>
      <c r="I645">
        <v>28</v>
      </c>
      <c r="J64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45">
        <v>0</v>
      </c>
      <c r="L645">
        <v>0</v>
      </c>
      <c r="M645">
        <f>Titanic_Dataset[[#This Row],[Parch]]+Titanic_Dataset[[#This Row],[SibSp]]</f>
        <v>0</v>
      </c>
      <c r="N645" s="1" t="s">
        <v>180</v>
      </c>
      <c r="O645">
        <v>56.495800000000003</v>
      </c>
      <c r="P645">
        <f>IF(Titanic_Dataset[[#This Row],[Survived]]=1,Titanic_Dataset[[#This Row],[Fare]],NA())</f>
        <v>56.495800000000003</v>
      </c>
      <c r="Q645" t="e">
        <f>IF(Titanic_Dataset[[#This Row],[Survived]]=0,Titanic_Dataset[[#This Row],[Fare]],NA())</f>
        <v>#N/A</v>
      </c>
      <c r="R645" t="str">
        <f>VLOOKUP(Titanic_Dataset[[#This Row],[Fare]],Table2[],2,TRUE)</f>
        <v>very hiegh</v>
      </c>
      <c r="S645" s="1" t="s">
        <v>15</v>
      </c>
      <c r="T645" s="1" t="s">
        <v>16</v>
      </c>
      <c r="U645" s="1"/>
      <c r="V645" s="1"/>
      <c r="W645" s="1"/>
    </row>
    <row r="646" spans="1:23" x14ac:dyDescent="0.25">
      <c r="A646">
        <v>645</v>
      </c>
      <c r="B646">
        <v>1</v>
      </c>
      <c r="C646" t="str">
        <f>IF(Titanic_Dataset[[#This Row],[Survived]]=1,"Survived","Died")</f>
        <v>Survived</v>
      </c>
      <c r="D646">
        <v>3</v>
      </c>
      <c r="E646" t="str">
        <f>IF(Titanic_Dataset[[#This Row],[Pclass]]=1,"1st",IF(Titanic_Dataset[[#This Row],[Pclass]]=2,"2nd",IF(Titanic_Dataset[[#This Row],[Pclass]]=3,"3rd")))</f>
        <v>3rd</v>
      </c>
      <c r="F646" s="1" t="s">
        <v>1291</v>
      </c>
      <c r="G646" s="1" t="str">
        <f>TRIM(MID(Titanic_Dataset[[#This Row],[Name]],
FIND(",",Titanic_Dataset[[#This Row],[Name]])+2,
FIND(".",Titanic_Dataset[[#This Row],[Name]],FIND(",",Titanic_Dataset[[#This Row],[Name]]))-FIND(",",Titanic_Dataset[[#This Row],[Name]])-1))</f>
        <v>Miss.</v>
      </c>
      <c r="H646" s="1" t="s">
        <v>18</v>
      </c>
      <c r="I646">
        <v>0.75</v>
      </c>
      <c r="J646" t="str">
        <f>IF(Titanic_Dataset[[#This Row],[Age]]&lt;12,"0-11",
IF(Titanic_Dataset[[#This Row],[Age]]&lt;20,"12-19",
IF(Titanic_Dataset[[#This Row],[Age]]&lt;30,"20-29",
IF(Titanic_Dataset[[#This Row],[Age]]&lt;40,"30-39",
IF(Titanic_Dataset[[#This Row],[Age]]&lt;50,"40-49",
IF(Titanic_Dataset[[#This Row],[Age]]&lt;60,"50-59",
IF(Titanic_Dataset[[#This Row],[Age]]&lt;70,"60-69",)))))))</f>
        <v>0-11</v>
      </c>
      <c r="K646">
        <v>2</v>
      </c>
      <c r="L646">
        <v>1</v>
      </c>
      <c r="M646">
        <f>Titanic_Dataset[[#This Row],[Parch]]+Titanic_Dataset[[#This Row],[SibSp]]</f>
        <v>3</v>
      </c>
      <c r="N646" s="1" t="s">
        <v>922</v>
      </c>
      <c r="O646">
        <v>19.258299999999998</v>
      </c>
      <c r="P646">
        <f>IF(Titanic_Dataset[[#This Row],[Survived]]=1,Titanic_Dataset[[#This Row],[Fare]],NA())</f>
        <v>19.258299999999998</v>
      </c>
      <c r="Q646" t="e">
        <f>IF(Titanic_Dataset[[#This Row],[Survived]]=0,Titanic_Dataset[[#This Row],[Fare]],NA())</f>
        <v>#N/A</v>
      </c>
      <c r="R646" t="str">
        <f>VLOOKUP(Titanic_Dataset[[#This Row],[Fare]],Table2[],2,TRUE)</f>
        <v>high</v>
      </c>
      <c r="S646" s="1" t="s">
        <v>15</v>
      </c>
      <c r="T646" s="1" t="s">
        <v>21</v>
      </c>
      <c r="U646" s="1"/>
      <c r="V646" s="1"/>
      <c r="W646" s="1"/>
    </row>
    <row r="647" spans="1:23" x14ac:dyDescent="0.25">
      <c r="A647">
        <v>646</v>
      </c>
      <c r="B647">
        <v>1</v>
      </c>
      <c r="C647" t="str">
        <f>IF(Titanic_Dataset[[#This Row],[Survived]]=1,"Survived","Died")</f>
        <v>Survived</v>
      </c>
      <c r="D647">
        <v>1</v>
      </c>
      <c r="E647" t="str">
        <f>IF(Titanic_Dataset[[#This Row],[Pclass]]=1,"1st",IF(Titanic_Dataset[[#This Row],[Pclass]]=2,"2nd",IF(Titanic_Dataset[[#This Row],[Pclass]]=3,"3rd")))</f>
        <v>1st</v>
      </c>
      <c r="F647" s="1" t="s">
        <v>1292</v>
      </c>
      <c r="G647" s="1" t="str">
        <f>TRIM(MID(Titanic_Dataset[[#This Row],[Name]],
FIND(",",Titanic_Dataset[[#This Row],[Name]])+2,
FIND(".",Titanic_Dataset[[#This Row],[Name]],FIND(",",Titanic_Dataset[[#This Row],[Name]]))-FIND(",",Titanic_Dataset[[#This Row],[Name]])-1))</f>
        <v>Mr.</v>
      </c>
      <c r="H647" s="1" t="s">
        <v>13</v>
      </c>
      <c r="I647">
        <v>48</v>
      </c>
      <c r="J647" t="str">
        <f>IF(Titanic_Dataset[[#This Row],[Age]]&lt;12,"0-11",
IF(Titanic_Dataset[[#This Row],[Age]]&lt;20,"12-19",
IF(Titanic_Dataset[[#This Row],[Age]]&lt;30,"20-29",
IF(Titanic_Dataset[[#This Row],[Age]]&lt;40,"30-39",
IF(Titanic_Dataset[[#This Row],[Age]]&lt;50,"40-49",
IF(Titanic_Dataset[[#This Row],[Age]]&lt;60,"50-59",
IF(Titanic_Dataset[[#This Row],[Age]]&lt;70,"60-69",)))))))</f>
        <v>40-49</v>
      </c>
      <c r="K647">
        <v>1</v>
      </c>
      <c r="L647">
        <v>0</v>
      </c>
      <c r="M647">
        <f>Titanic_Dataset[[#This Row],[Parch]]+Titanic_Dataset[[#This Row],[SibSp]]</f>
        <v>1</v>
      </c>
      <c r="N647" s="1" t="s">
        <v>131</v>
      </c>
      <c r="O647">
        <v>76.729200000000006</v>
      </c>
      <c r="P647">
        <f>IF(Titanic_Dataset[[#This Row],[Survived]]=1,Titanic_Dataset[[#This Row],[Fare]],NA())</f>
        <v>76.729200000000006</v>
      </c>
      <c r="Q647" t="e">
        <f>IF(Titanic_Dataset[[#This Row],[Survived]]=0,Titanic_Dataset[[#This Row],[Fare]],NA())</f>
        <v>#N/A</v>
      </c>
      <c r="R647" t="str">
        <f>VLOOKUP(Titanic_Dataset[[#This Row],[Fare]],Table2[],2,TRUE)</f>
        <v>very hiegh</v>
      </c>
      <c r="S647" s="1" t="s">
        <v>132</v>
      </c>
      <c r="T647" s="1" t="s">
        <v>21</v>
      </c>
      <c r="U647" s="1"/>
      <c r="V647" s="1"/>
      <c r="W647" s="1"/>
    </row>
    <row r="648" spans="1:23" x14ac:dyDescent="0.25">
      <c r="A648">
        <v>647</v>
      </c>
      <c r="B648">
        <v>0</v>
      </c>
      <c r="C648" t="str">
        <f>IF(Titanic_Dataset[[#This Row],[Survived]]=1,"Survived","Died")</f>
        <v>Died</v>
      </c>
      <c r="D648">
        <v>3</v>
      </c>
      <c r="E648" t="str">
        <f>IF(Titanic_Dataset[[#This Row],[Pclass]]=1,"1st",IF(Titanic_Dataset[[#This Row],[Pclass]]=2,"2nd",IF(Titanic_Dataset[[#This Row],[Pclass]]=3,"3rd")))</f>
        <v>3rd</v>
      </c>
      <c r="F648" s="1" t="s">
        <v>1293</v>
      </c>
      <c r="G648" s="1" t="str">
        <f>TRIM(MID(Titanic_Dataset[[#This Row],[Name]],
FIND(",",Titanic_Dataset[[#This Row],[Name]])+2,
FIND(".",Titanic_Dataset[[#This Row],[Name]],FIND(",",Titanic_Dataset[[#This Row],[Name]]))-FIND(",",Titanic_Dataset[[#This Row],[Name]])-1))</f>
        <v>Mr.</v>
      </c>
      <c r="H648" s="1" t="s">
        <v>13</v>
      </c>
      <c r="I648">
        <v>19</v>
      </c>
      <c r="J648" t="str">
        <f>IF(Titanic_Dataset[[#This Row],[Age]]&lt;12,"0-11",
IF(Titanic_Dataset[[#This Row],[Age]]&lt;20,"12-19",
IF(Titanic_Dataset[[#This Row],[Age]]&lt;30,"20-29",
IF(Titanic_Dataset[[#This Row],[Age]]&lt;40,"30-39",
IF(Titanic_Dataset[[#This Row],[Age]]&lt;50,"40-49",
IF(Titanic_Dataset[[#This Row],[Age]]&lt;60,"50-59",
IF(Titanic_Dataset[[#This Row],[Age]]&lt;70,"60-69",)))))))</f>
        <v>12-19</v>
      </c>
      <c r="K648">
        <v>0</v>
      </c>
      <c r="L648">
        <v>0</v>
      </c>
      <c r="M648">
        <f>Titanic_Dataset[[#This Row],[Parch]]+Titanic_Dataset[[#This Row],[SibSp]]</f>
        <v>0</v>
      </c>
      <c r="N648" s="1" t="s">
        <v>1294</v>
      </c>
      <c r="O648">
        <v>7.8958000000000004</v>
      </c>
      <c r="P648" t="e">
        <f>IF(Titanic_Dataset[[#This Row],[Survived]]=1,Titanic_Dataset[[#This Row],[Fare]],NA())</f>
        <v>#N/A</v>
      </c>
      <c r="Q648">
        <f>IF(Titanic_Dataset[[#This Row],[Survived]]=0,Titanic_Dataset[[#This Row],[Fare]],NA())</f>
        <v>7.8958000000000004</v>
      </c>
      <c r="R648" t="str">
        <f>VLOOKUP(Titanic_Dataset[[#This Row],[Fare]],Table2[],2,TRUE)</f>
        <v>low</v>
      </c>
      <c r="S648" s="1" t="s">
        <v>15</v>
      </c>
      <c r="T648" s="1" t="s">
        <v>16</v>
      </c>
      <c r="U648" s="1"/>
      <c r="V648" s="1"/>
      <c r="W648" s="1"/>
    </row>
    <row r="649" spans="1:23" x14ac:dyDescent="0.25">
      <c r="A649">
        <v>648</v>
      </c>
      <c r="B649">
        <v>1</v>
      </c>
      <c r="C649" t="str">
        <f>IF(Titanic_Dataset[[#This Row],[Survived]]=1,"Survived","Died")</f>
        <v>Survived</v>
      </c>
      <c r="D649">
        <v>1</v>
      </c>
      <c r="E649" t="str">
        <f>IF(Titanic_Dataset[[#This Row],[Pclass]]=1,"1st",IF(Titanic_Dataset[[#This Row],[Pclass]]=2,"2nd",IF(Titanic_Dataset[[#This Row],[Pclass]]=3,"3rd")))</f>
        <v>1st</v>
      </c>
      <c r="F649" s="1" t="s">
        <v>1295</v>
      </c>
      <c r="G649" s="1" t="str">
        <f>TRIM(MID(Titanic_Dataset[[#This Row],[Name]],
FIND(",",Titanic_Dataset[[#This Row],[Name]])+2,
FIND(".",Titanic_Dataset[[#This Row],[Name]],FIND(",",Titanic_Dataset[[#This Row],[Name]]))-FIND(",",Titanic_Dataset[[#This Row],[Name]])-1))</f>
        <v>Col.</v>
      </c>
      <c r="H649" s="1" t="s">
        <v>13</v>
      </c>
      <c r="I649">
        <v>56</v>
      </c>
      <c r="J649" t="str">
        <f>IF(Titanic_Dataset[[#This Row],[Age]]&lt;12,"0-11",
IF(Titanic_Dataset[[#This Row],[Age]]&lt;20,"12-19",
IF(Titanic_Dataset[[#This Row],[Age]]&lt;30,"20-29",
IF(Titanic_Dataset[[#This Row],[Age]]&lt;40,"30-39",
IF(Titanic_Dataset[[#This Row],[Age]]&lt;50,"40-49",
IF(Titanic_Dataset[[#This Row],[Age]]&lt;60,"50-59",
IF(Titanic_Dataset[[#This Row],[Age]]&lt;70,"60-69",)))))))</f>
        <v>50-59</v>
      </c>
      <c r="K649">
        <v>0</v>
      </c>
      <c r="L649">
        <v>0</v>
      </c>
      <c r="M649">
        <f>Titanic_Dataset[[#This Row],[Parch]]+Titanic_Dataset[[#This Row],[SibSp]]</f>
        <v>0</v>
      </c>
      <c r="N649" s="1" t="s">
        <v>1296</v>
      </c>
      <c r="O649">
        <v>35.5</v>
      </c>
      <c r="P649">
        <f>IF(Titanic_Dataset[[#This Row],[Survived]]=1,Titanic_Dataset[[#This Row],[Fare]],NA())</f>
        <v>35.5</v>
      </c>
      <c r="Q649" t="e">
        <f>IF(Titanic_Dataset[[#This Row],[Survived]]=0,Titanic_Dataset[[#This Row],[Fare]],NA())</f>
        <v>#N/A</v>
      </c>
      <c r="R649" t="str">
        <f>VLOOKUP(Titanic_Dataset[[#This Row],[Fare]],Table2[],2,TRUE)</f>
        <v>very hiegh</v>
      </c>
      <c r="S649" s="1" t="s">
        <v>1297</v>
      </c>
      <c r="T649" s="1" t="s">
        <v>21</v>
      </c>
      <c r="U649" s="1"/>
      <c r="V649" s="1"/>
      <c r="W649" s="1"/>
    </row>
    <row r="650" spans="1:23" x14ac:dyDescent="0.25">
      <c r="A650">
        <v>649</v>
      </c>
      <c r="B650">
        <v>0</v>
      </c>
      <c r="C650" t="str">
        <f>IF(Titanic_Dataset[[#This Row],[Survived]]=1,"Survived","Died")</f>
        <v>Died</v>
      </c>
      <c r="D650">
        <v>3</v>
      </c>
      <c r="E650" t="str">
        <f>IF(Titanic_Dataset[[#This Row],[Pclass]]=1,"1st",IF(Titanic_Dataset[[#This Row],[Pclass]]=2,"2nd",IF(Titanic_Dataset[[#This Row],[Pclass]]=3,"3rd")))</f>
        <v>3rd</v>
      </c>
      <c r="F650" s="1" t="s">
        <v>1298</v>
      </c>
      <c r="G650" s="1" t="str">
        <f>TRIM(MID(Titanic_Dataset[[#This Row],[Name]],
FIND(",",Titanic_Dataset[[#This Row],[Name]])+2,
FIND(".",Titanic_Dataset[[#This Row],[Name]],FIND(",",Titanic_Dataset[[#This Row],[Name]]))-FIND(",",Titanic_Dataset[[#This Row],[Name]])-1))</f>
        <v>Mr.</v>
      </c>
      <c r="H650" s="1" t="s">
        <v>13</v>
      </c>
      <c r="I650">
        <v>28</v>
      </c>
      <c r="J65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50">
        <v>0</v>
      </c>
      <c r="L650">
        <v>0</v>
      </c>
      <c r="M650">
        <f>Titanic_Dataset[[#This Row],[Parch]]+Titanic_Dataset[[#This Row],[SibSp]]</f>
        <v>0</v>
      </c>
      <c r="N650" s="1" t="s">
        <v>1299</v>
      </c>
      <c r="O650">
        <v>7.55</v>
      </c>
      <c r="P650" t="e">
        <f>IF(Titanic_Dataset[[#This Row],[Survived]]=1,Titanic_Dataset[[#This Row],[Fare]],NA())</f>
        <v>#N/A</v>
      </c>
      <c r="Q650">
        <f>IF(Titanic_Dataset[[#This Row],[Survived]]=0,Titanic_Dataset[[#This Row],[Fare]],NA())</f>
        <v>7.55</v>
      </c>
      <c r="R650" t="str">
        <f>VLOOKUP(Titanic_Dataset[[#This Row],[Fare]],Table2[],2,TRUE)</f>
        <v>low</v>
      </c>
      <c r="S650" s="1" t="s">
        <v>15</v>
      </c>
      <c r="T650" s="1" t="s">
        <v>16</v>
      </c>
      <c r="U650" s="1"/>
      <c r="V650" s="1"/>
      <c r="W650" s="1"/>
    </row>
    <row r="651" spans="1:23" x14ac:dyDescent="0.25">
      <c r="A651">
        <v>650</v>
      </c>
      <c r="B651">
        <v>1</v>
      </c>
      <c r="C651" t="str">
        <f>IF(Titanic_Dataset[[#This Row],[Survived]]=1,"Survived","Died")</f>
        <v>Survived</v>
      </c>
      <c r="D651">
        <v>3</v>
      </c>
      <c r="E651" t="str">
        <f>IF(Titanic_Dataset[[#This Row],[Pclass]]=1,"1st",IF(Titanic_Dataset[[#This Row],[Pclass]]=2,"2nd",IF(Titanic_Dataset[[#This Row],[Pclass]]=3,"3rd")))</f>
        <v>3rd</v>
      </c>
      <c r="F651" s="1" t="s">
        <v>1300</v>
      </c>
      <c r="G651" s="1" t="str">
        <f>TRIM(MID(Titanic_Dataset[[#This Row],[Name]],
FIND(",",Titanic_Dataset[[#This Row],[Name]])+2,
FIND(".",Titanic_Dataset[[#This Row],[Name]],FIND(",",Titanic_Dataset[[#This Row],[Name]]))-FIND(",",Titanic_Dataset[[#This Row],[Name]])-1))</f>
        <v>Miss.</v>
      </c>
      <c r="H651" s="1" t="s">
        <v>18</v>
      </c>
      <c r="I651">
        <v>23</v>
      </c>
      <c r="J65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51">
        <v>0</v>
      </c>
      <c r="L651">
        <v>0</v>
      </c>
      <c r="M651">
        <f>Titanic_Dataset[[#This Row],[Parch]]+Titanic_Dataset[[#This Row],[SibSp]]</f>
        <v>0</v>
      </c>
      <c r="N651" s="1" t="s">
        <v>1301</v>
      </c>
      <c r="O651">
        <v>7.55</v>
      </c>
      <c r="P651">
        <f>IF(Titanic_Dataset[[#This Row],[Survived]]=1,Titanic_Dataset[[#This Row],[Fare]],NA())</f>
        <v>7.55</v>
      </c>
      <c r="Q651" t="e">
        <f>IF(Titanic_Dataset[[#This Row],[Survived]]=0,Titanic_Dataset[[#This Row],[Fare]],NA())</f>
        <v>#N/A</v>
      </c>
      <c r="R651" t="str">
        <f>VLOOKUP(Titanic_Dataset[[#This Row],[Fare]],Table2[],2,TRUE)</f>
        <v>low</v>
      </c>
      <c r="S651" s="1" t="s">
        <v>15</v>
      </c>
      <c r="T651" s="1" t="s">
        <v>16</v>
      </c>
      <c r="U651" s="1"/>
      <c r="V651" s="1"/>
      <c r="W651" s="1"/>
    </row>
    <row r="652" spans="1:23" x14ac:dyDescent="0.25">
      <c r="A652">
        <v>651</v>
      </c>
      <c r="B652">
        <v>0</v>
      </c>
      <c r="C652" t="str">
        <f>IF(Titanic_Dataset[[#This Row],[Survived]]=1,"Survived","Died")</f>
        <v>Died</v>
      </c>
      <c r="D652">
        <v>3</v>
      </c>
      <c r="E652" t="str">
        <f>IF(Titanic_Dataset[[#This Row],[Pclass]]=1,"1st",IF(Titanic_Dataset[[#This Row],[Pclass]]=2,"2nd",IF(Titanic_Dataset[[#This Row],[Pclass]]=3,"3rd")))</f>
        <v>3rd</v>
      </c>
      <c r="F652" s="1" t="s">
        <v>1302</v>
      </c>
      <c r="G652" s="1" t="str">
        <f>TRIM(MID(Titanic_Dataset[[#This Row],[Name]],
FIND(",",Titanic_Dataset[[#This Row],[Name]])+2,
FIND(".",Titanic_Dataset[[#This Row],[Name]],FIND(",",Titanic_Dataset[[#This Row],[Name]]))-FIND(",",Titanic_Dataset[[#This Row],[Name]])-1))</f>
        <v>Mr.</v>
      </c>
      <c r="H652" s="1" t="s">
        <v>13</v>
      </c>
      <c r="I652">
        <v>28</v>
      </c>
      <c r="J65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52">
        <v>0</v>
      </c>
      <c r="L652">
        <v>0</v>
      </c>
      <c r="M652">
        <f>Titanic_Dataset[[#This Row],[Parch]]+Titanic_Dataset[[#This Row],[SibSp]]</f>
        <v>0</v>
      </c>
      <c r="N652" s="1" t="s">
        <v>1303</v>
      </c>
      <c r="O652">
        <v>7.8958000000000004</v>
      </c>
      <c r="P652" t="e">
        <f>IF(Titanic_Dataset[[#This Row],[Survived]]=1,Titanic_Dataset[[#This Row],[Fare]],NA())</f>
        <v>#N/A</v>
      </c>
      <c r="Q652">
        <f>IF(Titanic_Dataset[[#This Row],[Survived]]=0,Titanic_Dataset[[#This Row],[Fare]],NA())</f>
        <v>7.8958000000000004</v>
      </c>
      <c r="R652" t="str">
        <f>VLOOKUP(Titanic_Dataset[[#This Row],[Fare]],Table2[],2,TRUE)</f>
        <v>low</v>
      </c>
      <c r="S652" s="1" t="s">
        <v>15</v>
      </c>
      <c r="T652" s="1" t="s">
        <v>16</v>
      </c>
      <c r="U652" s="1"/>
      <c r="V652" s="1"/>
      <c r="W652" s="1"/>
    </row>
    <row r="653" spans="1:23" x14ac:dyDescent="0.25">
      <c r="A653">
        <v>652</v>
      </c>
      <c r="B653">
        <v>1</v>
      </c>
      <c r="C653" t="str">
        <f>IF(Titanic_Dataset[[#This Row],[Survived]]=1,"Survived","Died")</f>
        <v>Survived</v>
      </c>
      <c r="D653">
        <v>2</v>
      </c>
      <c r="E653" t="str">
        <f>IF(Titanic_Dataset[[#This Row],[Pclass]]=1,"1st",IF(Titanic_Dataset[[#This Row],[Pclass]]=2,"2nd",IF(Titanic_Dataset[[#This Row],[Pclass]]=3,"3rd")))</f>
        <v>2nd</v>
      </c>
      <c r="F653" s="1" t="s">
        <v>1304</v>
      </c>
      <c r="G653" s="1" t="str">
        <f>TRIM(MID(Titanic_Dataset[[#This Row],[Name]],
FIND(",",Titanic_Dataset[[#This Row],[Name]])+2,
FIND(".",Titanic_Dataset[[#This Row],[Name]],FIND(",",Titanic_Dataset[[#This Row],[Name]]))-FIND(",",Titanic_Dataset[[#This Row],[Name]])-1))</f>
        <v>Miss.</v>
      </c>
      <c r="H653" s="1" t="s">
        <v>18</v>
      </c>
      <c r="I653">
        <v>18</v>
      </c>
      <c r="J653" t="str">
        <f>IF(Titanic_Dataset[[#This Row],[Age]]&lt;12,"0-11",
IF(Titanic_Dataset[[#This Row],[Age]]&lt;20,"12-19",
IF(Titanic_Dataset[[#This Row],[Age]]&lt;30,"20-29",
IF(Titanic_Dataset[[#This Row],[Age]]&lt;40,"30-39",
IF(Titanic_Dataset[[#This Row],[Age]]&lt;50,"40-49",
IF(Titanic_Dataset[[#This Row],[Age]]&lt;60,"50-59",
IF(Titanic_Dataset[[#This Row],[Age]]&lt;70,"60-69",)))))))</f>
        <v>12-19</v>
      </c>
      <c r="K653">
        <v>0</v>
      </c>
      <c r="L653">
        <v>1</v>
      </c>
      <c r="M653">
        <f>Titanic_Dataset[[#This Row],[Parch]]+Titanic_Dataset[[#This Row],[SibSp]]</f>
        <v>1</v>
      </c>
      <c r="N653" s="1" t="s">
        <v>231</v>
      </c>
      <c r="O653">
        <v>23</v>
      </c>
      <c r="P653">
        <f>IF(Titanic_Dataset[[#This Row],[Survived]]=1,Titanic_Dataset[[#This Row],[Fare]],NA())</f>
        <v>23</v>
      </c>
      <c r="Q653" t="e">
        <f>IF(Titanic_Dataset[[#This Row],[Survived]]=0,Titanic_Dataset[[#This Row],[Fare]],NA())</f>
        <v>#N/A</v>
      </c>
      <c r="R653" t="str">
        <f>VLOOKUP(Titanic_Dataset[[#This Row],[Fare]],Table2[],2,TRUE)</f>
        <v>high</v>
      </c>
      <c r="S653" s="1" t="s">
        <v>15</v>
      </c>
      <c r="T653" s="1" t="s">
        <v>16</v>
      </c>
      <c r="U653" s="1"/>
      <c r="V653" s="1"/>
      <c r="W653" s="1"/>
    </row>
    <row r="654" spans="1:23" x14ac:dyDescent="0.25">
      <c r="A654">
        <v>653</v>
      </c>
      <c r="B654">
        <v>0</v>
      </c>
      <c r="C654" t="str">
        <f>IF(Titanic_Dataset[[#This Row],[Survived]]=1,"Survived","Died")</f>
        <v>Died</v>
      </c>
      <c r="D654">
        <v>3</v>
      </c>
      <c r="E654" t="str">
        <f>IF(Titanic_Dataset[[#This Row],[Pclass]]=1,"1st",IF(Titanic_Dataset[[#This Row],[Pclass]]=2,"2nd",IF(Titanic_Dataset[[#This Row],[Pclass]]=3,"3rd")))</f>
        <v>3rd</v>
      </c>
      <c r="F654" s="1" t="s">
        <v>1305</v>
      </c>
      <c r="G654" s="1" t="str">
        <f>TRIM(MID(Titanic_Dataset[[#This Row],[Name]],
FIND(",",Titanic_Dataset[[#This Row],[Name]])+2,
FIND(".",Titanic_Dataset[[#This Row],[Name]],FIND(",",Titanic_Dataset[[#This Row],[Name]]))-FIND(",",Titanic_Dataset[[#This Row],[Name]])-1))</f>
        <v>Mr.</v>
      </c>
      <c r="H654" s="1" t="s">
        <v>13</v>
      </c>
      <c r="I654">
        <v>21</v>
      </c>
      <c r="J65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54">
        <v>0</v>
      </c>
      <c r="L654">
        <v>0</v>
      </c>
      <c r="M654">
        <f>Titanic_Dataset[[#This Row],[Parch]]+Titanic_Dataset[[#This Row],[SibSp]]</f>
        <v>0</v>
      </c>
      <c r="N654" s="1" t="s">
        <v>1306</v>
      </c>
      <c r="O654">
        <v>8.4332999999999991</v>
      </c>
      <c r="P654" t="e">
        <f>IF(Titanic_Dataset[[#This Row],[Survived]]=1,Titanic_Dataset[[#This Row],[Fare]],NA())</f>
        <v>#N/A</v>
      </c>
      <c r="Q654">
        <f>IF(Titanic_Dataset[[#This Row],[Survived]]=0,Titanic_Dataset[[#This Row],[Fare]],NA())</f>
        <v>8.4332999999999991</v>
      </c>
      <c r="R654" t="str">
        <f>VLOOKUP(Titanic_Dataset[[#This Row],[Fare]],Table2[],2,TRUE)</f>
        <v>medium</v>
      </c>
      <c r="S654" s="1" t="s">
        <v>15</v>
      </c>
      <c r="T654" s="1" t="s">
        <v>16</v>
      </c>
      <c r="U654" s="1"/>
      <c r="V654" s="1"/>
      <c r="W654" s="1"/>
    </row>
    <row r="655" spans="1:23" x14ac:dyDescent="0.25">
      <c r="A655">
        <v>654</v>
      </c>
      <c r="B655">
        <v>1</v>
      </c>
      <c r="C655" t="str">
        <f>IF(Titanic_Dataset[[#This Row],[Survived]]=1,"Survived","Died")</f>
        <v>Survived</v>
      </c>
      <c r="D655">
        <v>3</v>
      </c>
      <c r="E655" t="str">
        <f>IF(Titanic_Dataset[[#This Row],[Pclass]]=1,"1st",IF(Titanic_Dataset[[#This Row],[Pclass]]=2,"2nd",IF(Titanic_Dataset[[#This Row],[Pclass]]=3,"3rd")))</f>
        <v>3rd</v>
      </c>
      <c r="F655" s="1" t="s">
        <v>1307</v>
      </c>
      <c r="G655" s="1" t="str">
        <f>TRIM(MID(Titanic_Dataset[[#This Row],[Name]],
FIND(",",Titanic_Dataset[[#This Row],[Name]])+2,
FIND(".",Titanic_Dataset[[#This Row],[Name]],FIND(",",Titanic_Dataset[[#This Row],[Name]]))-FIND(",",Titanic_Dataset[[#This Row],[Name]])-1))</f>
        <v>Miss.</v>
      </c>
      <c r="H655" s="1" t="s">
        <v>18</v>
      </c>
      <c r="I655">
        <v>28</v>
      </c>
      <c r="J65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55">
        <v>0</v>
      </c>
      <c r="L655">
        <v>0</v>
      </c>
      <c r="M655">
        <f>Titanic_Dataset[[#This Row],[Parch]]+Titanic_Dataset[[#This Row],[SibSp]]</f>
        <v>0</v>
      </c>
      <c r="N655" s="1" t="s">
        <v>1308</v>
      </c>
      <c r="O655">
        <v>7.8292000000000002</v>
      </c>
      <c r="P655">
        <f>IF(Titanic_Dataset[[#This Row],[Survived]]=1,Titanic_Dataset[[#This Row],[Fare]],NA())</f>
        <v>7.8292000000000002</v>
      </c>
      <c r="Q655" t="e">
        <f>IF(Titanic_Dataset[[#This Row],[Survived]]=0,Titanic_Dataset[[#This Row],[Fare]],NA())</f>
        <v>#N/A</v>
      </c>
      <c r="R655" t="str">
        <f>VLOOKUP(Titanic_Dataset[[#This Row],[Fare]],Table2[],2,TRUE)</f>
        <v>low</v>
      </c>
      <c r="S655" s="1" t="s">
        <v>15</v>
      </c>
      <c r="T655" s="1" t="s">
        <v>31</v>
      </c>
      <c r="U655" s="1"/>
      <c r="V655" s="1"/>
      <c r="W655" s="1"/>
    </row>
    <row r="656" spans="1:23" x14ac:dyDescent="0.25">
      <c r="A656">
        <v>655</v>
      </c>
      <c r="B656">
        <v>0</v>
      </c>
      <c r="C656" t="str">
        <f>IF(Titanic_Dataset[[#This Row],[Survived]]=1,"Survived","Died")</f>
        <v>Died</v>
      </c>
      <c r="D656">
        <v>3</v>
      </c>
      <c r="E656" t="str">
        <f>IF(Titanic_Dataset[[#This Row],[Pclass]]=1,"1st",IF(Titanic_Dataset[[#This Row],[Pclass]]=2,"2nd",IF(Titanic_Dataset[[#This Row],[Pclass]]=3,"3rd")))</f>
        <v>3rd</v>
      </c>
      <c r="F656" s="1" t="s">
        <v>1309</v>
      </c>
      <c r="G656" s="1" t="str">
        <f>TRIM(MID(Titanic_Dataset[[#This Row],[Name]],
FIND(",",Titanic_Dataset[[#This Row],[Name]])+2,
FIND(".",Titanic_Dataset[[#This Row],[Name]],FIND(",",Titanic_Dataset[[#This Row],[Name]]))-FIND(",",Titanic_Dataset[[#This Row],[Name]])-1))</f>
        <v>Miss.</v>
      </c>
      <c r="H656" s="1" t="s">
        <v>18</v>
      </c>
      <c r="I656">
        <v>18</v>
      </c>
      <c r="J656" t="str">
        <f>IF(Titanic_Dataset[[#This Row],[Age]]&lt;12,"0-11",
IF(Titanic_Dataset[[#This Row],[Age]]&lt;20,"12-19",
IF(Titanic_Dataset[[#This Row],[Age]]&lt;30,"20-29",
IF(Titanic_Dataset[[#This Row],[Age]]&lt;40,"30-39",
IF(Titanic_Dataset[[#This Row],[Age]]&lt;50,"40-49",
IF(Titanic_Dataset[[#This Row],[Age]]&lt;60,"50-59",
IF(Titanic_Dataset[[#This Row],[Age]]&lt;70,"60-69",)))))))</f>
        <v>12-19</v>
      </c>
      <c r="K656">
        <v>0</v>
      </c>
      <c r="L656">
        <v>0</v>
      </c>
      <c r="M656">
        <f>Titanic_Dataset[[#This Row],[Parch]]+Titanic_Dataset[[#This Row],[SibSp]]</f>
        <v>0</v>
      </c>
      <c r="N656" s="1" t="s">
        <v>1310</v>
      </c>
      <c r="O656">
        <v>6.75</v>
      </c>
      <c r="P656" t="e">
        <f>IF(Titanic_Dataset[[#This Row],[Survived]]=1,Titanic_Dataset[[#This Row],[Fare]],NA())</f>
        <v>#N/A</v>
      </c>
      <c r="Q656">
        <f>IF(Titanic_Dataset[[#This Row],[Survived]]=0,Titanic_Dataset[[#This Row],[Fare]],NA())</f>
        <v>6.75</v>
      </c>
      <c r="R656" t="str">
        <f>VLOOKUP(Titanic_Dataset[[#This Row],[Fare]],Table2[],2,TRUE)</f>
        <v>low</v>
      </c>
      <c r="S656" s="1" t="s">
        <v>15</v>
      </c>
      <c r="T656" s="1" t="s">
        <v>31</v>
      </c>
      <c r="U656" s="1"/>
      <c r="V656" s="1"/>
      <c r="W656" s="1"/>
    </row>
    <row r="657" spans="1:23" x14ac:dyDescent="0.25">
      <c r="A657">
        <v>656</v>
      </c>
      <c r="B657">
        <v>0</v>
      </c>
      <c r="C657" t="str">
        <f>IF(Titanic_Dataset[[#This Row],[Survived]]=1,"Survived","Died")</f>
        <v>Died</v>
      </c>
      <c r="D657">
        <v>2</v>
      </c>
      <c r="E657" t="str">
        <f>IF(Titanic_Dataset[[#This Row],[Pclass]]=1,"1st",IF(Titanic_Dataset[[#This Row],[Pclass]]=2,"2nd",IF(Titanic_Dataset[[#This Row],[Pclass]]=3,"3rd")))</f>
        <v>2nd</v>
      </c>
      <c r="F657" s="1" t="s">
        <v>1311</v>
      </c>
      <c r="G657" s="1" t="str">
        <f>TRIM(MID(Titanic_Dataset[[#This Row],[Name]],
FIND(",",Titanic_Dataset[[#This Row],[Name]])+2,
FIND(".",Titanic_Dataset[[#This Row],[Name]],FIND(",",Titanic_Dataset[[#This Row],[Name]]))-FIND(",",Titanic_Dataset[[#This Row],[Name]])-1))</f>
        <v>Mr.</v>
      </c>
      <c r="H657" s="1" t="s">
        <v>13</v>
      </c>
      <c r="I657">
        <v>24</v>
      </c>
      <c r="J65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57">
        <v>2</v>
      </c>
      <c r="L657">
        <v>0</v>
      </c>
      <c r="M657">
        <f>Titanic_Dataset[[#This Row],[Parch]]+Titanic_Dataset[[#This Row],[SibSp]]</f>
        <v>2</v>
      </c>
      <c r="N657" s="1" t="s">
        <v>176</v>
      </c>
      <c r="O657">
        <v>73.5</v>
      </c>
      <c r="P657" t="e">
        <f>IF(Titanic_Dataset[[#This Row],[Survived]]=1,Titanic_Dataset[[#This Row],[Fare]],NA())</f>
        <v>#N/A</v>
      </c>
      <c r="Q657">
        <f>IF(Titanic_Dataset[[#This Row],[Survived]]=0,Titanic_Dataset[[#This Row],[Fare]],NA())</f>
        <v>73.5</v>
      </c>
      <c r="R657" t="str">
        <f>VLOOKUP(Titanic_Dataset[[#This Row],[Fare]],Table2[],2,TRUE)</f>
        <v>very hiegh</v>
      </c>
      <c r="S657" s="1" t="s">
        <v>15</v>
      </c>
      <c r="T657" s="1" t="s">
        <v>16</v>
      </c>
      <c r="U657" s="1"/>
      <c r="V657" s="1"/>
      <c r="W657" s="1"/>
    </row>
    <row r="658" spans="1:23" x14ac:dyDescent="0.25">
      <c r="A658">
        <v>657</v>
      </c>
      <c r="B658">
        <v>0</v>
      </c>
      <c r="C658" t="str">
        <f>IF(Titanic_Dataset[[#This Row],[Survived]]=1,"Survived","Died")</f>
        <v>Died</v>
      </c>
      <c r="D658">
        <v>3</v>
      </c>
      <c r="E658" t="str">
        <f>IF(Titanic_Dataset[[#This Row],[Pclass]]=1,"1st",IF(Titanic_Dataset[[#This Row],[Pclass]]=2,"2nd",IF(Titanic_Dataset[[#This Row],[Pclass]]=3,"3rd")))</f>
        <v>3rd</v>
      </c>
      <c r="F658" s="1" t="s">
        <v>1312</v>
      </c>
      <c r="G658" s="1" t="str">
        <f>TRIM(MID(Titanic_Dataset[[#This Row],[Name]],
FIND(",",Titanic_Dataset[[#This Row],[Name]])+2,
FIND(".",Titanic_Dataset[[#This Row],[Name]],FIND(",",Titanic_Dataset[[#This Row],[Name]]))-FIND(",",Titanic_Dataset[[#This Row],[Name]])-1))</f>
        <v>Mr.</v>
      </c>
      <c r="H658" s="1" t="s">
        <v>13</v>
      </c>
      <c r="I658">
        <v>28</v>
      </c>
      <c r="J65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58">
        <v>0</v>
      </c>
      <c r="L658">
        <v>0</v>
      </c>
      <c r="M658">
        <f>Titanic_Dataset[[#This Row],[Parch]]+Titanic_Dataset[[#This Row],[SibSp]]</f>
        <v>0</v>
      </c>
      <c r="N658" s="1" t="s">
        <v>1313</v>
      </c>
      <c r="O658">
        <v>7.8958000000000004</v>
      </c>
      <c r="P658" t="e">
        <f>IF(Titanic_Dataset[[#This Row],[Survived]]=1,Titanic_Dataset[[#This Row],[Fare]],NA())</f>
        <v>#N/A</v>
      </c>
      <c r="Q658">
        <f>IF(Titanic_Dataset[[#This Row],[Survived]]=0,Titanic_Dataset[[#This Row],[Fare]],NA())</f>
        <v>7.8958000000000004</v>
      </c>
      <c r="R658" t="str">
        <f>VLOOKUP(Titanic_Dataset[[#This Row],[Fare]],Table2[],2,TRUE)</f>
        <v>low</v>
      </c>
      <c r="S658" s="1" t="s">
        <v>15</v>
      </c>
      <c r="T658" s="1" t="s">
        <v>16</v>
      </c>
      <c r="U658" s="1"/>
      <c r="V658" s="1"/>
      <c r="W658" s="1"/>
    </row>
    <row r="659" spans="1:23" x14ac:dyDescent="0.25">
      <c r="A659">
        <v>658</v>
      </c>
      <c r="B659">
        <v>0</v>
      </c>
      <c r="C659" t="str">
        <f>IF(Titanic_Dataset[[#This Row],[Survived]]=1,"Survived","Died")</f>
        <v>Died</v>
      </c>
      <c r="D659">
        <v>3</v>
      </c>
      <c r="E659" t="str">
        <f>IF(Titanic_Dataset[[#This Row],[Pclass]]=1,"1st",IF(Titanic_Dataset[[#This Row],[Pclass]]=2,"2nd",IF(Titanic_Dataset[[#This Row],[Pclass]]=3,"3rd")))</f>
        <v>3rd</v>
      </c>
      <c r="F659" s="1" t="s">
        <v>1314</v>
      </c>
      <c r="G659" s="1" t="str">
        <f>TRIM(MID(Titanic_Dataset[[#This Row],[Name]],
FIND(",",Titanic_Dataset[[#This Row],[Name]])+2,
FIND(".",Titanic_Dataset[[#This Row],[Name]],FIND(",",Titanic_Dataset[[#This Row],[Name]]))-FIND(",",Titanic_Dataset[[#This Row],[Name]])-1))</f>
        <v>Mrs.</v>
      </c>
      <c r="H659" s="1" t="s">
        <v>18</v>
      </c>
      <c r="I659">
        <v>32</v>
      </c>
      <c r="J659" t="str">
        <f>IF(Titanic_Dataset[[#This Row],[Age]]&lt;12,"0-11",
IF(Titanic_Dataset[[#This Row],[Age]]&lt;20,"12-19",
IF(Titanic_Dataset[[#This Row],[Age]]&lt;30,"20-29",
IF(Titanic_Dataset[[#This Row],[Age]]&lt;40,"30-39",
IF(Titanic_Dataset[[#This Row],[Age]]&lt;50,"40-49",
IF(Titanic_Dataset[[#This Row],[Age]]&lt;60,"50-59",
IF(Titanic_Dataset[[#This Row],[Age]]&lt;70,"60-69",)))))))</f>
        <v>30-39</v>
      </c>
      <c r="K659">
        <v>1</v>
      </c>
      <c r="L659">
        <v>1</v>
      </c>
      <c r="M659">
        <f>Titanic_Dataset[[#This Row],[Parch]]+Titanic_Dataset[[#This Row],[SibSp]]</f>
        <v>2</v>
      </c>
      <c r="N659" s="1" t="s">
        <v>411</v>
      </c>
      <c r="O659">
        <v>15.5</v>
      </c>
      <c r="P659" t="e">
        <f>IF(Titanic_Dataset[[#This Row],[Survived]]=1,Titanic_Dataset[[#This Row],[Fare]],NA())</f>
        <v>#N/A</v>
      </c>
      <c r="Q659">
        <f>IF(Titanic_Dataset[[#This Row],[Survived]]=0,Titanic_Dataset[[#This Row],[Fare]],NA())</f>
        <v>15.5</v>
      </c>
      <c r="R659" t="str">
        <f>VLOOKUP(Titanic_Dataset[[#This Row],[Fare]],Table2[],2,TRUE)</f>
        <v>high</v>
      </c>
      <c r="S659" s="1" t="s">
        <v>15</v>
      </c>
      <c r="T659" s="1" t="s">
        <v>31</v>
      </c>
      <c r="U659" s="1"/>
      <c r="V659" s="1"/>
      <c r="W659" s="1"/>
    </row>
    <row r="660" spans="1:23" x14ac:dyDescent="0.25">
      <c r="A660">
        <v>659</v>
      </c>
      <c r="B660">
        <v>0</v>
      </c>
      <c r="C660" t="str">
        <f>IF(Titanic_Dataset[[#This Row],[Survived]]=1,"Survived","Died")</f>
        <v>Died</v>
      </c>
      <c r="D660">
        <v>2</v>
      </c>
      <c r="E660" t="str">
        <f>IF(Titanic_Dataset[[#This Row],[Pclass]]=1,"1st",IF(Titanic_Dataset[[#This Row],[Pclass]]=2,"2nd",IF(Titanic_Dataset[[#This Row],[Pclass]]=3,"3rd")))</f>
        <v>2nd</v>
      </c>
      <c r="F660" s="1" t="s">
        <v>1315</v>
      </c>
      <c r="G660" s="1" t="str">
        <f>TRIM(MID(Titanic_Dataset[[#This Row],[Name]],
FIND(",",Titanic_Dataset[[#This Row],[Name]])+2,
FIND(".",Titanic_Dataset[[#This Row],[Name]],FIND(",",Titanic_Dataset[[#This Row],[Name]]))-FIND(",",Titanic_Dataset[[#This Row],[Name]])-1))</f>
        <v>Mr.</v>
      </c>
      <c r="H660" s="1" t="s">
        <v>13</v>
      </c>
      <c r="I660">
        <v>23</v>
      </c>
      <c r="J66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60">
        <v>0</v>
      </c>
      <c r="L660">
        <v>0</v>
      </c>
      <c r="M660">
        <f>Titanic_Dataset[[#This Row],[Parch]]+Titanic_Dataset[[#This Row],[SibSp]]</f>
        <v>0</v>
      </c>
      <c r="N660" s="1" t="s">
        <v>1316</v>
      </c>
      <c r="O660">
        <v>13</v>
      </c>
      <c r="P660" t="e">
        <f>IF(Titanic_Dataset[[#This Row],[Survived]]=1,Titanic_Dataset[[#This Row],[Fare]],NA())</f>
        <v>#N/A</v>
      </c>
      <c r="Q660">
        <f>IF(Titanic_Dataset[[#This Row],[Survived]]=0,Titanic_Dataset[[#This Row],[Fare]],NA())</f>
        <v>13</v>
      </c>
      <c r="R660" t="str">
        <f>VLOOKUP(Titanic_Dataset[[#This Row],[Fare]],Table2[],2,TRUE)</f>
        <v>medium</v>
      </c>
      <c r="S660" s="1" t="s">
        <v>15</v>
      </c>
      <c r="T660" s="1" t="s">
        <v>16</v>
      </c>
      <c r="U660" s="1"/>
      <c r="V660" s="1"/>
      <c r="W660" s="1"/>
    </row>
    <row r="661" spans="1:23" x14ac:dyDescent="0.25">
      <c r="A661">
        <v>660</v>
      </c>
      <c r="B661">
        <v>0</v>
      </c>
      <c r="C661" t="str">
        <f>IF(Titanic_Dataset[[#This Row],[Survived]]=1,"Survived","Died")</f>
        <v>Died</v>
      </c>
      <c r="D661">
        <v>1</v>
      </c>
      <c r="E661" t="str">
        <f>IF(Titanic_Dataset[[#This Row],[Pclass]]=1,"1st",IF(Titanic_Dataset[[#This Row],[Pclass]]=2,"2nd",IF(Titanic_Dataset[[#This Row],[Pclass]]=3,"3rd")))</f>
        <v>1st</v>
      </c>
      <c r="F661" s="1" t="s">
        <v>1317</v>
      </c>
      <c r="G661" s="1" t="str">
        <f>TRIM(MID(Titanic_Dataset[[#This Row],[Name]],
FIND(",",Titanic_Dataset[[#This Row],[Name]])+2,
FIND(".",Titanic_Dataset[[#This Row],[Name]],FIND(",",Titanic_Dataset[[#This Row],[Name]]))-FIND(",",Titanic_Dataset[[#This Row],[Name]])-1))</f>
        <v>Mr.</v>
      </c>
      <c r="H661" s="1" t="s">
        <v>13</v>
      </c>
      <c r="I661">
        <v>58</v>
      </c>
      <c r="J661" t="str">
        <f>IF(Titanic_Dataset[[#This Row],[Age]]&lt;12,"0-11",
IF(Titanic_Dataset[[#This Row],[Age]]&lt;20,"12-19",
IF(Titanic_Dataset[[#This Row],[Age]]&lt;30,"20-29",
IF(Titanic_Dataset[[#This Row],[Age]]&lt;40,"30-39",
IF(Titanic_Dataset[[#This Row],[Age]]&lt;50,"40-49",
IF(Titanic_Dataset[[#This Row],[Age]]&lt;60,"50-59",
IF(Titanic_Dataset[[#This Row],[Age]]&lt;70,"60-69",)))))))</f>
        <v>50-59</v>
      </c>
      <c r="K661">
        <v>0</v>
      </c>
      <c r="L661">
        <v>2</v>
      </c>
      <c r="M661">
        <f>Titanic_Dataset[[#This Row],[Parch]]+Titanic_Dataset[[#This Row],[SibSp]]</f>
        <v>2</v>
      </c>
      <c r="N661" s="1" t="s">
        <v>464</v>
      </c>
      <c r="O661">
        <v>113.27500000000001</v>
      </c>
      <c r="P661" t="e">
        <f>IF(Titanic_Dataset[[#This Row],[Survived]]=1,Titanic_Dataset[[#This Row],[Fare]],NA())</f>
        <v>#N/A</v>
      </c>
      <c r="Q661">
        <f>IF(Titanic_Dataset[[#This Row],[Survived]]=0,Titanic_Dataset[[#This Row],[Fare]],NA())</f>
        <v>113.27500000000001</v>
      </c>
      <c r="R661" t="str">
        <f>VLOOKUP(Titanic_Dataset[[#This Row],[Fare]],Table2[],2,TRUE)</f>
        <v>very hiegh</v>
      </c>
      <c r="S661" s="1" t="s">
        <v>1318</v>
      </c>
      <c r="T661" s="1" t="s">
        <v>21</v>
      </c>
      <c r="U661" s="1"/>
      <c r="V661" s="1"/>
      <c r="W661" s="1"/>
    </row>
    <row r="662" spans="1:23" x14ac:dyDescent="0.25">
      <c r="A662">
        <v>661</v>
      </c>
      <c r="B662">
        <v>1</v>
      </c>
      <c r="C662" t="str">
        <f>IF(Titanic_Dataset[[#This Row],[Survived]]=1,"Survived","Died")</f>
        <v>Survived</v>
      </c>
      <c r="D662">
        <v>1</v>
      </c>
      <c r="E662" t="str">
        <f>IF(Titanic_Dataset[[#This Row],[Pclass]]=1,"1st",IF(Titanic_Dataset[[#This Row],[Pclass]]=2,"2nd",IF(Titanic_Dataset[[#This Row],[Pclass]]=3,"3rd")))</f>
        <v>1st</v>
      </c>
      <c r="F662" s="1" t="s">
        <v>1319</v>
      </c>
      <c r="G662" s="1" t="str">
        <f>TRIM(MID(Titanic_Dataset[[#This Row],[Name]],
FIND(",",Titanic_Dataset[[#This Row],[Name]])+2,
FIND(".",Titanic_Dataset[[#This Row],[Name]],FIND(",",Titanic_Dataset[[#This Row],[Name]]))-FIND(",",Titanic_Dataset[[#This Row],[Name]])-1))</f>
        <v>Dr.</v>
      </c>
      <c r="H662" s="1" t="s">
        <v>13</v>
      </c>
      <c r="I662">
        <v>50</v>
      </c>
      <c r="J662" t="str">
        <f>IF(Titanic_Dataset[[#This Row],[Age]]&lt;12,"0-11",
IF(Titanic_Dataset[[#This Row],[Age]]&lt;20,"12-19",
IF(Titanic_Dataset[[#This Row],[Age]]&lt;30,"20-29",
IF(Titanic_Dataset[[#This Row],[Age]]&lt;40,"30-39",
IF(Titanic_Dataset[[#This Row],[Age]]&lt;50,"40-49",
IF(Titanic_Dataset[[#This Row],[Age]]&lt;60,"50-59",
IF(Titanic_Dataset[[#This Row],[Age]]&lt;70,"60-69",)))))))</f>
        <v>50-59</v>
      </c>
      <c r="K662">
        <v>2</v>
      </c>
      <c r="L662">
        <v>0</v>
      </c>
      <c r="M662">
        <f>Titanic_Dataset[[#This Row],[Parch]]+Titanic_Dataset[[#This Row],[SibSp]]</f>
        <v>2</v>
      </c>
      <c r="N662" s="1" t="s">
        <v>710</v>
      </c>
      <c r="O662">
        <v>133.65</v>
      </c>
      <c r="P662">
        <f>IF(Titanic_Dataset[[#This Row],[Survived]]=1,Titanic_Dataset[[#This Row],[Fare]],NA())</f>
        <v>133.65</v>
      </c>
      <c r="Q662" t="e">
        <f>IF(Titanic_Dataset[[#This Row],[Survived]]=0,Titanic_Dataset[[#This Row],[Fare]],NA())</f>
        <v>#N/A</v>
      </c>
      <c r="R662" t="str">
        <f>VLOOKUP(Titanic_Dataset[[#This Row],[Fare]],Table2[],2,TRUE)</f>
        <v>very hiegh</v>
      </c>
      <c r="S662" s="1" t="s">
        <v>15</v>
      </c>
      <c r="T662" s="1" t="s">
        <v>16</v>
      </c>
      <c r="U662" s="1"/>
      <c r="V662" s="1"/>
      <c r="W662" s="1"/>
    </row>
    <row r="663" spans="1:23" x14ac:dyDescent="0.25">
      <c r="A663">
        <v>662</v>
      </c>
      <c r="B663">
        <v>0</v>
      </c>
      <c r="C663" t="str">
        <f>IF(Titanic_Dataset[[#This Row],[Survived]]=1,"Survived","Died")</f>
        <v>Died</v>
      </c>
      <c r="D663">
        <v>3</v>
      </c>
      <c r="E663" t="str">
        <f>IF(Titanic_Dataset[[#This Row],[Pclass]]=1,"1st",IF(Titanic_Dataset[[#This Row],[Pclass]]=2,"2nd",IF(Titanic_Dataset[[#This Row],[Pclass]]=3,"3rd")))</f>
        <v>3rd</v>
      </c>
      <c r="F663" s="1" t="s">
        <v>1320</v>
      </c>
      <c r="G663" s="1" t="str">
        <f>TRIM(MID(Titanic_Dataset[[#This Row],[Name]],
FIND(",",Titanic_Dataset[[#This Row],[Name]])+2,
FIND(".",Titanic_Dataset[[#This Row],[Name]],FIND(",",Titanic_Dataset[[#This Row],[Name]]))-FIND(",",Titanic_Dataset[[#This Row],[Name]])-1))</f>
        <v>Mr.</v>
      </c>
      <c r="H663" s="1" t="s">
        <v>13</v>
      </c>
      <c r="I663">
        <v>40</v>
      </c>
      <c r="J663" t="str">
        <f>IF(Titanic_Dataset[[#This Row],[Age]]&lt;12,"0-11",
IF(Titanic_Dataset[[#This Row],[Age]]&lt;20,"12-19",
IF(Titanic_Dataset[[#This Row],[Age]]&lt;30,"20-29",
IF(Titanic_Dataset[[#This Row],[Age]]&lt;40,"30-39",
IF(Titanic_Dataset[[#This Row],[Age]]&lt;50,"40-49",
IF(Titanic_Dataset[[#This Row],[Age]]&lt;60,"50-59",
IF(Titanic_Dataset[[#This Row],[Age]]&lt;70,"60-69",)))))))</f>
        <v>40-49</v>
      </c>
      <c r="K663">
        <v>0</v>
      </c>
      <c r="L663">
        <v>0</v>
      </c>
      <c r="M663">
        <f>Titanic_Dataset[[#This Row],[Parch]]+Titanic_Dataset[[#This Row],[SibSp]]</f>
        <v>0</v>
      </c>
      <c r="N663" s="1" t="s">
        <v>1321</v>
      </c>
      <c r="O663">
        <v>7.2249999999999996</v>
      </c>
      <c r="P663" t="e">
        <f>IF(Titanic_Dataset[[#This Row],[Survived]]=1,Titanic_Dataset[[#This Row],[Fare]],NA())</f>
        <v>#N/A</v>
      </c>
      <c r="Q663">
        <f>IF(Titanic_Dataset[[#This Row],[Survived]]=0,Titanic_Dataset[[#This Row],[Fare]],NA())</f>
        <v>7.2249999999999996</v>
      </c>
      <c r="R663" t="str">
        <f>VLOOKUP(Titanic_Dataset[[#This Row],[Fare]],Table2[],2,TRUE)</f>
        <v>low</v>
      </c>
      <c r="S663" s="1" t="s">
        <v>15</v>
      </c>
      <c r="T663" s="1" t="s">
        <v>21</v>
      </c>
      <c r="U663" s="1"/>
      <c r="V663" s="1"/>
      <c r="W663" s="1"/>
    </row>
    <row r="664" spans="1:23" x14ac:dyDescent="0.25">
      <c r="A664">
        <v>663</v>
      </c>
      <c r="B664">
        <v>0</v>
      </c>
      <c r="C664" t="str">
        <f>IF(Titanic_Dataset[[#This Row],[Survived]]=1,"Survived","Died")</f>
        <v>Died</v>
      </c>
      <c r="D664">
        <v>1</v>
      </c>
      <c r="E664" t="str">
        <f>IF(Titanic_Dataset[[#This Row],[Pclass]]=1,"1st",IF(Titanic_Dataset[[#This Row],[Pclass]]=2,"2nd",IF(Titanic_Dataset[[#This Row],[Pclass]]=3,"3rd")))</f>
        <v>1st</v>
      </c>
      <c r="F664" s="1" t="s">
        <v>1322</v>
      </c>
      <c r="G664" s="1" t="str">
        <f>TRIM(MID(Titanic_Dataset[[#This Row],[Name]],
FIND(",",Titanic_Dataset[[#This Row],[Name]])+2,
FIND(".",Titanic_Dataset[[#This Row],[Name]],FIND(",",Titanic_Dataset[[#This Row],[Name]]))-FIND(",",Titanic_Dataset[[#This Row],[Name]])-1))</f>
        <v>Mr.</v>
      </c>
      <c r="H664" s="1" t="s">
        <v>13</v>
      </c>
      <c r="I664">
        <v>47</v>
      </c>
      <c r="J664" t="str">
        <f>IF(Titanic_Dataset[[#This Row],[Age]]&lt;12,"0-11",
IF(Titanic_Dataset[[#This Row],[Age]]&lt;20,"12-19",
IF(Titanic_Dataset[[#This Row],[Age]]&lt;30,"20-29",
IF(Titanic_Dataset[[#This Row],[Age]]&lt;40,"30-39",
IF(Titanic_Dataset[[#This Row],[Age]]&lt;50,"40-49",
IF(Titanic_Dataset[[#This Row],[Age]]&lt;60,"50-59",
IF(Titanic_Dataset[[#This Row],[Age]]&lt;70,"60-69",)))))))</f>
        <v>40-49</v>
      </c>
      <c r="K664">
        <v>0</v>
      </c>
      <c r="L664">
        <v>0</v>
      </c>
      <c r="M664">
        <f>Titanic_Dataset[[#This Row],[Parch]]+Titanic_Dataset[[#This Row],[SibSp]]</f>
        <v>0</v>
      </c>
      <c r="N664" s="1" t="s">
        <v>1323</v>
      </c>
      <c r="O664">
        <v>25.587499999999999</v>
      </c>
      <c r="P664" t="e">
        <f>IF(Titanic_Dataset[[#This Row],[Survived]]=1,Titanic_Dataset[[#This Row],[Fare]],NA())</f>
        <v>#N/A</v>
      </c>
      <c r="Q664">
        <f>IF(Titanic_Dataset[[#This Row],[Survived]]=0,Titanic_Dataset[[#This Row],[Fare]],NA())</f>
        <v>25.587499999999999</v>
      </c>
      <c r="R664" t="str">
        <f>VLOOKUP(Titanic_Dataset[[#This Row],[Fare]],Table2[],2,TRUE)</f>
        <v>high</v>
      </c>
      <c r="S664" s="1" t="s">
        <v>1324</v>
      </c>
      <c r="T664" s="1" t="s">
        <v>16</v>
      </c>
      <c r="U664" s="1"/>
      <c r="V664" s="1"/>
      <c r="W664" s="1"/>
    </row>
    <row r="665" spans="1:23" x14ac:dyDescent="0.25">
      <c r="A665">
        <v>664</v>
      </c>
      <c r="B665">
        <v>0</v>
      </c>
      <c r="C665" t="str">
        <f>IF(Titanic_Dataset[[#This Row],[Survived]]=1,"Survived","Died")</f>
        <v>Died</v>
      </c>
      <c r="D665">
        <v>3</v>
      </c>
      <c r="E665" t="str">
        <f>IF(Titanic_Dataset[[#This Row],[Pclass]]=1,"1st",IF(Titanic_Dataset[[#This Row],[Pclass]]=2,"2nd",IF(Titanic_Dataset[[#This Row],[Pclass]]=3,"3rd")))</f>
        <v>3rd</v>
      </c>
      <c r="F665" s="1" t="s">
        <v>1325</v>
      </c>
      <c r="G665" s="1" t="str">
        <f>TRIM(MID(Titanic_Dataset[[#This Row],[Name]],
FIND(",",Titanic_Dataset[[#This Row],[Name]])+2,
FIND(".",Titanic_Dataset[[#This Row],[Name]],FIND(",",Titanic_Dataset[[#This Row],[Name]]))-FIND(",",Titanic_Dataset[[#This Row],[Name]])-1))</f>
        <v>Mr.</v>
      </c>
      <c r="H665" s="1" t="s">
        <v>13</v>
      </c>
      <c r="I665">
        <v>36</v>
      </c>
      <c r="J665" t="str">
        <f>IF(Titanic_Dataset[[#This Row],[Age]]&lt;12,"0-11",
IF(Titanic_Dataset[[#This Row],[Age]]&lt;20,"12-19",
IF(Titanic_Dataset[[#This Row],[Age]]&lt;30,"20-29",
IF(Titanic_Dataset[[#This Row],[Age]]&lt;40,"30-39",
IF(Titanic_Dataset[[#This Row],[Age]]&lt;50,"40-49",
IF(Titanic_Dataset[[#This Row],[Age]]&lt;60,"50-59",
IF(Titanic_Dataset[[#This Row],[Age]]&lt;70,"60-69",)))))))</f>
        <v>30-39</v>
      </c>
      <c r="K665">
        <v>0</v>
      </c>
      <c r="L665">
        <v>0</v>
      </c>
      <c r="M665">
        <f>Titanic_Dataset[[#This Row],[Parch]]+Titanic_Dataset[[#This Row],[SibSp]]</f>
        <v>0</v>
      </c>
      <c r="N665" s="1" t="s">
        <v>1326</v>
      </c>
      <c r="O665">
        <v>7.4958</v>
      </c>
      <c r="P665" t="e">
        <f>IF(Titanic_Dataset[[#This Row],[Survived]]=1,Titanic_Dataset[[#This Row],[Fare]],NA())</f>
        <v>#N/A</v>
      </c>
      <c r="Q665">
        <f>IF(Titanic_Dataset[[#This Row],[Survived]]=0,Titanic_Dataset[[#This Row],[Fare]],NA())</f>
        <v>7.4958</v>
      </c>
      <c r="R665" t="str">
        <f>VLOOKUP(Titanic_Dataset[[#This Row],[Fare]],Table2[],2,TRUE)</f>
        <v>low</v>
      </c>
      <c r="S665" s="1" t="s">
        <v>15</v>
      </c>
      <c r="T665" s="1" t="s">
        <v>16</v>
      </c>
      <c r="U665" s="1"/>
      <c r="V665" s="1"/>
      <c r="W665" s="1"/>
    </row>
    <row r="666" spans="1:23" x14ac:dyDescent="0.25">
      <c r="A666">
        <v>665</v>
      </c>
      <c r="B666">
        <v>1</v>
      </c>
      <c r="C666" t="str">
        <f>IF(Titanic_Dataset[[#This Row],[Survived]]=1,"Survived","Died")</f>
        <v>Survived</v>
      </c>
      <c r="D666">
        <v>3</v>
      </c>
      <c r="E666" t="str">
        <f>IF(Titanic_Dataset[[#This Row],[Pclass]]=1,"1st",IF(Titanic_Dataset[[#This Row],[Pclass]]=2,"2nd",IF(Titanic_Dataset[[#This Row],[Pclass]]=3,"3rd")))</f>
        <v>3rd</v>
      </c>
      <c r="F666" s="1" t="s">
        <v>1327</v>
      </c>
      <c r="G666" s="1" t="str">
        <f>TRIM(MID(Titanic_Dataset[[#This Row],[Name]],
FIND(",",Titanic_Dataset[[#This Row],[Name]])+2,
FIND(".",Titanic_Dataset[[#This Row],[Name]],FIND(",",Titanic_Dataset[[#This Row],[Name]]))-FIND(",",Titanic_Dataset[[#This Row],[Name]])-1))</f>
        <v>Mr.</v>
      </c>
      <c r="H666" s="1" t="s">
        <v>13</v>
      </c>
      <c r="I666">
        <v>20</v>
      </c>
      <c r="J66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66">
        <v>1</v>
      </c>
      <c r="L666">
        <v>0</v>
      </c>
      <c r="M666">
        <f>Titanic_Dataset[[#This Row],[Parch]]+Titanic_Dataset[[#This Row],[SibSp]]</f>
        <v>1</v>
      </c>
      <c r="N666" s="1" t="s">
        <v>1328</v>
      </c>
      <c r="O666">
        <v>7.9249999999999998</v>
      </c>
      <c r="P666">
        <f>IF(Titanic_Dataset[[#This Row],[Survived]]=1,Titanic_Dataset[[#This Row],[Fare]],NA())</f>
        <v>7.9249999999999998</v>
      </c>
      <c r="Q666" t="e">
        <f>IF(Titanic_Dataset[[#This Row],[Survived]]=0,Titanic_Dataset[[#This Row],[Fare]],NA())</f>
        <v>#N/A</v>
      </c>
      <c r="R666" t="str">
        <f>VLOOKUP(Titanic_Dataset[[#This Row],[Fare]],Table2[],2,TRUE)</f>
        <v>low</v>
      </c>
      <c r="S666" s="1" t="s">
        <v>15</v>
      </c>
      <c r="T666" s="1" t="s">
        <v>16</v>
      </c>
      <c r="U666" s="1"/>
      <c r="V666" s="1"/>
      <c r="W666" s="1"/>
    </row>
    <row r="667" spans="1:23" x14ac:dyDescent="0.25">
      <c r="A667">
        <v>666</v>
      </c>
      <c r="B667">
        <v>0</v>
      </c>
      <c r="C667" t="str">
        <f>IF(Titanic_Dataset[[#This Row],[Survived]]=1,"Survived","Died")</f>
        <v>Died</v>
      </c>
      <c r="D667">
        <v>2</v>
      </c>
      <c r="E667" t="str">
        <f>IF(Titanic_Dataset[[#This Row],[Pclass]]=1,"1st",IF(Titanic_Dataset[[#This Row],[Pclass]]=2,"2nd",IF(Titanic_Dataset[[#This Row],[Pclass]]=3,"3rd")))</f>
        <v>2nd</v>
      </c>
      <c r="F667" s="1" t="s">
        <v>1329</v>
      </c>
      <c r="G667" s="1" t="str">
        <f>TRIM(MID(Titanic_Dataset[[#This Row],[Name]],
FIND(",",Titanic_Dataset[[#This Row],[Name]])+2,
FIND(".",Titanic_Dataset[[#This Row],[Name]],FIND(",",Titanic_Dataset[[#This Row],[Name]]))-FIND(",",Titanic_Dataset[[#This Row],[Name]])-1))</f>
        <v>Mr.</v>
      </c>
      <c r="H667" s="1" t="s">
        <v>13</v>
      </c>
      <c r="I667">
        <v>32</v>
      </c>
      <c r="J667" t="str">
        <f>IF(Titanic_Dataset[[#This Row],[Age]]&lt;12,"0-11",
IF(Titanic_Dataset[[#This Row],[Age]]&lt;20,"12-19",
IF(Titanic_Dataset[[#This Row],[Age]]&lt;30,"20-29",
IF(Titanic_Dataset[[#This Row],[Age]]&lt;40,"30-39",
IF(Titanic_Dataset[[#This Row],[Age]]&lt;50,"40-49",
IF(Titanic_Dataset[[#This Row],[Age]]&lt;60,"50-59",
IF(Titanic_Dataset[[#This Row],[Age]]&lt;70,"60-69",)))))))</f>
        <v>30-39</v>
      </c>
      <c r="K667">
        <v>2</v>
      </c>
      <c r="L667">
        <v>0</v>
      </c>
      <c r="M667">
        <f>Titanic_Dataset[[#This Row],[Parch]]+Titanic_Dataset[[#This Row],[SibSp]]</f>
        <v>2</v>
      </c>
      <c r="N667" s="1" t="s">
        <v>176</v>
      </c>
      <c r="O667">
        <v>73.5</v>
      </c>
      <c r="P667" t="e">
        <f>IF(Titanic_Dataset[[#This Row],[Survived]]=1,Titanic_Dataset[[#This Row],[Fare]],NA())</f>
        <v>#N/A</v>
      </c>
      <c r="Q667">
        <f>IF(Titanic_Dataset[[#This Row],[Survived]]=0,Titanic_Dataset[[#This Row],[Fare]],NA())</f>
        <v>73.5</v>
      </c>
      <c r="R667" t="str">
        <f>VLOOKUP(Titanic_Dataset[[#This Row],[Fare]],Table2[],2,TRUE)</f>
        <v>very hiegh</v>
      </c>
      <c r="S667" s="1" t="s">
        <v>15</v>
      </c>
      <c r="T667" s="1" t="s">
        <v>16</v>
      </c>
      <c r="U667" s="1"/>
      <c r="V667" s="1"/>
      <c r="W667" s="1"/>
    </row>
    <row r="668" spans="1:23" x14ac:dyDescent="0.25">
      <c r="A668">
        <v>667</v>
      </c>
      <c r="B668">
        <v>0</v>
      </c>
      <c r="C668" t="str">
        <f>IF(Titanic_Dataset[[#This Row],[Survived]]=1,"Survived","Died")</f>
        <v>Died</v>
      </c>
      <c r="D668">
        <v>2</v>
      </c>
      <c r="E668" t="str">
        <f>IF(Titanic_Dataset[[#This Row],[Pclass]]=1,"1st",IF(Titanic_Dataset[[#This Row],[Pclass]]=2,"2nd",IF(Titanic_Dataset[[#This Row],[Pclass]]=3,"3rd")))</f>
        <v>2nd</v>
      </c>
      <c r="F668" s="1" t="s">
        <v>1330</v>
      </c>
      <c r="G668" s="1" t="str">
        <f>TRIM(MID(Titanic_Dataset[[#This Row],[Name]],
FIND(",",Titanic_Dataset[[#This Row],[Name]])+2,
FIND(".",Titanic_Dataset[[#This Row],[Name]],FIND(",",Titanic_Dataset[[#This Row],[Name]]))-FIND(",",Titanic_Dataset[[#This Row],[Name]])-1))</f>
        <v>Mr.</v>
      </c>
      <c r="H668" s="1" t="s">
        <v>13</v>
      </c>
      <c r="I668">
        <v>25</v>
      </c>
      <c r="J66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68">
        <v>0</v>
      </c>
      <c r="L668">
        <v>0</v>
      </c>
      <c r="M668">
        <f>Titanic_Dataset[[#This Row],[Parch]]+Titanic_Dataset[[#This Row],[SibSp]]</f>
        <v>0</v>
      </c>
      <c r="N668" s="1" t="s">
        <v>1331</v>
      </c>
      <c r="O668">
        <v>13</v>
      </c>
      <c r="P668" t="e">
        <f>IF(Titanic_Dataset[[#This Row],[Survived]]=1,Titanic_Dataset[[#This Row],[Fare]],NA())</f>
        <v>#N/A</v>
      </c>
      <c r="Q668">
        <f>IF(Titanic_Dataset[[#This Row],[Survived]]=0,Titanic_Dataset[[#This Row],[Fare]],NA())</f>
        <v>13</v>
      </c>
      <c r="R668" t="str">
        <f>VLOOKUP(Titanic_Dataset[[#This Row],[Fare]],Table2[],2,TRUE)</f>
        <v>medium</v>
      </c>
      <c r="S668" s="1" t="s">
        <v>15</v>
      </c>
      <c r="T668" s="1" t="s">
        <v>16</v>
      </c>
      <c r="U668" s="1"/>
      <c r="V668" s="1"/>
      <c r="W668" s="1"/>
    </row>
    <row r="669" spans="1:23" x14ac:dyDescent="0.25">
      <c r="A669">
        <v>668</v>
      </c>
      <c r="B669">
        <v>0</v>
      </c>
      <c r="C669" t="str">
        <f>IF(Titanic_Dataset[[#This Row],[Survived]]=1,"Survived","Died")</f>
        <v>Died</v>
      </c>
      <c r="D669">
        <v>3</v>
      </c>
      <c r="E669" t="str">
        <f>IF(Titanic_Dataset[[#This Row],[Pclass]]=1,"1st",IF(Titanic_Dataset[[#This Row],[Pclass]]=2,"2nd",IF(Titanic_Dataset[[#This Row],[Pclass]]=3,"3rd")))</f>
        <v>3rd</v>
      </c>
      <c r="F669" s="1" t="s">
        <v>1332</v>
      </c>
      <c r="G669" s="1" t="str">
        <f>TRIM(MID(Titanic_Dataset[[#This Row],[Name]],
FIND(",",Titanic_Dataset[[#This Row],[Name]])+2,
FIND(".",Titanic_Dataset[[#This Row],[Name]],FIND(",",Titanic_Dataset[[#This Row],[Name]]))-FIND(",",Titanic_Dataset[[#This Row],[Name]])-1))</f>
        <v>Mr.</v>
      </c>
      <c r="H669" s="1" t="s">
        <v>13</v>
      </c>
      <c r="I669">
        <v>28</v>
      </c>
      <c r="J66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69">
        <v>0</v>
      </c>
      <c r="L669">
        <v>0</v>
      </c>
      <c r="M669">
        <f>Titanic_Dataset[[#This Row],[Parch]]+Titanic_Dataset[[#This Row],[SibSp]]</f>
        <v>0</v>
      </c>
      <c r="N669" s="1" t="s">
        <v>1333</v>
      </c>
      <c r="O669">
        <v>7.7750000000000004</v>
      </c>
      <c r="P669" t="e">
        <f>IF(Titanic_Dataset[[#This Row],[Survived]]=1,Titanic_Dataset[[#This Row],[Fare]],NA())</f>
        <v>#N/A</v>
      </c>
      <c r="Q669">
        <f>IF(Titanic_Dataset[[#This Row],[Survived]]=0,Titanic_Dataset[[#This Row],[Fare]],NA())</f>
        <v>7.7750000000000004</v>
      </c>
      <c r="R669" t="str">
        <f>VLOOKUP(Titanic_Dataset[[#This Row],[Fare]],Table2[],2,TRUE)</f>
        <v>low</v>
      </c>
      <c r="S669" s="1" t="s">
        <v>15</v>
      </c>
      <c r="T669" s="1" t="s">
        <v>16</v>
      </c>
      <c r="U669" s="1"/>
      <c r="V669" s="1"/>
      <c r="W669" s="1"/>
    </row>
    <row r="670" spans="1:23" x14ac:dyDescent="0.25">
      <c r="A670">
        <v>669</v>
      </c>
      <c r="B670">
        <v>0</v>
      </c>
      <c r="C670" t="str">
        <f>IF(Titanic_Dataset[[#This Row],[Survived]]=1,"Survived","Died")</f>
        <v>Died</v>
      </c>
      <c r="D670">
        <v>3</v>
      </c>
      <c r="E670" t="str">
        <f>IF(Titanic_Dataset[[#This Row],[Pclass]]=1,"1st",IF(Titanic_Dataset[[#This Row],[Pclass]]=2,"2nd",IF(Titanic_Dataset[[#This Row],[Pclass]]=3,"3rd")))</f>
        <v>3rd</v>
      </c>
      <c r="F670" s="1" t="s">
        <v>1334</v>
      </c>
      <c r="G670" s="1" t="str">
        <f>TRIM(MID(Titanic_Dataset[[#This Row],[Name]],
FIND(",",Titanic_Dataset[[#This Row],[Name]])+2,
FIND(".",Titanic_Dataset[[#This Row],[Name]],FIND(",",Titanic_Dataset[[#This Row],[Name]]))-FIND(",",Titanic_Dataset[[#This Row],[Name]])-1))</f>
        <v>Mr.</v>
      </c>
      <c r="H670" s="1" t="s">
        <v>13</v>
      </c>
      <c r="I670">
        <v>43</v>
      </c>
      <c r="J670" t="str">
        <f>IF(Titanic_Dataset[[#This Row],[Age]]&lt;12,"0-11",
IF(Titanic_Dataset[[#This Row],[Age]]&lt;20,"12-19",
IF(Titanic_Dataset[[#This Row],[Age]]&lt;30,"20-29",
IF(Titanic_Dataset[[#This Row],[Age]]&lt;40,"30-39",
IF(Titanic_Dataset[[#This Row],[Age]]&lt;50,"40-49",
IF(Titanic_Dataset[[#This Row],[Age]]&lt;60,"50-59",
IF(Titanic_Dataset[[#This Row],[Age]]&lt;70,"60-69",)))))))</f>
        <v>40-49</v>
      </c>
      <c r="K670">
        <v>0</v>
      </c>
      <c r="L670">
        <v>0</v>
      </c>
      <c r="M670">
        <f>Titanic_Dataset[[#This Row],[Parch]]+Titanic_Dataset[[#This Row],[SibSp]]</f>
        <v>0</v>
      </c>
      <c r="N670" s="1" t="s">
        <v>1335</v>
      </c>
      <c r="O670">
        <v>8.0500000000000007</v>
      </c>
      <c r="P670" t="e">
        <f>IF(Titanic_Dataset[[#This Row],[Survived]]=1,Titanic_Dataset[[#This Row],[Fare]],NA())</f>
        <v>#N/A</v>
      </c>
      <c r="Q670">
        <f>IF(Titanic_Dataset[[#This Row],[Survived]]=0,Titanic_Dataset[[#This Row],[Fare]],NA())</f>
        <v>8.0500000000000007</v>
      </c>
      <c r="R670" t="str">
        <f>VLOOKUP(Titanic_Dataset[[#This Row],[Fare]],Table2[],2,TRUE)</f>
        <v>medium</v>
      </c>
      <c r="S670" s="1" t="s">
        <v>15</v>
      </c>
      <c r="T670" s="1" t="s">
        <v>16</v>
      </c>
      <c r="U670" s="1"/>
      <c r="V670" s="1"/>
      <c r="W670" s="1"/>
    </row>
    <row r="671" spans="1:23" x14ac:dyDescent="0.25">
      <c r="A671">
        <v>670</v>
      </c>
      <c r="B671">
        <v>1</v>
      </c>
      <c r="C671" t="str">
        <f>IF(Titanic_Dataset[[#This Row],[Survived]]=1,"Survived","Died")</f>
        <v>Survived</v>
      </c>
      <c r="D671">
        <v>1</v>
      </c>
      <c r="E671" t="str">
        <f>IF(Titanic_Dataset[[#This Row],[Pclass]]=1,"1st",IF(Titanic_Dataset[[#This Row],[Pclass]]=2,"2nd",IF(Titanic_Dataset[[#This Row],[Pclass]]=3,"3rd")))</f>
        <v>1st</v>
      </c>
      <c r="F671" s="1" t="s">
        <v>1336</v>
      </c>
      <c r="G671" s="1" t="str">
        <f>TRIM(MID(Titanic_Dataset[[#This Row],[Name]],
FIND(",",Titanic_Dataset[[#This Row],[Name]])+2,
FIND(".",Titanic_Dataset[[#This Row],[Name]],FIND(",",Titanic_Dataset[[#This Row],[Name]]))-FIND(",",Titanic_Dataset[[#This Row],[Name]])-1))</f>
        <v>Mrs.</v>
      </c>
      <c r="H671" s="1" t="s">
        <v>18</v>
      </c>
      <c r="I671">
        <v>28</v>
      </c>
      <c r="J67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71">
        <v>1</v>
      </c>
      <c r="L671">
        <v>0</v>
      </c>
      <c r="M671">
        <f>Titanic_Dataset[[#This Row],[Parch]]+Titanic_Dataset[[#This Row],[SibSp]]</f>
        <v>1</v>
      </c>
      <c r="N671" s="1" t="s">
        <v>1337</v>
      </c>
      <c r="O671">
        <v>52</v>
      </c>
      <c r="P671">
        <f>IF(Titanic_Dataset[[#This Row],[Survived]]=1,Titanic_Dataset[[#This Row],[Fare]],NA())</f>
        <v>52</v>
      </c>
      <c r="Q671" t="e">
        <f>IF(Titanic_Dataset[[#This Row],[Survived]]=0,Titanic_Dataset[[#This Row],[Fare]],NA())</f>
        <v>#N/A</v>
      </c>
      <c r="R671" t="str">
        <f>VLOOKUP(Titanic_Dataset[[#This Row],[Fare]],Table2[],2,TRUE)</f>
        <v>very hiegh</v>
      </c>
      <c r="S671" s="1" t="s">
        <v>1338</v>
      </c>
      <c r="T671" s="1" t="s">
        <v>16</v>
      </c>
      <c r="U671" s="1"/>
      <c r="V671" s="1"/>
      <c r="W671" s="1"/>
    </row>
    <row r="672" spans="1:23" x14ac:dyDescent="0.25">
      <c r="A672">
        <v>671</v>
      </c>
      <c r="B672">
        <v>1</v>
      </c>
      <c r="C672" t="str">
        <f>IF(Titanic_Dataset[[#This Row],[Survived]]=1,"Survived","Died")</f>
        <v>Survived</v>
      </c>
      <c r="D672">
        <v>2</v>
      </c>
      <c r="E672" t="str">
        <f>IF(Titanic_Dataset[[#This Row],[Pclass]]=1,"1st",IF(Titanic_Dataset[[#This Row],[Pclass]]=2,"2nd",IF(Titanic_Dataset[[#This Row],[Pclass]]=3,"3rd")))</f>
        <v>2nd</v>
      </c>
      <c r="F672" s="1" t="s">
        <v>1339</v>
      </c>
      <c r="G672" s="1" t="str">
        <f>TRIM(MID(Titanic_Dataset[[#This Row],[Name]],
FIND(",",Titanic_Dataset[[#This Row],[Name]])+2,
FIND(".",Titanic_Dataset[[#This Row],[Name]],FIND(",",Titanic_Dataset[[#This Row],[Name]]))-FIND(",",Titanic_Dataset[[#This Row],[Name]])-1))</f>
        <v>Mrs.</v>
      </c>
      <c r="H672" s="1" t="s">
        <v>18</v>
      </c>
      <c r="I672">
        <v>40</v>
      </c>
      <c r="J672" t="str">
        <f>IF(Titanic_Dataset[[#This Row],[Age]]&lt;12,"0-11",
IF(Titanic_Dataset[[#This Row],[Age]]&lt;20,"12-19",
IF(Titanic_Dataset[[#This Row],[Age]]&lt;30,"20-29",
IF(Titanic_Dataset[[#This Row],[Age]]&lt;40,"30-39",
IF(Titanic_Dataset[[#This Row],[Age]]&lt;50,"40-49",
IF(Titanic_Dataset[[#This Row],[Age]]&lt;60,"50-59",
IF(Titanic_Dataset[[#This Row],[Age]]&lt;70,"60-69",)))))))</f>
        <v>40-49</v>
      </c>
      <c r="K672">
        <v>1</v>
      </c>
      <c r="L672">
        <v>1</v>
      </c>
      <c r="M672">
        <f>Titanic_Dataset[[#This Row],[Parch]]+Titanic_Dataset[[#This Row],[SibSp]]</f>
        <v>2</v>
      </c>
      <c r="N672" s="1" t="s">
        <v>1340</v>
      </c>
      <c r="O672">
        <v>39</v>
      </c>
      <c r="P672">
        <f>IF(Titanic_Dataset[[#This Row],[Survived]]=1,Titanic_Dataset[[#This Row],[Fare]],NA())</f>
        <v>39</v>
      </c>
      <c r="Q672" t="e">
        <f>IF(Titanic_Dataset[[#This Row],[Survived]]=0,Titanic_Dataset[[#This Row],[Fare]],NA())</f>
        <v>#N/A</v>
      </c>
      <c r="R672" t="str">
        <f>VLOOKUP(Titanic_Dataset[[#This Row],[Fare]],Table2[],2,TRUE)</f>
        <v>very hiegh</v>
      </c>
      <c r="S672" s="1" t="s">
        <v>15</v>
      </c>
      <c r="T672" s="1" t="s">
        <v>16</v>
      </c>
      <c r="U672" s="1"/>
      <c r="V672" s="1"/>
      <c r="W672" s="1"/>
    </row>
    <row r="673" spans="1:23" x14ac:dyDescent="0.25">
      <c r="A673">
        <v>672</v>
      </c>
      <c r="B673">
        <v>0</v>
      </c>
      <c r="C673" t="str">
        <f>IF(Titanic_Dataset[[#This Row],[Survived]]=1,"Survived","Died")</f>
        <v>Died</v>
      </c>
      <c r="D673">
        <v>1</v>
      </c>
      <c r="E673" t="str">
        <f>IF(Titanic_Dataset[[#This Row],[Pclass]]=1,"1st",IF(Titanic_Dataset[[#This Row],[Pclass]]=2,"2nd",IF(Titanic_Dataset[[#This Row],[Pclass]]=3,"3rd")))</f>
        <v>1st</v>
      </c>
      <c r="F673" s="1" t="s">
        <v>1341</v>
      </c>
      <c r="G673" s="1" t="str">
        <f>TRIM(MID(Titanic_Dataset[[#This Row],[Name]],
FIND(",",Titanic_Dataset[[#This Row],[Name]])+2,
FIND(".",Titanic_Dataset[[#This Row],[Name]],FIND(",",Titanic_Dataset[[#This Row],[Name]]))-FIND(",",Titanic_Dataset[[#This Row],[Name]])-1))</f>
        <v>Mr.</v>
      </c>
      <c r="H673" s="1" t="s">
        <v>13</v>
      </c>
      <c r="I673">
        <v>31</v>
      </c>
      <c r="J673" t="str">
        <f>IF(Titanic_Dataset[[#This Row],[Age]]&lt;12,"0-11",
IF(Titanic_Dataset[[#This Row],[Age]]&lt;20,"12-19",
IF(Titanic_Dataset[[#This Row],[Age]]&lt;30,"20-29",
IF(Titanic_Dataset[[#This Row],[Age]]&lt;40,"30-39",
IF(Titanic_Dataset[[#This Row],[Age]]&lt;50,"40-49",
IF(Titanic_Dataset[[#This Row],[Age]]&lt;60,"50-59",
IF(Titanic_Dataset[[#This Row],[Age]]&lt;70,"60-69",)))))))</f>
        <v>30-39</v>
      </c>
      <c r="K673">
        <v>1</v>
      </c>
      <c r="L673">
        <v>0</v>
      </c>
      <c r="M673">
        <f>Titanic_Dataset[[#This Row],[Parch]]+Titanic_Dataset[[#This Row],[SibSp]]</f>
        <v>1</v>
      </c>
      <c r="N673" s="1" t="s">
        <v>1342</v>
      </c>
      <c r="O673">
        <v>52</v>
      </c>
      <c r="P673" t="e">
        <f>IF(Titanic_Dataset[[#This Row],[Survived]]=1,Titanic_Dataset[[#This Row],[Fare]],NA())</f>
        <v>#N/A</v>
      </c>
      <c r="Q673">
        <f>IF(Titanic_Dataset[[#This Row],[Survived]]=0,Titanic_Dataset[[#This Row],[Fare]],NA())</f>
        <v>52</v>
      </c>
      <c r="R673" t="str">
        <f>VLOOKUP(Titanic_Dataset[[#This Row],[Fare]],Table2[],2,TRUE)</f>
        <v>very hiegh</v>
      </c>
      <c r="S673" s="1" t="s">
        <v>1343</v>
      </c>
      <c r="T673" s="1" t="s">
        <v>16</v>
      </c>
      <c r="U673" s="1"/>
      <c r="V673" s="1"/>
      <c r="W673" s="1"/>
    </row>
    <row r="674" spans="1:23" x14ac:dyDescent="0.25">
      <c r="A674">
        <v>673</v>
      </c>
      <c r="B674">
        <v>0</v>
      </c>
      <c r="C674" t="str">
        <f>IF(Titanic_Dataset[[#This Row],[Survived]]=1,"Survived","Died")</f>
        <v>Died</v>
      </c>
      <c r="D674">
        <v>2</v>
      </c>
      <c r="E674" t="str">
        <f>IF(Titanic_Dataset[[#This Row],[Pclass]]=1,"1st",IF(Titanic_Dataset[[#This Row],[Pclass]]=2,"2nd",IF(Titanic_Dataset[[#This Row],[Pclass]]=3,"3rd")))</f>
        <v>2nd</v>
      </c>
      <c r="F674" s="1" t="s">
        <v>1344</v>
      </c>
      <c r="G674" s="1" t="str">
        <f>TRIM(MID(Titanic_Dataset[[#This Row],[Name]],
FIND(",",Titanic_Dataset[[#This Row],[Name]])+2,
FIND(".",Titanic_Dataset[[#This Row],[Name]],FIND(",",Titanic_Dataset[[#This Row],[Name]]))-FIND(",",Titanic_Dataset[[#This Row],[Name]])-1))</f>
        <v>Mr.</v>
      </c>
      <c r="H674" s="1" t="s">
        <v>13</v>
      </c>
      <c r="I674">
        <v>70</v>
      </c>
      <c r="J674">
        <f>IF(Titanic_Dataset[[#This Row],[Age]]&lt;12,"0-11",
IF(Titanic_Dataset[[#This Row],[Age]]&lt;20,"12-19",
IF(Titanic_Dataset[[#This Row],[Age]]&lt;30,"20-29",
IF(Titanic_Dataset[[#This Row],[Age]]&lt;40,"30-39",
IF(Titanic_Dataset[[#This Row],[Age]]&lt;50,"40-49",
IF(Titanic_Dataset[[#This Row],[Age]]&lt;60,"50-59",
IF(Titanic_Dataset[[#This Row],[Age]]&lt;70,"60-69",)))))))</f>
        <v>0</v>
      </c>
      <c r="K674">
        <v>0</v>
      </c>
      <c r="L674">
        <v>0</v>
      </c>
      <c r="M674">
        <f>Titanic_Dataset[[#This Row],[Parch]]+Titanic_Dataset[[#This Row],[SibSp]]</f>
        <v>0</v>
      </c>
      <c r="N674" s="1" t="s">
        <v>1345</v>
      </c>
      <c r="O674">
        <v>10.5</v>
      </c>
      <c r="P674" t="e">
        <f>IF(Titanic_Dataset[[#This Row],[Survived]]=1,Titanic_Dataset[[#This Row],[Fare]],NA())</f>
        <v>#N/A</v>
      </c>
      <c r="Q674">
        <f>IF(Titanic_Dataset[[#This Row],[Survived]]=0,Titanic_Dataset[[#This Row],[Fare]],NA())</f>
        <v>10.5</v>
      </c>
      <c r="R674" t="str">
        <f>VLOOKUP(Titanic_Dataset[[#This Row],[Fare]],Table2[],2,TRUE)</f>
        <v>medium</v>
      </c>
      <c r="S674" s="1" t="s">
        <v>15</v>
      </c>
      <c r="T674" s="1" t="s">
        <v>16</v>
      </c>
      <c r="U674" s="1"/>
      <c r="V674" s="1"/>
      <c r="W674" s="1"/>
    </row>
    <row r="675" spans="1:23" x14ac:dyDescent="0.25">
      <c r="A675">
        <v>674</v>
      </c>
      <c r="B675">
        <v>1</v>
      </c>
      <c r="C675" t="str">
        <f>IF(Titanic_Dataset[[#This Row],[Survived]]=1,"Survived","Died")</f>
        <v>Survived</v>
      </c>
      <c r="D675">
        <v>2</v>
      </c>
      <c r="E675" t="str">
        <f>IF(Titanic_Dataset[[#This Row],[Pclass]]=1,"1st",IF(Titanic_Dataset[[#This Row],[Pclass]]=2,"2nd",IF(Titanic_Dataset[[#This Row],[Pclass]]=3,"3rd")))</f>
        <v>2nd</v>
      </c>
      <c r="F675" s="1" t="s">
        <v>1346</v>
      </c>
      <c r="G675" s="1" t="str">
        <f>TRIM(MID(Titanic_Dataset[[#This Row],[Name]],
FIND(",",Titanic_Dataset[[#This Row],[Name]])+2,
FIND(".",Titanic_Dataset[[#This Row],[Name]],FIND(",",Titanic_Dataset[[#This Row],[Name]]))-FIND(",",Titanic_Dataset[[#This Row],[Name]])-1))</f>
        <v>Mr.</v>
      </c>
      <c r="H675" s="1" t="s">
        <v>13</v>
      </c>
      <c r="I675">
        <v>31</v>
      </c>
      <c r="J675" t="str">
        <f>IF(Titanic_Dataset[[#This Row],[Age]]&lt;12,"0-11",
IF(Titanic_Dataset[[#This Row],[Age]]&lt;20,"12-19",
IF(Titanic_Dataset[[#This Row],[Age]]&lt;30,"20-29",
IF(Titanic_Dataset[[#This Row],[Age]]&lt;40,"30-39",
IF(Titanic_Dataset[[#This Row],[Age]]&lt;50,"40-49",
IF(Titanic_Dataset[[#This Row],[Age]]&lt;60,"50-59",
IF(Titanic_Dataset[[#This Row],[Age]]&lt;70,"60-69",)))))))</f>
        <v>30-39</v>
      </c>
      <c r="K675">
        <v>0</v>
      </c>
      <c r="L675">
        <v>0</v>
      </c>
      <c r="M675">
        <f>Titanic_Dataset[[#This Row],[Parch]]+Titanic_Dataset[[#This Row],[SibSp]]</f>
        <v>0</v>
      </c>
      <c r="N675" s="1" t="s">
        <v>1347</v>
      </c>
      <c r="O675">
        <v>13</v>
      </c>
      <c r="P675">
        <f>IF(Titanic_Dataset[[#This Row],[Survived]]=1,Titanic_Dataset[[#This Row],[Fare]],NA())</f>
        <v>13</v>
      </c>
      <c r="Q675" t="e">
        <f>IF(Titanic_Dataset[[#This Row],[Survived]]=0,Titanic_Dataset[[#This Row],[Fare]],NA())</f>
        <v>#N/A</v>
      </c>
      <c r="R675" t="str">
        <f>VLOOKUP(Titanic_Dataset[[#This Row],[Fare]],Table2[],2,TRUE)</f>
        <v>medium</v>
      </c>
      <c r="S675" s="1" t="s">
        <v>15</v>
      </c>
      <c r="T675" s="1" t="s">
        <v>16</v>
      </c>
      <c r="U675" s="1"/>
      <c r="V675" s="1"/>
      <c r="W675" s="1"/>
    </row>
    <row r="676" spans="1:23" x14ac:dyDescent="0.25">
      <c r="A676">
        <v>675</v>
      </c>
      <c r="B676">
        <v>0</v>
      </c>
      <c r="C676" t="str">
        <f>IF(Titanic_Dataset[[#This Row],[Survived]]=1,"Survived","Died")</f>
        <v>Died</v>
      </c>
      <c r="D676">
        <v>2</v>
      </c>
      <c r="E676" t="str">
        <f>IF(Titanic_Dataset[[#This Row],[Pclass]]=1,"1st",IF(Titanic_Dataset[[#This Row],[Pclass]]=2,"2nd",IF(Titanic_Dataset[[#This Row],[Pclass]]=3,"3rd")))</f>
        <v>2nd</v>
      </c>
      <c r="F676" s="1" t="s">
        <v>1348</v>
      </c>
      <c r="G676" s="1" t="str">
        <f>TRIM(MID(Titanic_Dataset[[#This Row],[Name]],
FIND(",",Titanic_Dataset[[#This Row],[Name]])+2,
FIND(".",Titanic_Dataset[[#This Row],[Name]],FIND(",",Titanic_Dataset[[#This Row],[Name]]))-FIND(",",Titanic_Dataset[[#This Row],[Name]])-1))</f>
        <v>Mr.</v>
      </c>
      <c r="H676" s="1" t="s">
        <v>13</v>
      </c>
      <c r="I676">
        <v>28</v>
      </c>
      <c r="J67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76">
        <v>0</v>
      </c>
      <c r="L676">
        <v>0</v>
      </c>
      <c r="M676">
        <f>Titanic_Dataset[[#This Row],[Parch]]+Titanic_Dataset[[#This Row],[SibSp]]</f>
        <v>0</v>
      </c>
      <c r="N676" s="1" t="s">
        <v>1349</v>
      </c>
      <c r="O676">
        <v>0</v>
      </c>
      <c r="P676" t="e">
        <f>IF(Titanic_Dataset[[#This Row],[Survived]]=1,Titanic_Dataset[[#This Row],[Fare]],NA())</f>
        <v>#N/A</v>
      </c>
      <c r="Q676">
        <f>IF(Titanic_Dataset[[#This Row],[Survived]]=0,Titanic_Dataset[[#This Row],[Fare]],NA())</f>
        <v>0</v>
      </c>
      <c r="R676" t="str">
        <f>VLOOKUP(Titanic_Dataset[[#This Row],[Fare]],Table2[],2,TRUE)</f>
        <v>low</v>
      </c>
      <c r="S676" s="1" t="s">
        <v>15</v>
      </c>
      <c r="T676" s="1" t="s">
        <v>16</v>
      </c>
      <c r="U676" s="1"/>
      <c r="V676" s="1"/>
      <c r="W676" s="1"/>
    </row>
    <row r="677" spans="1:23" x14ac:dyDescent="0.25">
      <c r="A677">
        <v>676</v>
      </c>
      <c r="B677">
        <v>0</v>
      </c>
      <c r="C677" t="str">
        <f>IF(Titanic_Dataset[[#This Row],[Survived]]=1,"Survived","Died")</f>
        <v>Died</v>
      </c>
      <c r="D677">
        <v>3</v>
      </c>
      <c r="E677" t="str">
        <f>IF(Titanic_Dataset[[#This Row],[Pclass]]=1,"1st",IF(Titanic_Dataset[[#This Row],[Pclass]]=2,"2nd",IF(Titanic_Dataset[[#This Row],[Pclass]]=3,"3rd")))</f>
        <v>3rd</v>
      </c>
      <c r="F677" s="1" t="s">
        <v>1350</v>
      </c>
      <c r="G677" s="1" t="str">
        <f>TRIM(MID(Titanic_Dataset[[#This Row],[Name]],
FIND(",",Titanic_Dataset[[#This Row],[Name]])+2,
FIND(".",Titanic_Dataset[[#This Row],[Name]],FIND(",",Titanic_Dataset[[#This Row],[Name]]))-FIND(",",Titanic_Dataset[[#This Row],[Name]])-1))</f>
        <v>Mr.</v>
      </c>
      <c r="H677" s="1" t="s">
        <v>13</v>
      </c>
      <c r="I677">
        <v>18</v>
      </c>
      <c r="J677" t="str">
        <f>IF(Titanic_Dataset[[#This Row],[Age]]&lt;12,"0-11",
IF(Titanic_Dataset[[#This Row],[Age]]&lt;20,"12-19",
IF(Titanic_Dataset[[#This Row],[Age]]&lt;30,"20-29",
IF(Titanic_Dataset[[#This Row],[Age]]&lt;40,"30-39",
IF(Titanic_Dataset[[#This Row],[Age]]&lt;50,"40-49",
IF(Titanic_Dataset[[#This Row],[Age]]&lt;60,"50-59",
IF(Titanic_Dataset[[#This Row],[Age]]&lt;70,"60-69",)))))))</f>
        <v>12-19</v>
      </c>
      <c r="K677">
        <v>0</v>
      </c>
      <c r="L677">
        <v>0</v>
      </c>
      <c r="M677">
        <f>Titanic_Dataset[[#This Row],[Parch]]+Titanic_Dataset[[#This Row],[SibSp]]</f>
        <v>0</v>
      </c>
      <c r="N677" s="1" t="s">
        <v>1351</v>
      </c>
      <c r="O677">
        <v>7.7750000000000004</v>
      </c>
      <c r="P677" t="e">
        <f>IF(Titanic_Dataset[[#This Row],[Survived]]=1,Titanic_Dataset[[#This Row],[Fare]],NA())</f>
        <v>#N/A</v>
      </c>
      <c r="Q677">
        <f>IF(Titanic_Dataset[[#This Row],[Survived]]=0,Titanic_Dataset[[#This Row],[Fare]],NA())</f>
        <v>7.7750000000000004</v>
      </c>
      <c r="R677" t="str">
        <f>VLOOKUP(Titanic_Dataset[[#This Row],[Fare]],Table2[],2,TRUE)</f>
        <v>low</v>
      </c>
      <c r="S677" s="1" t="s">
        <v>15</v>
      </c>
      <c r="T677" s="1" t="s">
        <v>16</v>
      </c>
      <c r="U677" s="1"/>
      <c r="V677" s="1"/>
      <c r="W677" s="1"/>
    </row>
    <row r="678" spans="1:23" x14ac:dyDescent="0.25">
      <c r="A678">
        <v>677</v>
      </c>
      <c r="B678">
        <v>0</v>
      </c>
      <c r="C678" t="str">
        <f>IF(Titanic_Dataset[[#This Row],[Survived]]=1,"Survived","Died")</f>
        <v>Died</v>
      </c>
      <c r="D678">
        <v>3</v>
      </c>
      <c r="E678" t="str">
        <f>IF(Titanic_Dataset[[#This Row],[Pclass]]=1,"1st",IF(Titanic_Dataset[[#This Row],[Pclass]]=2,"2nd",IF(Titanic_Dataset[[#This Row],[Pclass]]=3,"3rd")))</f>
        <v>3rd</v>
      </c>
      <c r="F678" s="1" t="s">
        <v>1352</v>
      </c>
      <c r="G678" s="1" t="str">
        <f>TRIM(MID(Titanic_Dataset[[#This Row],[Name]],
FIND(",",Titanic_Dataset[[#This Row],[Name]])+2,
FIND(".",Titanic_Dataset[[#This Row],[Name]],FIND(",",Titanic_Dataset[[#This Row],[Name]]))-FIND(",",Titanic_Dataset[[#This Row],[Name]])-1))</f>
        <v>Mr.</v>
      </c>
      <c r="H678" s="1" t="s">
        <v>13</v>
      </c>
      <c r="I678">
        <v>24.5</v>
      </c>
      <c r="J67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78">
        <v>0</v>
      </c>
      <c r="L678">
        <v>0</v>
      </c>
      <c r="M678">
        <f>Titanic_Dataset[[#This Row],[Parch]]+Titanic_Dataset[[#This Row],[SibSp]]</f>
        <v>0</v>
      </c>
      <c r="N678" s="1" t="s">
        <v>1353</v>
      </c>
      <c r="O678">
        <v>8.0500000000000007</v>
      </c>
      <c r="P678" t="e">
        <f>IF(Titanic_Dataset[[#This Row],[Survived]]=1,Titanic_Dataset[[#This Row],[Fare]],NA())</f>
        <v>#N/A</v>
      </c>
      <c r="Q678">
        <f>IF(Titanic_Dataset[[#This Row],[Survived]]=0,Titanic_Dataset[[#This Row],[Fare]],NA())</f>
        <v>8.0500000000000007</v>
      </c>
      <c r="R678" t="str">
        <f>VLOOKUP(Titanic_Dataset[[#This Row],[Fare]],Table2[],2,TRUE)</f>
        <v>medium</v>
      </c>
      <c r="S678" s="1" t="s">
        <v>15</v>
      </c>
      <c r="T678" s="1" t="s">
        <v>16</v>
      </c>
      <c r="U678" s="1"/>
      <c r="V678" s="1"/>
      <c r="W678" s="1"/>
    </row>
    <row r="679" spans="1:23" x14ac:dyDescent="0.25">
      <c r="A679">
        <v>678</v>
      </c>
      <c r="B679">
        <v>1</v>
      </c>
      <c r="C679" t="str">
        <f>IF(Titanic_Dataset[[#This Row],[Survived]]=1,"Survived","Died")</f>
        <v>Survived</v>
      </c>
      <c r="D679">
        <v>3</v>
      </c>
      <c r="E679" t="str">
        <f>IF(Titanic_Dataset[[#This Row],[Pclass]]=1,"1st",IF(Titanic_Dataset[[#This Row],[Pclass]]=2,"2nd",IF(Titanic_Dataset[[#This Row],[Pclass]]=3,"3rd")))</f>
        <v>3rd</v>
      </c>
      <c r="F679" s="1" t="s">
        <v>1354</v>
      </c>
      <c r="G679" s="1" t="str">
        <f>TRIM(MID(Titanic_Dataset[[#This Row],[Name]],
FIND(",",Titanic_Dataset[[#This Row],[Name]])+2,
FIND(".",Titanic_Dataset[[#This Row],[Name]],FIND(",",Titanic_Dataset[[#This Row],[Name]]))-FIND(",",Titanic_Dataset[[#This Row],[Name]])-1))</f>
        <v>Miss.</v>
      </c>
      <c r="H679" s="1" t="s">
        <v>18</v>
      </c>
      <c r="I679">
        <v>18</v>
      </c>
      <c r="J679" t="str">
        <f>IF(Titanic_Dataset[[#This Row],[Age]]&lt;12,"0-11",
IF(Titanic_Dataset[[#This Row],[Age]]&lt;20,"12-19",
IF(Titanic_Dataset[[#This Row],[Age]]&lt;30,"20-29",
IF(Titanic_Dataset[[#This Row],[Age]]&lt;40,"30-39",
IF(Titanic_Dataset[[#This Row],[Age]]&lt;50,"40-49",
IF(Titanic_Dataset[[#This Row],[Age]]&lt;60,"50-59",
IF(Titanic_Dataset[[#This Row],[Age]]&lt;70,"60-69",)))))))</f>
        <v>12-19</v>
      </c>
      <c r="K679">
        <v>0</v>
      </c>
      <c r="L679">
        <v>0</v>
      </c>
      <c r="M679">
        <f>Titanic_Dataset[[#This Row],[Parch]]+Titanic_Dataset[[#This Row],[SibSp]]</f>
        <v>0</v>
      </c>
      <c r="N679" s="1" t="s">
        <v>1355</v>
      </c>
      <c r="O679">
        <v>9.8416999999999994</v>
      </c>
      <c r="P679">
        <f>IF(Titanic_Dataset[[#This Row],[Survived]]=1,Titanic_Dataset[[#This Row],[Fare]],NA())</f>
        <v>9.8416999999999994</v>
      </c>
      <c r="Q679" t="e">
        <f>IF(Titanic_Dataset[[#This Row],[Survived]]=0,Titanic_Dataset[[#This Row],[Fare]],NA())</f>
        <v>#N/A</v>
      </c>
      <c r="R679" t="str">
        <f>VLOOKUP(Titanic_Dataset[[#This Row],[Fare]],Table2[],2,TRUE)</f>
        <v>medium</v>
      </c>
      <c r="S679" s="1" t="s">
        <v>15</v>
      </c>
      <c r="T679" s="1" t="s">
        <v>16</v>
      </c>
      <c r="U679" s="1"/>
      <c r="V679" s="1"/>
      <c r="W679" s="1"/>
    </row>
    <row r="680" spans="1:23" x14ac:dyDescent="0.25">
      <c r="A680">
        <v>679</v>
      </c>
      <c r="B680">
        <v>0</v>
      </c>
      <c r="C680" t="str">
        <f>IF(Titanic_Dataset[[#This Row],[Survived]]=1,"Survived","Died")</f>
        <v>Died</v>
      </c>
      <c r="D680">
        <v>3</v>
      </c>
      <c r="E680" t="str">
        <f>IF(Titanic_Dataset[[#This Row],[Pclass]]=1,"1st",IF(Titanic_Dataset[[#This Row],[Pclass]]=2,"2nd",IF(Titanic_Dataset[[#This Row],[Pclass]]=3,"3rd")))</f>
        <v>3rd</v>
      </c>
      <c r="F680" s="1" t="s">
        <v>1356</v>
      </c>
      <c r="G680" s="1" t="str">
        <f>TRIM(MID(Titanic_Dataset[[#This Row],[Name]],
FIND(",",Titanic_Dataset[[#This Row],[Name]])+2,
FIND(".",Titanic_Dataset[[#This Row],[Name]],FIND(",",Titanic_Dataset[[#This Row],[Name]]))-FIND(",",Titanic_Dataset[[#This Row],[Name]])-1))</f>
        <v>Mrs.</v>
      </c>
      <c r="H680" s="1" t="s">
        <v>18</v>
      </c>
      <c r="I680">
        <v>43</v>
      </c>
      <c r="J680" t="str">
        <f>IF(Titanic_Dataset[[#This Row],[Age]]&lt;12,"0-11",
IF(Titanic_Dataset[[#This Row],[Age]]&lt;20,"12-19",
IF(Titanic_Dataset[[#This Row],[Age]]&lt;30,"20-29",
IF(Titanic_Dataset[[#This Row],[Age]]&lt;40,"30-39",
IF(Titanic_Dataset[[#This Row],[Age]]&lt;50,"40-49",
IF(Titanic_Dataset[[#This Row],[Age]]&lt;60,"50-59",
IF(Titanic_Dataset[[#This Row],[Age]]&lt;70,"60-69",)))))))</f>
        <v>40-49</v>
      </c>
      <c r="K680">
        <v>1</v>
      </c>
      <c r="L680">
        <v>6</v>
      </c>
      <c r="M680">
        <f>Titanic_Dataset[[#This Row],[Parch]]+Titanic_Dataset[[#This Row],[SibSp]]</f>
        <v>7</v>
      </c>
      <c r="N680" s="1" t="s">
        <v>148</v>
      </c>
      <c r="O680">
        <v>46.9</v>
      </c>
      <c r="P680" t="e">
        <f>IF(Titanic_Dataset[[#This Row],[Survived]]=1,Titanic_Dataset[[#This Row],[Fare]],NA())</f>
        <v>#N/A</v>
      </c>
      <c r="Q680">
        <f>IF(Titanic_Dataset[[#This Row],[Survived]]=0,Titanic_Dataset[[#This Row],[Fare]],NA())</f>
        <v>46.9</v>
      </c>
      <c r="R680" t="str">
        <f>VLOOKUP(Titanic_Dataset[[#This Row],[Fare]],Table2[],2,TRUE)</f>
        <v>very hiegh</v>
      </c>
      <c r="S680" s="1" t="s">
        <v>15</v>
      </c>
      <c r="T680" s="1" t="s">
        <v>16</v>
      </c>
      <c r="U680" s="1"/>
      <c r="V680" s="1"/>
      <c r="W680" s="1"/>
    </row>
    <row r="681" spans="1:23" x14ac:dyDescent="0.25">
      <c r="A681">
        <v>680</v>
      </c>
      <c r="B681">
        <v>1</v>
      </c>
      <c r="C681" t="str">
        <f>IF(Titanic_Dataset[[#This Row],[Survived]]=1,"Survived","Died")</f>
        <v>Survived</v>
      </c>
      <c r="D681">
        <v>1</v>
      </c>
      <c r="E681" t="str">
        <f>IF(Titanic_Dataset[[#This Row],[Pclass]]=1,"1st",IF(Titanic_Dataset[[#This Row],[Pclass]]=2,"2nd",IF(Titanic_Dataset[[#This Row],[Pclass]]=3,"3rd")))</f>
        <v>1st</v>
      </c>
      <c r="F681" s="1" t="s">
        <v>1357</v>
      </c>
      <c r="G681" s="1" t="str">
        <f>TRIM(MID(Titanic_Dataset[[#This Row],[Name]],
FIND(",",Titanic_Dataset[[#This Row],[Name]])+2,
FIND(".",Titanic_Dataset[[#This Row],[Name]],FIND(",",Titanic_Dataset[[#This Row],[Name]]))-FIND(",",Titanic_Dataset[[#This Row],[Name]])-1))</f>
        <v>Mr.</v>
      </c>
      <c r="H681" s="1" t="s">
        <v>13</v>
      </c>
      <c r="I681">
        <v>36</v>
      </c>
      <c r="J681" t="str">
        <f>IF(Titanic_Dataset[[#This Row],[Age]]&lt;12,"0-11",
IF(Titanic_Dataset[[#This Row],[Age]]&lt;20,"12-19",
IF(Titanic_Dataset[[#This Row],[Age]]&lt;30,"20-29",
IF(Titanic_Dataset[[#This Row],[Age]]&lt;40,"30-39",
IF(Titanic_Dataset[[#This Row],[Age]]&lt;50,"40-49",
IF(Titanic_Dataset[[#This Row],[Age]]&lt;60,"50-59",
IF(Titanic_Dataset[[#This Row],[Age]]&lt;70,"60-69",)))))))</f>
        <v>30-39</v>
      </c>
      <c r="K681">
        <v>0</v>
      </c>
      <c r="L681">
        <v>1</v>
      </c>
      <c r="M681">
        <f>Titanic_Dataset[[#This Row],[Parch]]+Titanic_Dataset[[#This Row],[SibSp]]</f>
        <v>1</v>
      </c>
      <c r="N681" s="1" t="s">
        <v>552</v>
      </c>
      <c r="O681">
        <v>512.32920000000001</v>
      </c>
      <c r="P681">
        <f>IF(Titanic_Dataset[[#This Row],[Survived]]=1,Titanic_Dataset[[#This Row],[Fare]],NA())</f>
        <v>512.32920000000001</v>
      </c>
      <c r="Q681" t="e">
        <f>IF(Titanic_Dataset[[#This Row],[Survived]]=0,Titanic_Dataset[[#This Row],[Fare]],NA())</f>
        <v>#N/A</v>
      </c>
      <c r="R681" t="str">
        <f>VLOOKUP(Titanic_Dataset[[#This Row],[Fare]],Table2[],2,TRUE)</f>
        <v>very hiegh</v>
      </c>
      <c r="S681" s="1" t="s">
        <v>1358</v>
      </c>
      <c r="T681" s="1" t="s">
        <v>21</v>
      </c>
      <c r="U681" s="1"/>
      <c r="V681" s="1"/>
      <c r="W681" s="1"/>
    </row>
    <row r="682" spans="1:23" x14ac:dyDescent="0.25">
      <c r="A682">
        <v>681</v>
      </c>
      <c r="B682">
        <v>0</v>
      </c>
      <c r="C682" t="str">
        <f>IF(Titanic_Dataset[[#This Row],[Survived]]=1,"Survived","Died")</f>
        <v>Died</v>
      </c>
      <c r="D682">
        <v>3</v>
      </c>
      <c r="E682" t="str">
        <f>IF(Titanic_Dataset[[#This Row],[Pclass]]=1,"1st",IF(Titanic_Dataset[[#This Row],[Pclass]]=2,"2nd",IF(Titanic_Dataset[[#This Row],[Pclass]]=3,"3rd")))</f>
        <v>3rd</v>
      </c>
      <c r="F682" s="1" t="s">
        <v>1359</v>
      </c>
      <c r="G682" s="1" t="str">
        <f>TRIM(MID(Titanic_Dataset[[#This Row],[Name]],
FIND(",",Titanic_Dataset[[#This Row],[Name]])+2,
FIND(".",Titanic_Dataset[[#This Row],[Name]],FIND(",",Titanic_Dataset[[#This Row],[Name]]))-FIND(",",Titanic_Dataset[[#This Row],[Name]])-1))</f>
        <v>Miss.</v>
      </c>
      <c r="H682" s="1" t="s">
        <v>18</v>
      </c>
      <c r="I682">
        <v>28</v>
      </c>
      <c r="J68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82">
        <v>0</v>
      </c>
      <c r="L682">
        <v>0</v>
      </c>
      <c r="M682">
        <f>Titanic_Dataset[[#This Row],[Parch]]+Titanic_Dataset[[#This Row],[SibSp]]</f>
        <v>0</v>
      </c>
      <c r="N682" s="1" t="s">
        <v>1360</v>
      </c>
      <c r="O682">
        <v>8.1374999999999993</v>
      </c>
      <c r="P682" t="e">
        <f>IF(Titanic_Dataset[[#This Row],[Survived]]=1,Titanic_Dataset[[#This Row],[Fare]],NA())</f>
        <v>#N/A</v>
      </c>
      <c r="Q682">
        <f>IF(Titanic_Dataset[[#This Row],[Survived]]=0,Titanic_Dataset[[#This Row],[Fare]],NA())</f>
        <v>8.1374999999999993</v>
      </c>
      <c r="R682" t="str">
        <f>VLOOKUP(Titanic_Dataset[[#This Row],[Fare]],Table2[],2,TRUE)</f>
        <v>medium</v>
      </c>
      <c r="S682" s="1" t="s">
        <v>15</v>
      </c>
      <c r="T682" s="1" t="s">
        <v>31</v>
      </c>
      <c r="U682" s="1"/>
      <c r="V682" s="1"/>
      <c r="W682" s="1"/>
    </row>
    <row r="683" spans="1:23" x14ac:dyDescent="0.25">
      <c r="A683">
        <v>682</v>
      </c>
      <c r="B683">
        <v>1</v>
      </c>
      <c r="C683" t="str">
        <f>IF(Titanic_Dataset[[#This Row],[Survived]]=1,"Survived","Died")</f>
        <v>Survived</v>
      </c>
      <c r="D683">
        <v>1</v>
      </c>
      <c r="E683" t="str">
        <f>IF(Titanic_Dataset[[#This Row],[Pclass]]=1,"1st",IF(Titanic_Dataset[[#This Row],[Pclass]]=2,"2nd",IF(Titanic_Dataset[[#This Row],[Pclass]]=3,"3rd")))</f>
        <v>1st</v>
      </c>
      <c r="F683" s="1" t="s">
        <v>1361</v>
      </c>
      <c r="G683" s="1" t="str">
        <f>TRIM(MID(Titanic_Dataset[[#This Row],[Name]],
FIND(",",Titanic_Dataset[[#This Row],[Name]])+2,
FIND(".",Titanic_Dataset[[#This Row],[Name]],FIND(",",Titanic_Dataset[[#This Row],[Name]]))-FIND(",",Titanic_Dataset[[#This Row],[Name]])-1))</f>
        <v>Mr.</v>
      </c>
      <c r="H683" s="1" t="s">
        <v>13</v>
      </c>
      <c r="I683">
        <v>27</v>
      </c>
      <c r="J68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83">
        <v>0</v>
      </c>
      <c r="L683">
        <v>0</v>
      </c>
      <c r="M683">
        <f>Titanic_Dataset[[#This Row],[Parch]]+Titanic_Dataset[[#This Row],[SibSp]]</f>
        <v>0</v>
      </c>
      <c r="N683" s="1" t="s">
        <v>131</v>
      </c>
      <c r="O683">
        <v>76.729200000000006</v>
      </c>
      <c r="P683">
        <f>IF(Titanic_Dataset[[#This Row],[Survived]]=1,Titanic_Dataset[[#This Row],[Fare]],NA())</f>
        <v>76.729200000000006</v>
      </c>
      <c r="Q683" t="e">
        <f>IF(Titanic_Dataset[[#This Row],[Survived]]=0,Titanic_Dataset[[#This Row],[Fare]],NA())</f>
        <v>#N/A</v>
      </c>
      <c r="R683" t="str">
        <f>VLOOKUP(Titanic_Dataset[[#This Row],[Fare]],Table2[],2,TRUE)</f>
        <v>very hiegh</v>
      </c>
      <c r="S683" s="1" t="s">
        <v>1362</v>
      </c>
      <c r="T683" s="1" t="s">
        <v>21</v>
      </c>
      <c r="U683" s="1"/>
      <c r="V683" s="1"/>
      <c r="W683" s="1"/>
    </row>
    <row r="684" spans="1:23" x14ac:dyDescent="0.25">
      <c r="A684">
        <v>683</v>
      </c>
      <c r="B684">
        <v>0</v>
      </c>
      <c r="C684" t="str">
        <f>IF(Titanic_Dataset[[#This Row],[Survived]]=1,"Survived","Died")</f>
        <v>Died</v>
      </c>
      <c r="D684">
        <v>3</v>
      </c>
      <c r="E684" t="str">
        <f>IF(Titanic_Dataset[[#This Row],[Pclass]]=1,"1st",IF(Titanic_Dataset[[#This Row],[Pclass]]=2,"2nd",IF(Titanic_Dataset[[#This Row],[Pclass]]=3,"3rd")))</f>
        <v>3rd</v>
      </c>
      <c r="F684" s="1" t="s">
        <v>1363</v>
      </c>
      <c r="G684" s="1" t="str">
        <f>TRIM(MID(Titanic_Dataset[[#This Row],[Name]],
FIND(",",Titanic_Dataset[[#This Row],[Name]])+2,
FIND(".",Titanic_Dataset[[#This Row],[Name]],FIND(",",Titanic_Dataset[[#This Row],[Name]]))-FIND(",",Titanic_Dataset[[#This Row],[Name]])-1))</f>
        <v>Mr.</v>
      </c>
      <c r="H684" s="1" t="s">
        <v>13</v>
      </c>
      <c r="I684">
        <v>20</v>
      </c>
      <c r="J68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84">
        <v>0</v>
      </c>
      <c r="L684">
        <v>0</v>
      </c>
      <c r="M684">
        <f>Titanic_Dataset[[#This Row],[Parch]]+Titanic_Dataset[[#This Row],[SibSp]]</f>
        <v>0</v>
      </c>
      <c r="N684" s="1" t="s">
        <v>1364</v>
      </c>
      <c r="O684">
        <v>9.2249999999999996</v>
      </c>
      <c r="P684" t="e">
        <f>IF(Titanic_Dataset[[#This Row],[Survived]]=1,Titanic_Dataset[[#This Row],[Fare]],NA())</f>
        <v>#N/A</v>
      </c>
      <c r="Q684">
        <f>IF(Titanic_Dataset[[#This Row],[Survived]]=0,Titanic_Dataset[[#This Row],[Fare]],NA())</f>
        <v>9.2249999999999996</v>
      </c>
      <c r="R684" t="str">
        <f>VLOOKUP(Titanic_Dataset[[#This Row],[Fare]],Table2[],2,TRUE)</f>
        <v>medium</v>
      </c>
      <c r="S684" s="1" t="s">
        <v>15</v>
      </c>
      <c r="T684" s="1" t="s">
        <v>16</v>
      </c>
      <c r="U684" s="1"/>
      <c r="V684" s="1"/>
      <c r="W684" s="1"/>
    </row>
    <row r="685" spans="1:23" x14ac:dyDescent="0.25">
      <c r="A685">
        <v>684</v>
      </c>
      <c r="B685">
        <v>0</v>
      </c>
      <c r="C685" t="str">
        <f>IF(Titanic_Dataset[[#This Row],[Survived]]=1,"Survived","Died")</f>
        <v>Died</v>
      </c>
      <c r="D685">
        <v>3</v>
      </c>
      <c r="E685" t="str">
        <f>IF(Titanic_Dataset[[#This Row],[Pclass]]=1,"1st",IF(Titanic_Dataset[[#This Row],[Pclass]]=2,"2nd",IF(Titanic_Dataset[[#This Row],[Pclass]]=3,"3rd")))</f>
        <v>3rd</v>
      </c>
      <c r="F685" s="1" t="s">
        <v>1365</v>
      </c>
      <c r="G685" s="1" t="str">
        <f>TRIM(MID(Titanic_Dataset[[#This Row],[Name]],
FIND(",",Titanic_Dataset[[#This Row],[Name]])+2,
FIND(".",Titanic_Dataset[[#This Row],[Name]],FIND(",",Titanic_Dataset[[#This Row],[Name]]))-FIND(",",Titanic_Dataset[[#This Row],[Name]])-1))</f>
        <v>Mr.</v>
      </c>
      <c r="H685" s="1" t="s">
        <v>13</v>
      </c>
      <c r="I685">
        <v>14</v>
      </c>
      <c r="J685" t="str">
        <f>IF(Titanic_Dataset[[#This Row],[Age]]&lt;12,"0-11",
IF(Titanic_Dataset[[#This Row],[Age]]&lt;20,"12-19",
IF(Titanic_Dataset[[#This Row],[Age]]&lt;30,"20-29",
IF(Titanic_Dataset[[#This Row],[Age]]&lt;40,"30-39",
IF(Titanic_Dataset[[#This Row],[Age]]&lt;50,"40-49",
IF(Titanic_Dataset[[#This Row],[Age]]&lt;60,"50-59",
IF(Titanic_Dataset[[#This Row],[Age]]&lt;70,"60-69",)))))))</f>
        <v>12-19</v>
      </c>
      <c r="K685">
        <v>5</v>
      </c>
      <c r="L685">
        <v>2</v>
      </c>
      <c r="M685">
        <f>Titanic_Dataset[[#This Row],[Parch]]+Titanic_Dataset[[#This Row],[SibSp]]</f>
        <v>7</v>
      </c>
      <c r="N685" s="1" t="s">
        <v>148</v>
      </c>
      <c r="O685">
        <v>46.9</v>
      </c>
      <c r="P685" t="e">
        <f>IF(Titanic_Dataset[[#This Row],[Survived]]=1,Titanic_Dataset[[#This Row],[Fare]],NA())</f>
        <v>#N/A</v>
      </c>
      <c r="Q685">
        <f>IF(Titanic_Dataset[[#This Row],[Survived]]=0,Titanic_Dataset[[#This Row],[Fare]],NA())</f>
        <v>46.9</v>
      </c>
      <c r="R685" t="str">
        <f>VLOOKUP(Titanic_Dataset[[#This Row],[Fare]],Table2[],2,TRUE)</f>
        <v>very hiegh</v>
      </c>
      <c r="S685" s="1" t="s">
        <v>15</v>
      </c>
      <c r="T685" s="1" t="s">
        <v>16</v>
      </c>
      <c r="U685" s="1"/>
      <c r="V685" s="1"/>
      <c r="W685" s="1"/>
    </row>
    <row r="686" spans="1:23" x14ac:dyDescent="0.25">
      <c r="A686">
        <v>685</v>
      </c>
      <c r="B686">
        <v>0</v>
      </c>
      <c r="C686" t="str">
        <f>IF(Titanic_Dataset[[#This Row],[Survived]]=1,"Survived","Died")</f>
        <v>Died</v>
      </c>
      <c r="D686">
        <v>2</v>
      </c>
      <c r="E686" t="str">
        <f>IF(Titanic_Dataset[[#This Row],[Pclass]]=1,"1st",IF(Titanic_Dataset[[#This Row],[Pclass]]=2,"2nd",IF(Titanic_Dataset[[#This Row],[Pclass]]=3,"3rd")))</f>
        <v>2nd</v>
      </c>
      <c r="F686" s="1" t="s">
        <v>1366</v>
      </c>
      <c r="G686" s="1" t="str">
        <f>TRIM(MID(Titanic_Dataset[[#This Row],[Name]],
FIND(",",Titanic_Dataset[[#This Row],[Name]])+2,
FIND(".",Titanic_Dataset[[#This Row],[Name]],FIND(",",Titanic_Dataset[[#This Row],[Name]]))-FIND(",",Titanic_Dataset[[#This Row],[Name]])-1))</f>
        <v>Mr.</v>
      </c>
      <c r="H686" s="1" t="s">
        <v>13</v>
      </c>
      <c r="I686">
        <v>60</v>
      </c>
      <c r="J686" t="str">
        <f>IF(Titanic_Dataset[[#This Row],[Age]]&lt;12,"0-11",
IF(Titanic_Dataset[[#This Row],[Age]]&lt;20,"12-19",
IF(Titanic_Dataset[[#This Row],[Age]]&lt;30,"20-29",
IF(Titanic_Dataset[[#This Row],[Age]]&lt;40,"30-39",
IF(Titanic_Dataset[[#This Row],[Age]]&lt;50,"40-49",
IF(Titanic_Dataset[[#This Row],[Age]]&lt;60,"50-59",
IF(Titanic_Dataset[[#This Row],[Age]]&lt;70,"60-69",)))))))</f>
        <v>60-69</v>
      </c>
      <c r="K686">
        <v>1</v>
      </c>
      <c r="L686">
        <v>1</v>
      </c>
      <c r="M686">
        <f>Titanic_Dataset[[#This Row],[Parch]]+Titanic_Dataset[[#This Row],[SibSp]]</f>
        <v>2</v>
      </c>
      <c r="N686" s="1" t="s">
        <v>1340</v>
      </c>
      <c r="O686">
        <v>39</v>
      </c>
      <c r="P686" t="e">
        <f>IF(Titanic_Dataset[[#This Row],[Survived]]=1,Titanic_Dataset[[#This Row],[Fare]],NA())</f>
        <v>#N/A</v>
      </c>
      <c r="Q686">
        <f>IF(Titanic_Dataset[[#This Row],[Survived]]=0,Titanic_Dataset[[#This Row],[Fare]],NA())</f>
        <v>39</v>
      </c>
      <c r="R686" t="str">
        <f>VLOOKUP(Titanic_Dataset[[#This Row],[Fare]],Table2[],2,TRUE)</f>
        <v>very hiegh</v>
      </c>
      <c r="S686" s="1" t="s">
        <v>15</v>
      </c>
      <c r="T686" s="1" t="s">
        <v>16</v>
      </c>
      <c r="U686" s="1"/>
      <c r="V686" s="1"/>
      <c r="W686" s="1"/>
    </row>
    <row r="687" spans="1:23" x14ac:dyDescent="0.25">
      <c r="A687">
        <v>686</v>
      </c>
      <c r="B687">
        <v>0</v>
      </c>
      <c r="C687" t="str">
        <f>IF(Titanic_Dataset[[#This Row],[Survived]]=1,"Survived","Died")</f>
        <v>Died</v>
      </c>
      <c r="D687">
        <v>2</v>
      </c>
      <c r="E687" t="str">
        <f>IF(Titanic_Dataset[[#This Row],[Pclass]]=1,"1st",IF(Titanic_Dataset[[#This Row],[Pclass]]=2,"2nd",IF(Titanic_Dataset[[#This Row],[Pclass]]=3,"3rd")))</f>
        <v>2nd</v>
      </c>
      <c r="F687" s="1" t="s">
        <v>1367</v>
      </c>
      <c r="G687" s="1" t="str">
        <f>TRIM(MID(Titanic_Dataset[[#This Row],[Name]],
FIND(",",Titanic_Dataset[[#This Row],[Name]])+2,
FIND(".",Titanic_Dataset[[#This Row],[Name]],FIND(",",Titanic_Dataset[[#This Row],[Name]]))-FIND(",",Titanic_Dataset[[#This Row],[Name]])-1))</f>
        <v>Mr.</v>
      </c>
      <c r="H687" s="1" t="s">
        <v>13</v>
      </c>
      <c r="I687">
        <v>25</v>
      </c>
      <c r="J68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87">
        <v>1</v>
      </c>
      <c r="L687">
        <v>2</v>
      </c>
      <c r="M687">
        <f>Titanic_Dataset[[#This Row],[Parch]]+Titanic_Dataset[[#This Row],[SibSp]]</f>
        <v>3</v>
      </c>
      <c r="N687" s="1" t="s">
        <v>113</v>
      </c>
      <c r="O687">
        <v>41.5792</v>
      </c>
      <c r="P687" t="e">
        <f>IF(Titanic_Dataset[[#This Row],[Survived]]=1,Titanic_Dataset[[#This Row],[Fare]],NA())</f>
        <v>#N/A</v>
      </c>
      <c r="Q687">
        <f>IF(Titanic_Dataset[[#This Row],[Survived]]=0,Titanic_Dataset[[#This Row],[Fare]],NA())</f>
        <v>41.5792</v>
      </c>
      <c r="R687" t="str">
        <f>VLOOKUP(Titanic_Dataset[[#This Row],[Fare]],Table2[],2,TRUE)</f>
        <v>very hiegh</v>
      </c>
      <c r="S687" s="1" t="s">
        <v>15</v>
      </c>
      <c r="T687" s="1" t="s">
        <v>21</v>
      </c>
      <c r="U687" s="1"/>
      <c r="V687" s="1"/>
      <c r="W687" s="1"/>
    </row>
    <row r="688" spans="1:23" x14ac:dyDescent="0.25">
      <c r="A688">
        <v>687</v>
      </c>
      <c r="B688">
        <v>0</v>
      </c>
      <c r="C688" t="str">
        <f>IF(Titanic_Dataset[[#This Row],[Survived]]=1,"Survived","Died")</f>
        <v>Died</v>
      </c>
      <c r="D688">
        <v>3</v>
      </c>
      <c r="E688" t="str">
        <f>IF(Titanic_Dataset[[#This Row],[Pclass]]=1,"1st",IF(Titanic_Dataset[[#This Row],[Pclass]]=2,"2nd",IF(Titanic_Dataset[[#This Row],[Pclass]]=3,"3rd")))</f>
        <v>3rd</v>
      </c>
      <c r="F688" s="1" t="s">
        <v>1368</v>
      </c>
      <c r="G688" s="1" t="str">
        <f>TRIM(MID(Titanic_Dataset[[#This Row],[Name]],
FIND(",",Titanic_Dataset[[#This Row],[Name]])+2,
FIND(".",Titanic_Dataset[[#This Row],[Name]],FIND(",",Titanic_Dataset[[#This Row],[Name]]))-FIND(",",Titanic_Dataset[[#This Row],[Name]])-1))</f>
        <v>Mr.</v>
      </c>
      <c r="H688" s="1" t="s">
        <v>13</v>
      </c>
      <c r="I688">
        <v>14</v>
      </c>
      <c r="J688" t="str">
        <f>IF(Titanic_Dataset[[#This Row],[Age]]&lt;12,"0-11",
IF(Titanic_Dataset[[#This Row],[Age]]&lt;20,"12-19",
IF(Titanic_Dataset[[#This Row],[Age]]&lt;30,"20-29",
IF(Titanic_Dataset[[#This Row],[Age]]&lt;40,"30-39",
IF(Titanic_Dataset[[#This Row],[Age]]&lt;50,"40-49",
IF(Titanic_Dataset[[#This Row],[Age]]&lt;60,"50-59",
IF(Titanic_Dataset[[#This Row],[Age]]&lt;70,"60-69",)))))))</f>
        <v>12-19</v>
      </c>
      <c r="K688">
        <v>4</v>
      </c>
      <c r="L688">
        <v>1</v>
      </c>
      <c r="M688">
        <f>Titanic_Dataset[[#This Row],[Parch]]+Titanic_Dataset[[#This Row],[SibSp]]</f>
        <v>5</v>
      </c>
      <c r="N688" s="1" t="s">
        <v>127</v>
      </c>
      <c r="O688">
        <v>39.6875</v>
      </c>
      <c r="P688" t="e">
        <f>IF(Titanic_Dataset[[#This Row],[Survived]]=1,Titanic_Dataset[[#This Row],[Fare]],NA())</f>
        <v>#N/A</v>
      </c>
      <c r="Q688">
        <f>IF(Titanic_Dataset[[#This Row],[Survived]]=0,Titanic_Dataset[[#This Row],[Fare]],NA())</f>
        <v>39.6875</v>
      </c>
      <c r="R688" t="str">
        <f>VLOOKUP(Titanic_Dataset[[#This Row],[Fare]],Table2[],2,TRUE)</f>
        <v>very hiegh</v>
      </c>
      <c r="S688" s="1" t="s">
        <v>15</v>
      </c>
      <c r="T688" s="1" t="s">
        <v>16</v>
      </c>
      <c r="U688" s="1"/>
      <c r="V688" s="1"/>
      <c r="W688" s="1"/>
    </row>
    <row r="689" spans="1:23" x14ac:dyDescent="0.25">
      <c r="A689">
        <v>688</v>
      </c>
      <c r="B689">
        <v>0</v>
      </c>
      <c r="C689" t="str">
        <f>IF(Titanic_Dataset[[#This Row],[Survived]]=1,"Survived","Died")</f>
        <v>Died</v>
      </c>
      <c r="D689">
        <v>3</v>
      </c>
      <c r="E689" t="str">
        <f>IF(Titanic_Dataset[[#This Row],[Pclass]]=1,"1st",IF(Titanic_Dataset[[#This Row],[Pclass]]=2,"2nd",IF(Titanic_Dataset[[#This Row],[Pclass]]=3,"3rd")))</f>
        <v>3rd</v>
      </c>
      <c r="F689" s="1" t="s">
        <v>1369</v>
      </c>
      <c r="G689" s="1" t="str">
        <f>TRIM(MID(Titanic_Dataset[[#This Row],[Name]],
FIND(",",Titanic_Dataset[[#This Row],[Name]])+2,
FIND(".",Titanic_Dataset[[#This Row],[Name]],FIND(",",Titanic_Dataset[[#This Row],[Name]]))-FIND(",",Titanic_Dataset[[#This Row],[Name]])-1))</f>
        <v>Mr.</v>
      </c>
      <c r="H689" s="1" t="s">
        <v>13</v>
      </c>
      <c r="I689">
        <v>19</v>
      </c>
      <c r="J689" t="str">
        <f>IF(Titanic_Dataset[[#This Row],[Age]]&lt;12,"0-11",
IF(Titanic_Dataset[[#This Row],[Age]]&lt;20,"12-19",
IF(Titanic_Dataset[[#This Row],[Age]]&lt;30,"20-29",
IF(Titanic_Dataset[[#This Row],[Age]]&lt;40,"30-39",
IF(Titanic_Dataset[[#This Row],[Age]]&lt;50,"40-49",
IF(Titanic_Dataset[[#This Row],[Age]]&lt;60,"50-59",
IF(Titanic_Dataset[[#This Row],[Age]]&lt;70,"60-69",)))))))</f>
        <v>12-19</v>
      </c>
      <c r="K689">
        <v>0</v>
      </c>
      <c r="L689">
        <v>0</v>
      </c>
      <c r="M689">
        <f>Titanic_Dataset[[#This Row],[Parch]]+Titanic_Dataset[[#This Row],[SibSp]]</f>
        <v>0</v>
      </c>
      <c r="N689" s="1" t="s">
        <v>1370</v>
      </c>
      <c r="O689">
        <v>10.1708</v>
      </c>
      <c r="P689" t="e">
        <f>IF(Titanic_Dataset[[#This Row],[Survived]]=1,Titanic_Dataset[[#This Row],[Fare]],NA())</f>
        <v>#N/A</v>
      </c>
      <c r="Q689">
        <f>IF(Titanic_Dataset[[#This Row],[Survived]]=0,Titanic_Dataset[[#This Row],[Fare]],NA())</f>
        <v>10.1708</v>
      </c>
      <c r="R689" t="str">
        <f>VLOOKUP(Titanic_Dataset[[#This Row],[Fare]],Table2[],2,TRUE)</f>
        <v>medium</v>
      </c>
      <c r="S689" s="1" t="s">
        <v>15</v>
      </c>
      <c r="T689" s="1" t="s">
        <v>16</v>
      </c>
      <c r="U689" s="1"/>
      <c r="V689" s="1"/>
      <c r="W689" s="1"/>
    </row>
    <row r="690" spans="1:23" x14ac:dyDescent="0.25">
      <c r="A690">
        <v>689</v>
      </c>
      <c r="B690">
        <v>0</v>
      </c>
      <c r="C690" t="str">
        <f>IF(Titanic_Dataset[[#This Row],[Survived]]=1,"Survived","Died")</f>
        <v>Died</v>
      </c>
      <c r="D690">
        <v>3</v>
      </c>
      <c r="E690" t="str">
        <f>IF(Titanic_Dataset[[#This Row],[Pclass]]=1,"1st",IF(Titanic_Dataset[[#This Row],[Pclass]]=2,"2nd",IF(Titanic_Dataset[[#This Row],[Pclass]]=3,"3rd")))</f>
        <v>3rd</v>
      </c>
      <c r="F690" s="1" t="s">
        <v>1371</v>
      </c>
      <c r="G690" s="1" t="str">
        <f>TRIM(MID(Titanic_Dataset[[#This Row],[Name]],
FIND(",",Titanic_Dataset[[#This Row],[Name]])+2,
FIND(".",Titanic_Dataset[[#This Row],[Name]],FIND(",",Titanic_Dataset[[#This Row],[Name]]))-FIND(",",Titanic_Dataset[[#This Row],[Name]])-1))</f>
        <v>Mr.</v>
      </c>
      <c r="H690" s="1" t="s">
        <v>13</v>
      </c>
      <c r="I690">
        <v>18</v>
      </c>
      <c r="J690" t="str">
        <f>IF(Titanic_Dataset[[#This Row],[Age]]&lt;12,"0-11",
IF(Titanic_Dataset[[#This Row],[Age]]&lt;20,"12-19",
IF(Titanic_Dataset[[#This Row],[Age]]&lt;30,"20-29",
IF(Titanic_Dataset[[#This Row],[Age]]&lt;40,"30-39",
IF(Titanic_Dataset[[#This Row],[Age]]&lt;50,"40-49",
IF(Titanic_Dataset[[#This Row],[Age]]&lt;60,"50-59",
IF(Titanic_Dataset[[#This Row],[Age]]&lt;70,"60-69",)))))))</f>
        <v>12-19</v>
      </c>
      <c r="K690">
        <v>0</v>
      </c>
      <c r="L690">
        <v>0</v>
      </c>
      <c r="M690">
        <f>Titanic_Dataset[[#This Row],[Parch]]+Titanic_Dataset[[#This Row],[SibSp]]</f>
        <v>0</v>
      </c>
      <c r="N690" s="1" t="s">
        <v>1372</v>
      </c>
      <c r="O690">
        <v>7.7957999999999998</v>
      </c>
      <c r="P690" t="e">
        <f>IF(Titanic_Dataset[[#This Row],[Survived]]=1,Titanic_Dataset[[#This Row],[Fare]],NA())</f>
        <v>#N/A</v>
      </c>
      <c r="Q690">
        <f>IF(Titanic_Dataset[[#This Row],[Survived]]=0,Titanic_Dataset[[#This Row],[Fare]],NA())</f>
        <v>7.7957999999999998</v>
      </c>
      <c r="R690" t="str">
        <f>VLOOKUP(Titanic_Dataset[[#This Row],[Fare]],Table2[],2,TRUE)</f>
        <v>low</v>
      </c>
      <c r="S690" s="1" t="s">
        <v>15</v>
      </c>
      <c r="T690" s="1" t="s">
        <v>16</v>
      </c>
      <c r="U690" s="1"/>
      <c r="V690" s="1"/>
      <c r="W690" s="1"/>
    </row>
    <row r="691" spans="1:23" x14ac:dyDescent="0.25">
      <c r="A691">
        <v>690</v>
      </c>
      <c r="B691">
        <v>1</v>
      </c>
      <c r="C691" t="str">
        <f>IF(Titanic_Dataset[[#This Row],[Survived]]=1,"Survived","Died")</f>
        <v>Survived</v>
      </c>
      <c r="D691">
        <v>1</v>
      </c>
      <c r="E691" t="str">
        <f>IF(Titanic_Dataset[[#This Row],[Pclass]]=1,"1st",IF(Titanic_Dataset[[#This Row],[Pclass]]=2,"2nd",IF(Titanic_Dataset[[#This Row],[Pclass]]=3,"3rd")))</f>
        <v>1st</v>
      </c>
      <c r="F691" s="1" t="s">
        <v>1373</v>
      </c>
      <c r="G691" s="1" t="str">
        <f>TRIM(MID(Titanic_Dataset[[#This Row],[Name]],
FIND(",",Titanic_Dataset[[#This Row],[Name]])+2,
FIND(".",Titanic_Dataset[[#This Row],[Name]],FIND(",",Titanic_Dataset[[#This Row],[Name]]))-FIND(",",Titanic_Dataset[[#This Row],[Name]])-1))</f>
        <v>Miss.</v>
      </c>
      <c r="H691" s="1" t="s">
        <v>18</v>
      </c>
      <c r="I691">
        <v>15</v>
      </c>
      <c r="J691" t="str">
        <f>IF(Titanic_Dataset[[#This Row],[Age]]&lt;12,"0-11",
IF(Titanic_Dataset[[#This Row],[Age]]&lt;20,"12-19",
IF(Titanic_Dataset[[#This Row],[Age]]&lt;30,"20-29",
IF(Titanic_Dataset[[#This Row],[Age]]&lt;40,"30-39",
IF(Titanic_Dataset[[#This Row],[Age]]&lt;50,"40-49",
IF(Titanic_Dataset[[#This Row],[Age]]&lt;60,"50-59",
IF(Titanic_Dataset[[#This Row],[Age]]&lt;70,"60-69",)))))))</f>
        <v>12-19</v>
      </c>
      <c r="K691">
        <v>0</v>
      </c>
      <c r="L691">
        <v>1</v>
      </c>
      <c r="M691">
        <f>Titanic_Dataset[[#This Row],[Parch]]+Titanic_Dataset[[#This Row],[SibSp]]</f>
        <v>1</v>
      </c>
      <c r="N691" s="1" t="s">
        <v>1374</v>
      </c>
      <c r="O691">
        <v>211.33750000000001</v>
      </c>
      <c r="P691">
        <f>IF(Titanic_Dataset[[#This Row],[Survived]]=1,Titanic_Dataset[[#This Row],[Fare]],NA())</f>
        <v>211.33750000000001</v>
      </c>
      <c r="Q691" t="e">
        <f>IF(Titanic_Dataset[[#This Row],[Survived]]=0,Titanic_Dataset[[#This Row],[Fare]],NA())</f>
        <v>#N/A</v>
      </c>
      <c r="R691" t="str">
        <f>VLOOKUP(Titanic_Dataset[[#This Row],[Fare]],Table2[],2,TRUE)</f>
        <v>very hiegh</v>
      </c>
      <c r="S691" s="1" t="s">
        <v>1375</v>
      </c>
      <c r="T691" s="1" t="s">
        <v>16</v>
      </c>
      <c r="U691" s="1"/>
      <c r="V691" s="1"/>
      <c r="W691" s="1"/>
    </row>
    <row r="692" spans="1:23" x14ac:dyDescent="0.25">
      <c r="A692">
        <v>691</v>
      </c>
      <c r="B692">
        <v>1</v>
      </c>
      <c r="C692" t="str">
        <f>IF(Titanic_Dataset[[#This Row],[Survived]]=1,"Survived","Died")</f>
        <v>Survived</v>
      </c>
      <c r="D692">
        <v>1</v>
      </c>
      <c r="E692" t="str">
        <f>IF(Titanic_Dataset[[#This Row],[Pclass]]=1,"1st",IF(Titanic_Dataset[[#This Row],[Pclass]]=2,"2nd",IF(Titanic_Dataset[[#This Row],[Pclass]]=3,"3rd")))</f>
        <v>1st</v>
      </c>
      <c r="F692" s="1" t="s">
        <v>1376</v>
      </c>
      <c r="G692" s="1" t="str">
        <f>TRIM(MID(Titanic_Dataset[[#This Row],[Name]],
FIND(",",Titanic_Dataset[[#This Row],[Name]])+2,
FIND(".",Titanic_Dataset[[#This Row],[Name]],FIND(",",Titanic_Dataset[[#This Row],[Name]]))-FIND(",",Titanic_Dataset[[#This Row],[Name]])-1))</f>
        <v>Mr.</v>
      </c>
      <c r="H692" s="1" t="s">
        <v>13</v>
      </c>
      <c r="I692">
        <v>31</v>
      </c>
      <c r="J692" t="str">
        <f>IF(Titanic_Dataset[[#This Row],[Age]]&lt;12,"0-11",
IF(Titanic_Dataset[[#This Row],[Age]]&lt;20,"12-19",
IF(Titanic_Dataset[[#This Row],[Age]]&lt;30,"20-29",
IF(Titanic_Dataset[[#This Row],[Age]]&lt;40,"30-39",
IF(Titanic_Dataset[[#This Row],[Age]]&lt;50,"40-49",
IF(Titanic_Dataset[[#This Row],[Age]]&lt;60,"50-59",
IF(Titanic_Dataset[[#This Row],[Age]]&lt;70,"60-69",)))))))</f>
        <v>30-39</v>
      </c>
      <c r="K692">
        <v>1</v>
      </c>
      <c r="L692">
        <v>0</v>
      </c>
      <c r="M692">
        <f>Titanic_Dataset[[#This Row],[Parch]]+Titanic_Dataset[[#This Row],[SibSp]]</f>
        <v>1</v>
      </c>
      <c r="N692" s="1" t="s">
        <v>1377</v>
      </c>
      <c r="O692">
        <v>57</v>
      </c>
      <c r="P692">
        <f>IF(Titanic_Dataset[[#This Row],[Survived]]=1,Titanic_Dataset[[#This Row],[Fare]],NA())</f>
        <v>57</v>
      </c>
      <c r="Q692" t="e">
        <f>IF(Titanic_Dataset[[#This Row],[Survived]]=0,Titanic_Dataset[[#This Row],[Fare]],NA())</f>
        <v>#N/A</v>
      </c>
      <c r="R692" t="str">
        <f>VLOOKUP(Titanic_Dataset[[#This Row],[Fare]],Table2[],2,TRUE)</f>
        <v>very hiegh</v>
      </c>
      <c r="S692" s="1" t="s">
        <v>1378</v>
      </c>
      <c r="T692" s="1" t="s">
        <v>16</v>
      </c>
      <c r="U692" s="1"/>
      <c r="V692" s="1"/>
      <c r="W692" s="1"/>
    </row>
    <row r="693" spans="1:23" x14ac:dyDescent="0.25">
      <c r="A693">
        <v>692</v>
      </c>
      <c r="B693">
        <v>1</v>
      </c>
      <c r="C693" t="str">
        <f>IF(Titanic_Dataset[[#This Row],[Survived]]=1,"Survived","Died")</f>
        <v>Survived</v>
      </c>
      <c r="D693">
        <v>3</v>
      </c>
      <c r="E693" t="str">
        <f>IF(Titanic_Dataset[[#This Row],[Pclass]]=1,"1st",IF(Titanic_Dataset[[#This Row],[Pclass]]=2,"2nd",IF(Titanic_Dataset[[#This Row],[Pclass]]=3,"3rd")))</f>
        <v>3rd</v>
      </c>
      <c r="F693" s="1" t="s">
        <v>1379</v>
      </c>
      <c r="G693" s="1" t="str">
        <f>TRIM(MID(Titanic_Dataset[[#This Row],[Name]],
FIND(",",Titanic_Dataset[[#This Row],[Name]])+2,
FIND(".",Titanic_Dataset[[#This Row],[Name]],FIND(",",Titanic_Dataset[[#This Row],[Name]]))-FIND(",",Titanic_Dataset[[#This Row],[Name]])-1))</f>
        <v>Miss.</v>
      </c>
      <c r="H693" s="1" t="s">
        <v>18</v>
      </c>
      <c r="I693">
        <v>4</v>
      </c>
      <c r="J693" t="str">
        <f>IF(Titanic_Dataset[[#This Row],[Age]]&lt;12,"0-11",
IF(Titanic_Dataset[[#This Row],[Age]]&lt;20,"12-19",
IF(Titanic_Dataset[[#This Row],[Age]]&lt;30,"20-29",
IF(Titanic_Dataset[[#This Row],[Age]]&lt;40,"30-39",
IF(Titanic_Dataset[[#This Row],[Age]]&lt;50,"40-49",
IF(Titanic_Dataset[[#This Row],[Age]]&lt;60,"50-59",
IF(Titanic_Dataset[[#This Row],[Age]]&lt;70,"60-69",)))))))</f>
        <v>0-11</v>
      </c>
      <c r="K693">
        <v>0</v>
      </c>
      <c r="L693">
        <v>1</v>
      </c>
      <c r="M693">
        <f>Titanic_Dataset[[#This Row],[Parch]]+Titanic_Dataset[[#This Row],[SibSp]]</f>
        <v>1</v>
      </c>
      <c r="N693" s="1" t="s">
        <v>1380</v>
      </c>
      <c r="O693">
        <v>13.416700000000001</v>
      </c>
      <c r="P693">
        <f>IF(Titanic_Dataset[[#This Row],[Survived]]=1,Titanic_Dataset[[#This Row],[Fare]],NA())</f>
        <v>13.416700000000001</v>
      </c>
      <c r="Q693" t="e">
        <f>IF(Titanic_Dataset[[#This Row],[Survived]]=0,Titanic_Dataset[[#This Row],[Fare]],NA())</f>
        <v>#N/A</v>
      </c>
      <c r="R693" t="str">
        <f>VLOOKUP(Titanic_Dataset[[#This Row],[Fare]],Table2[],2,TRUE)</f>
        <v>medium</v>
      </c>
      <c r="S693" s="1" t="s">
        <v>15</v>
      </c>
      <c r="T693" s="1" t="s">
        <v>21</v>
      </c>
      <c r="U693" s="1"/>
      <c r="V693" s="1"/>
      <c r="W693" s="1"/>
    </row>
    <row r="694" spans="1:23" x14ac:dyDescent="0.25">
      <c r="A694">
        <v>693</v>
      </c>
      <c r="B694">
        <v>1</v>
      </c>
      <c r="C694" t="str">
        <f>IF(Titanic_Dataset[[#This Row],[Survived]]=1,"Survived","Died")</f>
        <v>Survived</v>
      </c>
      <c r="D694">
        <v>3</v>
      </c>
      <c r="E694" t="str">
        <f>IF(Titanic_Dataset[[#This Row],[Pclass]]=1,"1st",IF(Titanic_Dataset[[#This Row],[Pclass]]=2,"2nd",IF(Titanic_Dataset[[#This Row],[Pclass]]=3,"3rd")))</f>
        <v>3rd</v>
      </c>
      <c r="F694" s="1" t="s">
        <v>1381</v>
      </c>
      <c r="G694" s="1" t="str">
        <f>TRIM(MID(Titanic_Dataset[[#This Row],[Name]],
FIND(",",Titanic_Dataset[[#This Row],[Name]])+2,
FIND(".",Titanic_Dataset[[#This Row],[Name]],FIND(",",Titanic_Dataset[[#This Row],[Name]]))-FIND(",",Titanic_Dataset[[#This Row],[Name]])-1))</f>
        <v>Mr.</v>
      </c>
      <c r="H694" s="1" t="s">
        <v>13</v>
      </c>
      <c r="I694">
        <v>28</v>
      </c>
      <c r="J69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94">
        <v>0</v>
      </c>
      <c r="L694">
        <v>0</v>
      </c>
      <c r="M694">
        <f>Titanic_Dataset[[#This Row],[Parch]]+Titanic_Dataset[[#This Row],[SibSp]]</f>
        <v>0</v>
      </c>
      <c r="N694" s="1" t="s">
        <v>180</v>
      </c>
      <c r="O694">
        <v>56.495800000000003</v>
      </c>
      <c r="P694">
        <f>IF(Titanic_Dataset[[#This Row],[Survived]]=1,Titanic_Dataset[[#This Row],[Fare]],NA())</f>
        <v>56.495800000000003</v>
      </c>
      <c r="Q694" t="e">
        <f>IF(Titanic_Dataset[[#This Row],[Survived]]=0,Titanic_Dataset[[#This Row],[Fare]],NA())</f>
        <v>#N/A</v>
      </c>
      <c r="R694" t="str">
        <f>VLOOKUP(Titanic_Dataset[[#This Row],[Fare]],Table2[],2,TRUE)</f>
        <v>very hiegh</v>
      </c>
      <c r="S694" s="1" t="s">
        <v>15</v>
      </c>
      <c r="T694" s="1" t="s">
        <v>16</v>
      </c>
      <c r="U694" s="1"/>
      <c r="V694" s="1"/>
      <c r="W694" s="1"/>
    </row>
    <row r="695" spans="1:23" x14ac:dyDescent="0.25">
      <c r="A695">
        <v>694</v>
      </c>
      <c r="B695">
        <v>0</v>
      </c>
      <c r="C695" t="str">
        <f>IF(Titanic_Dataset[[#This Row],[Survived]]=1,"Survived","Died")</f>
        <v>Died</v>
      </c>
      <c r="D695">
        <v>3</v>
      </c>
      <c r="E695" t="str">
        <f>IF(Titanic_Dataset[[#This Row],[Pclass]]=1,"1st",IF(Titanic_Dataset[[#This Row],[Pclass]]=2,"2nd",IF(Titanic_Dataset[[#This Row],[Pclass]]=3,"3rd")))</f>
        <v>3rd</v>
      </c>
      <c r="F695" s="1" t="s">
        <v>1382</v>
      </c>
      <c r="G695" s="1" t="str">
        <f>TRIM(MID(Titanic_Dataset[[#This Row],[Name]],
FIND(",",Titanic_Dataset[[#This Row],[Name]])+2,
FIND(".",Titanic_Dataset[[#This Row],[Name]],FIND(",",Titanic_Dataset[[#This Row],[Name]]))-FIND(",",Titanic_Dataset[[#This Row],[Name]])-1))</f>
        <v>Mr.</v>
      </c>
      <c r="H695" s="1" t="s">
        <v>13</v>
      </c>
      <c r="I695">
        <v>25</v>
      </c>
      <c r="J69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95">
        <v>0</v>
      </c>
      <c r="L695">
        <v>0</v>
      </c>
      <c r="M695">
        <f>Titanic_Dataset[[#This Row],[Parch]]+Titanic_Dataset[[#This Row],[SibSp]]</f>
        <v>0</v>
      </c>
      <c r="N695" s="1" t="s">
        <v>1383</v>
      </c>
      <c r="O695">
        <v>7.2249999999999996</v>
      </c>
      <c r="P695" t="e">
        <f>IF(Titanic_Dataset[[#This Row],[Survived]]=1,Titanic_Dataset[[#This Row],[Fare]],NA())</f>
        <v>#N/A</v>
      </c>
      <c r="Q695">
        <f>IF(Titanic_Dataset[[#This Row],[Survived]]=0,Titanic_Dataset[[#This Row],[Fare]],NA())</f>
        <v>7.2249999999999996</v>
      </c>
      <c r="R695" t="str">
        <f>VLOOKUP(Titanic_Dataset[[#This Row],[Fare]],Table2[],2,TRUE)</f>
        <v>low</v>
      </c>
      <c r="S695" s="1" t="s">
        <v>15</v>
      </c>
      <c r="T695" s="1" t="s">
        <v>21</v>
      </c>
      <c r="U695" s="1"/>
      <c r="V695" s="1"/>
      <c r="W695" s="1"/>
    </row>
    <row r="696" spans="1:23" x14ac:dyDescent="0.25">
      <c r="A696">
        <v>695</v>
      </c>
      <c r="B696">
        <v>0</v>
      </c>
      <c r="C696" t="str">
        <f>IF(Titanic_Dataset[[#This Row],[Survived]]=1,"Survived","Died")</f>
        <v>Died</v>
      </c>
      <c r="D696">
        <v>1</v>
      </c>
      <c r="E696" t="str">
        <f>IF(Titanic_Dataset[[#This Row],[Pclass]]=1,"1st",IF(Titanic_Dataset[[#This Row],[Pclass]]=2,"2nd",IF(Titanic_Dataset[[#This Row],[Pclass]]=3,"3rd")))</f>
        <v>1st</v>
      </c>
      <c r="F696" s="1" t="s">
        <v>1384</v>
      </c>
      <c r="G696" s="1" t="str">
        <f>TRIM(MID(Titanic_Dataset[[#This Row],[Name]],
FIND(",",Titanic_Dataset[[#This Row],[Name]])+2,
FIND(".",Titanic_Dataset[[#This Row],[Name]],FIND(",",Titanic_Dataset[[#This Row],[Name]]))-FIND(",",Titanic_Dataset[[#This Row],[Name]])-1))</f>
        <v>Col.</v>
      </c>
      <c r="H696" s="1" t="s">
        <v>13</v>
      </c>
      <c r="I696">
        <v>60</v>
      </c>
      <c r="J696" t="str">
        <f>IF(Titanic_Dataset[[#This Row],[Age]]&lt;12,"0-11",
IF(Titanic_Dataset[[#This Row],[Age]]&lt;20,"12-19",
IF(Titanic_Dataset[[#This Row],[Age]]&lt;30,"20-29",
IF(Titanic_Dataset[[#This Row],[Age]]&lt;40,"30-39",
IF(Titanic_Dataset[[#This Row],[Age]]&lt;50,"40-49",
IF(Titanic_Dataset[[#This Row],[Age]]&lt;60,"50-59",
IF(Titanic_Dataset[[#This Row],[Age]]&lt;70,"60-69",)))))))</f>
        <v>60-69</v>
      </c>
      <c r="K696">
        <v>0</v>
      </c>
      <c r="L696">
        <v>0</v>
      </c>
      <c r="M696">
        <f>Titanic_Dataset[[#This Row],[Parch]]+Titanic_Dataset[[#This Row],[SibSp]]</f>
        <v>0</v>
      </c>
      <c r="N696" s="1" t="s">
        <v>1385</v>
      </c>
      <c r="O696">
        <v>26.55</v>
      </c>
      <c r="P696" t="e">
        <f>IF(Titanic_Dataset[[#This Row],[Survived]]=1,Titanic_Dataset[[#This Row],[Fare]],NA())</f>
        <v>#N/A</v>
      </c>
      <c r="Q696">
        <f>IF(Titanic_Dataset[[#This Row],[Survived]]=0,Titanic_Dataset[[#This Row],[Fare]],NA())</f>
        <v>26.55</v>
      </c>
      <c r="R696" t="str">
        <f>VLOOKUP(Titanic_Dataset[[#This Row],[Fare]],Table2[],2,TRUE)</f>
        <v>high</v>
      </c>
      <c r="S696" s="1" t="s">
        <v>15</v>
      </c>
      <c r="T696" s="1" t="s">
        <v>16</v>
      </c>
      <c r="U696" s="1"/>
      <c r="V696" s="1"/>
      <c r="W696" s="1"/>
    </row>
    <row r="697" spans="1:23" x14ac:dyDescent="0.25">
      <c r="A697">
        <v>696</v>
      </c>
      <c r="B697">
        <v>0</v>
      </c>
      <c r="C697" t="str">
        <f>IF(Titanic_Dataset[[#This Row],[Survived]]=1,"Survived","Died")</f>
        <v>Died</v>
      </c>
      <c r="D697">
        <v>2</v>
      </c>
      <c r="E697" t="str">
        <f>IF(Titanic_Dataset[[#This Row],[Pclass]]=1,"1st",IF(Titanic_Dataset[[#This Row],[Pclass]]=2,"2nd",IF(Titanic_Dataset[[#This Row],[Pclass]]=3,"3rd")))</f>
        <v>2nd</v>
      </c>
      <c r="F697" s="1" t="s">
        <v>1386</v>
      </c>
      <c r="G697" s="1" t="str">
        <f>TRIM(MID(Titanic_Dataset[[#This Row],[Name]],
FIND(",",Titanic_Dataset[[#This Row],[Name]])+2,
FIND(".",Titanic_Dataset[[#This Row],[Name]],FIND(",",Titanic_Dataset[[#This Row],[Name]]))-FIND(",",Titanic_Dataset[[#This Row],[Name]])-1))</f>
        <v>Mr.</v>
      </c>
      <c r="H697" s="1" t="s">
        <v>13</v>
      </c>
      <c r="I697">
        <v>52</v>
      </c>
      <c r="J697" t="str">
        <f>IF(Titanic_Dataset[[#This Row],[Age]]&lt;12,"0-11",
IF(Titanic_Dataset[[#This Row],[Age]]&lt;20,"12-19",
IF(Titanic_Dataset[[#This Row],[Age]]&lt;30,"20-29",
IF(Titanic_Dataset[[#This Row],[Age]]&lt;40,"30-39",
IF(Titanic_Dataset[[#This Row],[Age]]&lt;50,"40-49",
IF(Titanic_Dataset[[#This Row],[Age]]&lt;60,"50-59",
IF(Titanic_Dataset[[#This Row],[Age]]&lt;70,"60-69",)))))))</f>
        <v>50-59</v>
      </c>
      <c r="K697">
        <v>0</v>
      </c>
      <c r="L697">
        <v>0</v>
      </c>
      <c r="M697">
        <f>Titanic_Dataset[[#This Row],[Parch]]+Titanic_Dataset[[#This Row],[SibSp]]</f>
        <v>0</v>
      </c>
      <c r="N697" s="1" t="s">
        <v>1387</v>
      </c>
      <c r="O697">
        <v>13.5</v>
      </c>
      <c r="P697" t="e">
        <f>IF(Titanic_Dataset[[#This Row],[Survived]]=1,Titanic_Dataset[[#This Row],[Fare]],NA())</f>
        <v>#N/A</v>
      </c>
      <c r="Q697">
        <f>IF(Titanic_Dataset[[#This Row],[Survived]]=0,Titanic_Dataset[[#This Row],[Fare]],NA())</f>
        <v>13.5</v>
      </c>
      <c r="R697" t="str">
        <f>VLOOKUP(Titanic_Dataset[[#This Row],[Fare]],Table2[],2,TRUE)</f>
        <v>medium</v>
      </c>
      <c r="S697" s="1" t="s">
        <v>15</v>
      </c>
      <c r="T697" s="1" t="s">
        <v>16</v>
      </c>
      <c r="U697" s="1"/>
      <c r="V697" s="1"/>
      <c r="W697" s="1"/>
    </row>
    <row r="698" spans="1:23" x14ac:dyDescent="0.25">
      <c r="A698">
        <v>697</v>
      </c>
      <c r="B698">
        <v>0</v>
      </c>
      <c r="C698" t="str">
        <f>IF(Titanic_Dataset[[#This Row],[Survived]]=1,"Survived","Died")</f>
        <v>Died</v>
      </c>
      <c r="D698">
        <v>3</v>
      </c>
      <c r="E698" t="str">
        <f>IF(Titanic_Dataset[[#This Row],[Pclass]]=1,"1st",IF(Titanic_Dataset[[#This Row],[Pclass]]=2,"2nd",IF(Titanic_Dataset[[#This Row],[Pclass]]=3,"3rd")))</f>
        <v>3rd</v>
      </c>
      <c r="F698" s="1" t="s">
        <v>1388</v>
      </c>
      <c r="G698" s="1" t="str">
        <f>TRIM(MID(Titanic_Dataset[[#This Row],[Name]],
FIND(",",Titanic_Dataset[[#This Row],[Name]])+2,
FIND(".",Titanic_Dataset[[#This Row],[Name]],FIND(",",Titanic_Dataset[[#This Row],[Name]]))-FIND(",",Titanic_Dataset[[#This Row],[Name]])-1))</f>
        <v>Mr.</v>
      </c>
      <c r="H698" s="1" t="s">
        <v>13</v>
      </c>
      <c r="I698">
        <v>44</v>
      </c>
      <c r="J698" t="str">
        <f>IF(Titanic_Dataset[[#This Row],[Age]]&lt;12,"0-11",
IF(Titanic_Dataset[[#This Row],[Age]]&lt;20,"12-19",
IF(Titanic_Dataset[[#This Row],[Age]]&lt;30,"20-29",
IF(Titanic_Dataset[[#This Row],[Age]]&lt;40,"30-39",
IF(Titanic_Dataset[[#This Row],[Age]]&lt;50,"40-49",
IF(Titanic_Dataset[[#This Row],[Age]]&lt;60,"50-59",
IF(Titanic_Dataset[[#This Row],[Age]]&lt;70,"60-69",)))))))</f>
        <v>40-49</v>
      </c>
      <c r="K698">
        <v>0</v>
      </c>
      <c r="L698">
        <v>0</v>
      </c>
      <c r="M698">
        <f>Titanic_Dataset[[#This Row],[Parch]]+Titanic_Dataset[[#This Row],[SibSp]]</f>
        <v>0</v>
      </c>
      <c r="N698" s="1" t="s">
        <v>1389</v>
      </c>
      <c r="O698">
        <v>8.0500000000000007</v>
      </c>
      <c r="P698" t="e">
        <f>IF(Titanic_Dataset[[#This Row],[Survived]]=1,Titanic_Dataset[[#This Row],[Fare]],NA())</f>
        <v>#N/A</v>
      </c>
      <c r="Q698">
        <f>IF(Titanic_Dataset[[#This Row],[Survived]]=0,Titanic_Dataset[[#This Row],[Fare]],NA())</f>
        <v>8.0500000000000007</v>
      </c>
      <c r="R698" t="str">
        <f>VLOOKUP(Titanic_Dataset[[#This Row],[Fare]],Table2[],2,TRUE)</f>
        <v>medium</v>
      </c>
      <c r="S698" s="1" t="s">
        <v>15</v>
      </c>
      <c r="T698" s="1" t="s">
        <v>16</v>
      </c>
      <c r="U698" s="1"/>
      <c r="V698" s="1"/>
      <c r="W698" s="1"/>
    </row>
    <row r="699" spans="1:23" x14ac:dyDescent="0.25">
      <c r="A699">
        <v>698</v>
      </c>
      <c r="B699">
        <v>1</v>
      </c>
      <c r="C699" t="str">
        <f>IF(Titanic_Dataset[[#This Row],[Survived]]=1,"Survived","Died")</f>
        <v>Survived</v>
      </c>
      <c r="D699">
        <v>3</v>
      </c>
      <c r="E699" t="str">
        <f>IF(Titanic_Dataset[[#This Row],[Pclass]]=1,"1st",IF(Titanic_Dataset[[#This Row],[Pclass]]=2,"2nd",IF(Titanic_Dataset[[#This Row],[Pclass]]=3,"3rd")))</f>
        <v>3rd</v>
      </c>
      <c r="F699" s="1" t="s">
        <v>1390</v>
      </c>
      <c r="G699" s="1" t="str">
        <f>TRIM(MID(Titanic_Dataset[[#This Row],[Name]],
FIND(",",Titanic_Dataset[[#This Row],[Name]])+2,
FIND(".",Titanic_Dataset[[#This Row],[Name]],FIND(",",Titanic_Dataset[[#This Row],[Name]]))-FIND(",",Titanic_Dataset[[#This Row],[Name]])-1))</f>
        <v>Miss.</v>
      </c>
      <c r="H699" s="1" t="s">
        <v>18</v>
      </c>
      <c r="I699">
        <v>28</v>
      </c>
      <c r="J69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699">
        <v>0</v>
      </c>
      <c r="L699">
        <v>0</v>
      </c>
      <c r="M699">
        <f>Titanic_Dataset[[#This Row],[Parch]]+Titanic_Dataset[[#This Row],[SibSp]]</f>
        <v>0</v>
      </c>
      <c r="N699" s="1" t="s">
        <v>1391</v>
      </c>
      <c r="O699">
        <v>7.7332999999999998</v>
      </c>
      <c r="P699">
        <f>IF(Titanic_Dataset[[#This Row],[Survived]]=1,Titanic_Dataset[[#This Row],[Fare]],NA())</f>
        <v>7.7332999999999998</v>
      </c>
      <c r="Q699" t="e">
        <f>IF(Titanic_Dataset[[#This Row],[Survived]]=0,Titanic_Dataset[[#This Row],[Fare]],NA())</f>
        <v>#N/A</v>
      </c>
      <c r="R699" t="str">
        <f>VLOOKUP(Titanic_Dataset[[#This Row],[Fare]],Table2[],2,TRUE)</f>
        <v>low</v>
      </c>
      <c r="S699" s="1" t="s">
        <v>15</v>
      </c>
      <c r="T699" s="1" t="s">
        <v>31</v>
      </c>
      <c r="U699" s="1"/>
      <c r="V699" s="1"/>
      <c r="W699" s="1"/>
    </row>
    <row r="700" spans="1:23" x14ac:dyDescent="0.25">
      <c r="A700">
        <v>699</v>
      </c>
      <c r="B700">
        <v>0</v>
      </c>
      <c r="C700" t="str">
        <f>IF(Titanic_Dataset[[#This Row],[Survived]]=1,"Survived","Died")</f>
        <v>Died</v>
      </c>
      <c r="D700">
        <v>1</v>
      </c>
      <c r="E700" t="str">
        <f>IF(Titanic_Dataset[[#This Row],[Pclass]]=1,"1st",IF(Titanic_Dataset[[#This Row],[Pclass]]=2,"2nd",IF(Titanic_Dataset[[#This Row],[Pclass]]=3,"3rd")))</f>
        <v>1st</v>
      </c>
      <c r="F700" s="1" t="s">
        <v>1392</v>
      </c>
      <c r="G700" s="1" t="str">
        <f>TRIM(MID(Titanic_Dataset[[#This Row],[Name]],
FIND(",",Titanic_Dataset[[#This Row],[Name]])+2,
FIND(".",Titanic_Dataset[[#This Row],[Name]],FIND(",",Titanic_Dataset[[#This Row],[Name]]))-FIND(",",Titanic_Dataset[[#This Row],[Name]])-1))</f>
        <v>Mr.</v>
      </c>
      <c r="H700" s="1" t="s">
        <v>13</v>
      </c>
      <c r="I700">
        <v>49</v>
      </c>
      <c r="J700" t="str">
        <f>IF(Titanic_Dataset[[#This Row],[Age]]&lt;12,"0-11",
IF(Titanic_Dataset[[#This Row],[Age]]&lt;20,"12-19",
IF(Titanic_Dataset[[#This Row],[Age]]&lt;30,"20-29",
IF(Titanic_Dataset[[#This Row],[Age]]&lt;40,"30-39",
IF(Titanic_Dataset[[#This Row],[Age]]&lt;50,"40-49",
IF(Titanic_Dataset[[#This Row],[Age]]&lt;60,"50-59",
IF(Titanic_Dataset[[#This Row],[Age]]&lt;70,"60-69",)))))))</f>
        <v>40-49</v>
      </c>
      <c r="K700">
        <v>1</v>
      </c>
      <c r="L700">
        <v>1</v>
      </c>
      <c r="M700">
        <f>Titanic_Dataset[[#This Row],[Parch]]+Titanic_Dataset[[#This Row],[SibSp]]</f>
        <v>2</v>
      </c>
      <c r="N700" s="1" t="s">
        <v>652</v>
      </c>
      <c r="O700">
        <v>110.88330000000001</v>
      </c>
      <c r="P700" t="e">
        <f>IF(Titanic_Dataset[[#This Row],[Survived]]=1,Titanic_Dataset[[#This Row],[Fare]],NA())</f>
        <v>#N/A</v>
      </c>
      <c r="Q700">
        <f>IF(Titanic_Dataset[[#This Row],[Survived]]=0,Titanic_Dataset[[#This Row],[Fare]],NA())</f>
        <v>110.88330000000001</v>
      </c>
      <c r="R700" t="str">
        <f>VLOOKUP(Titanic_Dataset[[#This Row],[Fare]],Table2[],2,TRUE)</f>
        <v>very hiegh</v>
      </c>
      <c r="S700" s="1" t="s">
        <v>1180</v>
      </c>
      <c r="T700" s="1" t="s">
        <v>21</v>
      </c>
      <c r="U700" s="1"/>
      <c r="V700" s="1"/>
      <c r="W700" s="1"/>
    </row>
    <row r="701" spans="1:23" x14ac:dyDescent="0.25">
      <c r="A701">
        <v>700</v>
      </c>
      <c r="B701">
        <v>0</v>
      </c>
      <c r="C701" t="str">
        <f>IF(Titanic_Dataset[[#This Row],[Survived]]=1,"Survived","Died")</f>
        <v>Died</v>
      </c>
      <c r="D701">
        <v>3</v>
      </c>
      <c r="E701" t="str">
        <f>IF(Titanic_Dataset[[#This Row],[Pclass]]=1,"1st",IF(Titanic_Dataset[[#This Row],[Pclass]]=2,"2nd",IF(Titanic_Dataset[[#This Row],[Pclass]]=3,"3rd")))</f>
        <v>3rd</v>
      </c>
      <c r="F701" s="1" t="s">
        <v>1393</v>
      </c>
      <c r="G701" s="1" t="str">
        <f>TRIM(MID(Titanic_Dataset[[#This Row],[Name]],
FIND(",",Titanic_Dataset[[#This Row],[Name]])+2,
FIND(".",Titanic_Dataset[[#This Row],[Name]],FIND(",",Titanic_Dataset[[#This Row],[Name]]))-FIND(",",Titanic_Dataset[[#This Row],[Name]])-1))</f>
        <v>Mr.</v>
      </c>
      <c r="H701" s="1" t="s">
        <v>13</v>
      </c>
      <c r="I701">
        <v>42</v>
      </c>
      <c r="J701" t="str">
        <f>IF(Titanic_Dataset[[#This Row],[Age]]&lt;12,"0-11",
IF(Titanic_Dataset[[#This Row],[Age]]&lt;20,"12-19",
IF(Titanic_Dataset[[#This Row],[Age]]&lt;30,"20-29",
IF(Titanic_Dataset[[#This Row],[Age]]&lt;40,"30-39",
IF(Titanic_Dataset[[#This Row],[Age]]&lt;50,"40-49",
IF(Titanic_Dataset[[#This Row],[Age]]&lt;60,"50-59",
IF(Titanic_Dataset[[#This Row],[Age]]&lt;70,"60-69",)))))))</f>
        <v>40-49</v>
      </c>
      <c r="K701">
        <v>0</v>
      </c>
      <c r="L701">
        <v>0</v>
      </c>
      <c r="M701">
        <f>Titanic_Dataset[[#This Row],[Parch]]+Titanic_Dataset[[#This Row],[SibSp]]</f>
        <v>0</v>
      </c>
      <c r="N701" s="1" t="s">
        <v>1394</v>
      </c>
      <c r="O701">
        <v>7.65</v>
      </c>
      <c r="P701" t="e">
        <f>IF(Titanic_Dataset[[#This Row],[Survived]]=1,Titanic_Dataset[[#This Row],[Fare]],NA())</f>
        <v>#N/A</v>
      </c>
      <c r="Q701">
        <f>IF(Titanic_Dataset[[#This Row],[Survived]]=0,Titanic_Dataset[[#This Row],[Fare]],NA())</f>
        <v>7.65</v>
      </c>
      <c r="R701" t="str">
        <f>VLOOKUP(Titanic_Dataset[[#This Row],[Fare]],Table2[],2,TRUE)</f>
        <v>low</v>
      </c>
      <c r="S701" s="1" t="s">
        <v>1395</v>
      </c>
      <c r="T701" s="1" t="s">
        <v>16</v>
      </c>
      <c r="U701" s="1"/>
      <c r="V701" s="1"/>
      <c r="W701" s="1"/>
    </row>
    <row r="702" spans="1:23" x14ac:dyDescent="0.25">
      <c r="A702">
        <v>701</v>
      </c>
      <c r="B702">
        <v>1</v>
      </c>
      <c r="C702" t="str">
        <f>IF(Titanic_Dataset[[#This Row],[Survived]]=1,"Survived","Died")</f>
        <v>Survived</v>
      </c>
      <c r="D702">
        <v>1</v>
      </c>
      <c r="E702" t="str">
        <f>IF(Titanic_Dataset[[#This Row],[Pclass]]=1,"1st",IF(Titanic_Dataset[[#This Row],[Pclass]]=2,"2nd",IF(Titanic_Dataset[[#This Row],[Pclass]]=3,"3rd")))</f>
        <v>1st</v>
      </c>
      <c r="F702" s="1" t="s">
        <v>1396</v>
      </c>
      <c r="G702" s="1" t="str">
        <f>TRIM(MID(Titanic_Dataset[[#This Row],[Name]],
FIND(",",Titanic_Dataset[[#This Row],[Name]])+2,
FIND(".",Titanic_Dataset[[#This Row],[Name]],FIND(",",Titanic_Dataset[[#This Row],[Name]]))-FIND(",",Titanic_Dataset[[#This Row],[Name]])-1))</f>
        <v>Mrs.</v>
      </c>
      <c r="H702" s="1" t="s">
        <v>18</v>
      </c>
      <c r="I702">
        <v>18</v>
      </c>
      <c r="J702" t="str">
        <f>IF(Titanic_Dataset[[#This Row],[Age]]&lt;12,"0-11",
IF(Titanic_Dataset[[#This Row],[Age]]&lt;20,"12-19",
IF(Titanic_Dataset[[#This Row],[Age]]&lt;30,"20-29",
IF(Titanic_Dataset[[#This Row],[Age]]&lt;40,"30-39",
IF(Titanic_Dataset[[#This Row],[Age]]&lt;50,"40-49",
IF(Titanic_Dataset[[#This Row],[Age]]&lt;60,"50-59",
IF(Titanic_Dataset[[#This Row],[Age]]&lt;70,"60-69",)))))))</f>
        <v>12-19</v>
      </c>
      <c r="K702">
        <v>1</v>
      </c>
      <c r="L702">
        <v>0</v>
      </c>
      <c r="M702">
        <f>Titanic_Dataset[[#This Row],[Parch]]+Titanic_Dataset[[#This Row],[SibSp]]</f>
        <v>1</v>
      </c>
      <c r="N702" s="1" t="s">
        <v>798</v>
      </c>
      <c r="O702">
        <v>227.52500000000001</v>
      </c>
      <c r="P702">
        <f>IF(Titanic_Dataset[[#This Row],[Survived]]=1,Titanic_Dataset[[#This Row],[Fare]],NA())</f>
        <v>227.52500000000001</v>
      </c>
      <c r="Q702" t="e">
        <f>IF(Titanic_Dataset[[#This Row],[Survived]]=0,Titanic_Dataset[[#This Row],[Fare]],NA())</f>
        <v>#N/A</v>
      </c>
      <c r="R702" t="str">
        <f>VLOOKUP(Titanic_Dataset[[#This Row],[Fare]],Table2[],2,TRUE)</f>
        <v>very hiegh</v>
      </c>
      <c r="S702" s="1" t="s">
        <v>1397</v>
      </c>
      <c r="T702" s="1" t="s">
        <v>21</v>
      </c>
      <c r="U702" s="1"/>
      <c r="V702" s="1"/>
      <c r="W702" s="1"/>
    </row>
    <row r="703" spans="1:23" x14ac:dyDescent="0.25">
      <c r="A703">
        <v>702</v>
      </c>
      <c r="B703">
        <v>1</v>
      </c>
      <c r="C703" t="str">
        <f>IF(Titanic_Dataset[[#This Row],[Survived]]=1,"Survived","Died")</f>
        <v>Survived</v>
      </c>
      <c r="D703">
        <v>1</v>
      </c>
      <c r="E703" t="str">
        <f>IF(Titanic_Dataset[[#This Row],[Pclass]]=1,"1st",IF(Titanic_Dataset[[#This Row],[Pclass]]=2,"2nd",IF(Titanic_Dataset[[#This Row],[Pclass]]=3,"3rd")))</f>
        <v>1st</v>
      </c>
      <c r="F703" s="1" t="s">
        <v>1398</v>
      </c>
      <c r="G703" s="1" t="str">
        <f>TRIM(MID(Titanic_Dataset[[#This Row],[Name]],
FIND(",",Titanic_Dataset[[#This Row],[Name]])+2,
FIND(".",Titanic_Dataset[[#This Row],[Name]],FIND(",",Titanic_Dataset[[#This Row],[Name]]))-FIND(",",Titanic_Dataset[[#This Row],[Name]])-1))</f>
        <v>Mr.</v>
      </c>
      <c r="H703" s="1" t="s">
        <v>13</v>
      </c>
      <c r="I703">
        <v>35</v>
      </c>
      <c r="J703" t="str">
        <f>IF(Titanic_Dataset[[#This Row],[Age]]&lt;12,"0-11",
IF(Titanic_Dataset[[#This Row],[Age]]&lt;20,"12-19",
IF(Titanic_Dataset[[#This Row],[Age]]&lt;30,"20-29",
IF(Titanic_Dataset[[#This Row],[Age]]&lt;40,"30-39",
IF(Titanic_Dataset[[#This Row],[Age]]&lt;50,"40-49",
IF(Titanic_Dataset[[#This Row],[Age]]&lt;60,"50-59",
IF(Titanic_Dataset[[#This Row],[Age]]&lt;70,"60-69",)))))))</f>
        <v>30-39</v>
      </c>
      <c r="K703">
        <v>0</v>
      </c>
      <c r="L703">
        <v>0</v>
      </c>
      <c r="M703">
        <f>Titanic_Dataset[[#This Row],[Parch]]+Titanic_Dataset[[#This Row],[SibSp]]</f>
        <v>0</v>
      </c>
      <c r="N703" s="1" t="s">
        <v>1399</v>
      </c>
      <c r="O703">
        <v>26.287500000000001</v>
      </c>
      <c r="P703">
        <f>IF(Titanic_Dataset[[#This Row],[Survived]]=1,Titanic_Dataset[[#This Row],[Fare]],NA())</f>
        <v>26.287500000000001</v>
      </c>
      <c r="Q703" t="e">
        <f>IF(Titanic_Dataset[[#This Row],[Survived]]=0,Titanic_Dataset[[#This Row],[Fare]],NA())</f>
        <v>#N/A</v>
      </c>
      <c r="R703" t="str">
        <f>VLOOKUP(Titanic_Dataset[[#This Row],[Fare]],Table2[],2,TRUE)</f>
        <v>high</v>
      </c>
      <c r="S703" s="1" t="s">
        <v>1400</v>
      </c>
      <c r="T703" s="1" t="s">
        <v>16</v>
      </c>
      <c r="U703" s="1"/>
      <c r="V703" s="1"/>
      <c r="W703" s="1"/>
    </row>
    <row r="704" spans="1:23" x14ac:dyDescent="0.25">
      <c r="A704">
        <v>703</v>
      </c>
      <c r="B704">
        <v>0</v>
      </c>
      <c r="C704" t="str">
        <f>IF(Titanic_Dataset[[#This Row],[Survived]]=1,"Survived","Died")</f>
        <v>Died</v>
      </c>
      <c r="D704">
        <v>3</v>
      </c>
      <c r="E704" t="str">
        <f>IF(Titanic_Dataset[[#This Row],[Pclass]]=1,"1st",IF(Titanic_Dataset[[#This Row],[Pclass]]=2,"2nd",IF(Titanic_Dataset[[#This Row],[Pclass]]=3,"3rd")))</f>
        <v>3rd</v>
      </c>
      <c r="F704" s="1" t="s">
        <v>1401</v>
      </c>
      <c r="G704" s="1" t="str">
        <f>TRIM(MID(Titanic_Dataset[[#This Row],[Name]],
FIND(",",Titanic_Dataset[[#This Row],[Name]])+2,
FIND(".",Titanic_Dataset[[#This Row],[Name]],FIND(",",Titanic_Dataset[[#This Row],[Name]]))-FIND(",",Titanic_Dataset[[#This Row],[Name]])-1))</f>
        <v>Miss.</v>
      </c>
      <c r="H704" s="1" t="s">
        <v>18</v>
      </c>
      <c r="I704">
        <v>18</v>
      </c>
      <c r="J704" t="str">
        <f>IF(Titanic_Dataset[[#This Row],[Age]]&lt;12,"0-11",
IF(Titanic_Dataset[[#This Row],[Age]]&lt;20,"12-19",
IF(Titanic_Dataset[[#This Row],[Age]]&lt;30,"20-29",
IF(Titanic_Dataset[[#This Row],[Age]]&lt;40,"30-39",
IF(Titanic_Dataset[[#This Row],[Age]]&lt;50,"40-49",
IF(Titanic_Dataset[[#This Row],[Age]]&lt;60,"50-59",
IF(Titanic_Dataset[[#This Row],[Age]]&lt;70,"60-69",)))))))</f>
        <v>12-19</v>
      </c>
      <c r="K704">
        <v>0</v>
      </c>
      <c r="L704">
        <v>1</v>
      </c>
      <c r="M704">
        <f>Titanic_Dataset[[#This Row],[Parch]]+Titanic_Dataset[[#This Row],[SibSp]]</f>
        <v>1</v>
      </c>
      <c r="N704" s="1" t="s">
        <v>762</v>
      </c>
      <c r="O704">
        <v>14.4542</v>
      </c>
      <c r="P704" t="e">
        <f>IF(Titanic_Dataset[[#This Row],[Survived]]=1,Titanic_Dataset[[#This Row],[Fare]],NA())</f>
        <v>#N/A</v>
      </c>
      <c r="Q704">
        <f>IF(Titanic_Dataset[[#This Row],[Survived]]=0,Titanic_Dataset[[#This Row],[Fare]],NA())</f>
        <v>14.4542</v>
      </c>
      <c r="R704" t="str">
        <f>VLOOKUP(Titanic_Dataset[[#This Row],[Fare]],Table2[],2,TRUE)</f>
        <v>medium</v>
      </c>
      <c r="S704" s="1" t="s">
        <v>15</v>
      </c>
      <c r="T704" s="1" t="s">
        <v>21</v>
      </c>
      <c r="U704" s="1"/>
      <c r="V704" s="1"/>
      <c r="W704" s="1"/>
    </row>
    <row r="705" spans="1:23" x14ac:dyDescent="0.25">
      <c r="A705">
        <v>704</v>
      </c>
      <c r="B705">
        <v>0</v>
      </c>
      <c r="C705" t="str">
        <f>IF(Titanic_Dataset[[#This Row],[Survived]]=1,"Survived","Died")</f>
        <v>Died</v>
      </c>
      <c r="D705">
        <v>3</v>
      </c>
      <c r="E705" t="str">
        <f>IF(Titanic_Dataset[[#This Row],[Pclass]]=1,"1st",IF(Titanic_Dataset[[#This Row],[Pclass]]=2,"2nd",IF(Titanic_Dataset[[#This Row],[Pclass]]=3,"3rd")))</f>
        <v>3rd</v>
      </c>
      <c r="F705" s="1" t="s">
        <v>1402</v>
      </c>
      <c r="G705" s="1" t="str">
        <f>TRIM(MID(Titanic_Dataset[[#This Row],[Name]],
FIND(",",Titanic_Dataset[[#This Row],[Name]])+2,
FIND(".",Titanic_Dataset[[#This Row],[Name]],FIND(",",Titanic_Dataset[[#This Row],[Name]]))-FIND(",",Titanic_Dataset[[#This Row],[Name]])-1))</f>
        <v>Mr.</v>
      </c>
      <c r="H705" s="1" t="s">
        <v>13</v>
      </c>
      <c r="I705">
        <v>25</v>
      </c>
      <c r="J70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05">
        <v>0</v>
      </c>
      <c r="L705">
        <v>0</v>
      </c>
      <c r="M705">
        <f>Titanic_Dataset[[#This Row],[Parch]]+Titanic_Dataset[[#This Row],[SibSp]]</f>
        <v>0</v>
      </c>
      <c r="N705" s="1" t="s">
        <v>1403</v>
      </c>
      <c r="O705">
        <v>7.7416999999999998</v>
      </c>
      <c r="P705" t="e">
        <f>IF(Titanic_Dataset[[#This Row],[Survived]]=1,Titanic_Dataset[[#This Row],[Fare]],NA())</f>
        <v>#N/A</v>
      </c>
      <c r="Q705">
        <f>IF(Titanic_Dataset[[#This Row],[Survived]]=0,Titanic_Dataset[[#This Row],[Fare]],NA())</f>
        <v>7.7416999999999998</v>
      </c>
      <c r="R705" t="str">
        <f>VLOOKUP(Titanic_Dataset[[#This Row],[Fare]],Table2[],2,TRUE)</f>
        <v>low</v>
      </c>
      <c r="S705" s="1" t="s">
        <v>15</v>
      </c>
      <c r="T705" s="1" t="s">
        <v>31</v>
      </c>
      <c r="U705" s="1"/>
      <c r="V705" s="1"/>
      <c r="W705" s="1"/>
    </row>
    <row r="706" spans="1:23" x14ac:dyDescent="0.25">
      <c r="A706">
        <v>705</v>
      </c>
      <c r="B706">
        <v>0</v>
      </c>
      <c r="C706" t="str">
        <f>IF(Titanic_Dataset[[#This Row],[Survived]]=1,"Survived","Died")</f>
        <v>Died</v>
      </c>
      <c r="D706">
        <v>3</v>
      </c>
      <c r="E706" t="str">
        <f>IF(Titanic_Dataset[[#This Row],[Pclass]]=1,"1st",IF(Titanic_Dataset[[#This Row],[Pclass]]=2,"2nd",IF(Titanic_Dataset[[#This Row],[Pclass]]=3,"3rd")))</f>
        <v>3rd</v>
      </c>
      <c r="F706" s="1" t="s">
        <v>1404</v>
      </c>
      <c r="G706" s="1" t="str">
        <f>TRIM(MID(Titanic_Dataset[[#This Row],[Name]],
FIND(",",Titanic_Dataset[[#This Row],[Name]])+2,
FIND(".",Titanic_Dataset[[#This Row],[Name]],FIND(",",Titanic_Dataset[[#This Row],[Name]]))-FIND(",",Titanic_Dataset[[#This Row],[Name]])-1))</f>
        <v>Mr.</v>
      </c>
      <c r="H706" s="1" t="s">
        <v>13</v>
      </c>
      <c r="I706">
        <v>26</v>
      </c>
      <c r="J70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06">
        <v>1</v>
      </c>
      <c r="L706">
        <v>0</v>
      </c>
      <c r="M706">
        <f>Titanic_Dataset[[#This Row],[Parch]]+Titanic_Dataset[[#This Row],[SibSp]]</f>
        <v>1</v>
      </c>
      <c r="N706" s="1" t="s">
        <v>1405</v>
      </c>
      <c r="O706">
        <v>7.8541999999999996</v>
      </c>
      <c r="P706" t="e">
        <f>IF(Titanic_Dataset[[#This Row],[Survived]]=1,Titanic_Dataset[[#This Row],[Fare]],NA())</f>
        <v>#N/A</v>
      </c>
      <c r="Q706">
        <f>IF(Titanic_Dataset[[#This Row],[Survived]]=0,Titanic_Dataset[[#This Row],[Fare]],NA())</f>
        <v>7.8541999999999996</v>
      </c>
      <c r="R706" t="str">
        <f>VLOOKUP(Titanic_Dataset[[#This Row],[Fare]],Table2[],2,TRUE)</f>
        <v>low</v>
      </c>
      <c r="S706" s="1" t="s">
        <v>15</v>
      </c>
      <c r="T706" s="1" t="s">
        <v>16</v>
      </c>
      <c r="U706" s="1"/>
      <c r="V706" s="1"/>
      <c r="W706" s="1"/>
    </row>
    <row r="707" spans="1:23" x14ac:dyDescent="0.25">
      <c r="A707">
        <v>706</v>
      </c>
      <c r="B707">
        <v>0</v>
      </c>
      <c r="C707" t="str">
        <f>IF(Titanic_Dataset[[#This Row],[Survived]]=1,"Survived","Died")</f>
        <v>Died</v>
      </c>
      <c r="D707">
        <v>2</v>
      </c>
      <c r="E707" t="str">
        <f>IF(Titanic_Dataset[[#This Row],[Pclass]]=1,"1st",IF(Titanic_Dataset[[#This Row],[Pclass]]=2,"2nd",IF(Titanic_Dataset[[#This Row],[Pclass]]=3,"3rd")))</f>
        <v>2nd</v>
      </c>
      <c r="F707" s="1" t="s">
        <v>1406</v>
      </c>
      <c r="G707" s="1" t="str">
        <f>TRIM(MID(Titanic_Dataset[[#This Row],[Name]],
FIND(",",Titanic_Dataset[[#This Row],[Name]])+2,
FIND(".",Titanic_Dataset[[#This Row],[Name]],FIND(",",Titanic_Dataset[[#This Row],[Name]]))-FIND(",",Titanic_Dataset[[#This Row],[Name]])-1))</f>
        <v>Mr.</v>
      </c>
      <c r="H707" s="1" t="s">
        <v>13</v>
      </c>
      <c r="I707">
        <v>39</v>
      </c>
      <c r="J707" t="str">
        <f>IF(Titanic_Dataset[[#This Row],[Age]]&lt;12,"0-11",
IF(Titanic_Dataset[[#This Row],[Age]]&lt;20,"12-19",
IF(Titanic_Dataset[[#This Row],[Age]]&lt;30,"20-29",
IF(Titanic_Dataset[[#This Row],[Age]]&lt;40,"30-39",
IF(Titanic_Dataset[[#This Row],[Age]]&lt;50,"40-49",
IF(Titanic_Dataset[[#This Row],[Age]]&lt;60,"50-59",
IF(Titanic_Dataset[[#This Row],[Age]]&lt;70,"60-69",)))))))</f>
        <v>30-39</v>
      </c>
      <c r="K707">
        <v>0</v>
      </c>
      <c r="L707">
        <v>0</v>
      </c>
      <c r="M707">
        <f>Titanic_Dataset[[#This Row],[Parch]]+Titanic_Dataset[[#This Row],[SibSp]]</f>
        <v>0</v>
      </c>
      <c r="N707" s="1" t="s">
        <v>883</v>
      </c>
      <c r="O707">
        <v>26</v>
      </c>
      <c r="P707" t="e">
        <f>IF(Titanic_Dataset[[#This Row],[Survived]]=1,Titanic_Dataset[[#This Row],[Fare]],NA())</f>
        <v>#N/A</v>
      </c>
      <c r="Q707">
        <f>IF(Titanic_Dataset[[#This Row],[Survived]]=0,Titanic_Dataset[[#This Row],[Fare]],NA())</f>
        <v>26</v>
      </c>
      <c r="R707" t="str">
        <f>VLOOKUP(Titanic_Dataset[[#This Row],[Fare]],Table2[],2,TRUE)</f>
        <v>high</v>
      </c>
      <c r="S707" s="1" t="s">
        <v>15</v>
      </c>
      <c r="T707" s="1" t="s">
        <v>16</v>
      </c>
      <c r="U707" s="1"/>
      <c r="V707" s="1"/>
      <c r="W707" s="1"/>
    </row>
    <row r="708" spans="1:23" x14ac:dyDescent="0.25">
      <c r="A708">
        <v>707</v>
      </c>
      <c r="B708">
        <v>1</v>
      </c>
      <c r="C708" t="str">
        <f>IF(Titanic_Dataset[[#This Row],[Survived]]=1,"Survived","Died")</f>
        <v>Survived</v>
      </c>
      <c r="D708">
        <v>2</v>
      </c>
      <c r="E708" t="str">
        <f>IF(Titanic_Dataset[[#This Row],[Pclass]]=1,"1st",IF(Titanic_Dataset[[#This Row],[Pclass]]=2,"2nd",IF(Titanic_Dataset[[#This Row],[Pclass]]=3,"3rd")))</f>
        <v>2nd</v>
      </c>
      <c r="F708" s="1" t="s">
        <v>1407</v>
      </c>
      <c r="G708" s="1" t="str">
        <f>TRIM(MID(Titanic_Dataset[[#This Row],[Name]],
FIND(",",Titanic_Dataset[[#This Row],[Name]])+2,
FIND(".",Titanic_Dataset[[#This Row],[Name]],FIND(",",Titanic_Dataset[[#This Row],[Name]]))-FIND(",",Titanic_Dataset[[#This Row],[Name]])-1))</f>
        <v>Mrs.</v>
      </c>
      <c r="H708" s="1" t="s">
        <v>18</v>
      </c>
      <c r="I708">
        <v>45</v>
      </c>
      <c r="J708" t="str">
        <f>IF(Titanic_Dataset[[#This Row],[Age]]&lt;12,"0-11",
IF(Titanic_Dataset[[#This Row],[Age]]&lt;20,"12-19",
IF(Titanic_Dataset[[#This Row],[Age]]&lt;30,"20-29",
IF(Titanic_Dataset[[#This Row],[Age]]&lt;40,"30-39",
IF(Titanic_Dataset[[#This Row],[Age]]&lt;50,"40-49",
IF(Titanic_Dataset[[#This Row],[Age]]&lt;60,"50-59",
IF(Titanic_Dataset[[#This Row],[Age]]&lt;70,"60-69",)))))))</f>
        <v>40-49</v>
      </c>
      <c r="K708">
        <v>0</v>
      </c>
      <c r="L708">
        <v>0</v>
      </c>
      <c r="M708">
        <f>Titanic_Dataset[[#This Row],[Parch]]+Titanic_Dataset[[#This Row],[SibSp]]</f>
        <v>0</v>
      </c>
      <c r="N708" s="1" t="s">
        <v>1408</v>
      </c>
      <c r="O708">
        <v>13.5</v>
      </c>
      <c r="P708">
        <f>IF(Titanic_Dataset[[#This Row],[Survived]]=1,Titanic_Dataset[[#This Row],[Fare]],NA())</f>
        <v>13.5</v>
      </c>
      <c r="Q708" t="e">
        <f>IF(Titanic_Dataset[[#This Row],[Survived]]=0,Titanic_Dataset[[#This Row],[Fare]],NA())</f>
        <v>#N/A</v>
      </c>
      <c r="R708" t="str">
        <f>VLOOKUP(Titanic_Dataset[[#This Row],[Fare]],Table2[],2,TRUE)</f>
        <v>medium</v>
      </c>
      <c r="S708" s="1" t="s">
        <v>15</v>
      </c>
      <c r="T708" s="1" t="s">
        <v>16</v>
      </c>
      <c r="U708" s="1"/>
      <c r="V708" s="1"/>
      <c r="W708" s="1"/>
    </row>
    <row r="709" spans="1:23" x14ac:dyDescent="0.25">
      <c r="A709">
        <v>708</v>
      </c>
      <c r="B709">
        <v>1</v>
      </c>
      <c r="C709" t="str">
        <f>IF(Titanic_Dataset[[#This Row],[Survived]]=1,"Survived","Died")</f>
        <v>Survived</v>
      </c>
      <c r="D709">
        <v>1</v>
      </c>
      <c r="E709" t="str">
        <f>IF(Titanic_Dataset[[#This Row],[Pclass]]=1,"1st",IF(Titanic_Dataset[[#This Row],[Pclass]]=2,"2nd",IF(Titanic_Dataset[[#This Row],[Pclass]]=3,"3rd")))</f>
        <v>1st</v>
      </c>
      <c r="F709" s="1" t="s">
        <v>1409</v>
      </c>
      <c r="G709" s="1" t="str">
        <f>TRIM(MID(Titanic_Dataset[[#This Row],[Name]],
FIND(",",Titanic_Dataset[[#This Row],[Name]])+2,
FIND(".",Titanic_Dataset[[#This Row],[Name]],FIND(",",Titanic_Dataset[[#This Row],[Name]]))-FIND(",",Titanic_Dataset[[#This Row],[Name]])-1))</f>
        <v>Mr.</v>
      </c>
      <c r="H709" s="1" t="s">
        <v>13</v>
      </c>
      <c r="I709">
        <v>42</v>
      </c>
      <c r="J709" t="str">
        <f>IF(Titanic_Dataset[[#This Row],[Age]]&lt;12,"0-11",
IF(Titanic_Dataset[[#This Row],[Age]]&lt;20,"12-19",
IF(Titanic_Dataset[[#This Row],[Age]]&lt;30,"20-29",
IF(Titanic_Dataset[[#This Row],[Age]]&lt;40,"30-39",
IF(Titanic_Dataset[[#This Row],[Age]]&lt;50,"40-49",
IF(Titanic_Dataset[[#This Row],[Age]]&lt;60,"50-59",
IF(Titanic_Dataset[[#This Row],[Age]]&lt;70,"60-69",)))))))</f>
        <v>40-49</v>
      </c>
      <c r="K709">
        <v>0</v>
      </c>
      <c r="L709">
        <v>0</v>
      </c>
      <c r="M709">
        <f>Titanic_Dataset[[#This Row],[Parch]]+Titanic_Dataset[[#This Row],[SibSp]]</f>
        <v>0</v>
      </c>
      <c r="N709" s="1" t="s">
        <v>1410</v>
      </c>
      <c r="O709">
        <v>26.287500000000001</v>
      </c>
      <c r="P709">
        <f>IF(Titanic_Dataset[[#This Row],[Survived]]=1,Titanic_Dataset[[#This Row],[Fare]],NA())</f>
        <v>26.287500000000001</v>
      </c>
      <c r="Q709" t="e">
        <f>IF(Titanic_Dataset[[#This Row],[Survived]]=0,Titanic_Dataset[[#This Row],[Fare]],NA())</f>
        <v>#N/A</v>
      </c>
      <c r="R709" t="str">
        <f>VLOOKUP(Titanic_Dataset[[#This Row],[Fare]],Table2[],2,TRUE)</f>
        <v>high</v>
      </c>
      <c r="S709" s="1" t="s">
        <v>1400</v>
      </c>
      <c r="T709" s="1" t="s">
        <v>16</v>
      </c>
      <c r="U709" s="1"/>
      <c r="V709" s="1"/>
      <c r="W709" s="1"/>
    </row>
    <row r="710" spans="1:23" x14ac:dyDescent="0.25">
      <c r="A710">
        <v>709</v>
      </c>
      <c r="B710">
        <v>1</v>
      </c>
      <c r="C710" t="str">
        <f>IF(Titanic_Dataset[[#This Row],[Survived]]=1,"Survived","Died")</f>
        <v>Survived</v>
      </c>
      <c r="D710">
        <v>1</v>
      </c>
      <c r="E710" t="str">
        <f>IF(Titanic_Dataset[[#This Row],[Pclass]]=1,"1st",IF(Titanic_Dataset[[#This Row],[Pclass]]=2,"2nd",IF(Titanic_Dataset[[#This Row],[Pclass]]=3,"3rd")))</f>
        <v>1st</v>
      </c>
      <c r="F710" s="1" t="s">
        <v>1411</v>
      </c>
      <c r="G710" s="1" t="str">
        <f>TRIM(MID(Titanic_Dataset[[#This Row],[Name]],
FIND(",",Titanic_Dataset[[#This Row],[Name]])+2,
FIND(".",Titanic_Dataset[[#This Row],[Name]],FIND(",",Titanic_Dataset[[#This Row],[Name]]))-FIND(",",Titanic_Dataset[[#This Row],[Name]])-1))</f>
        <v>Miss.</v>
      </c>
      <c r="H710" s="1" t="s">
        <v>18</v>
      </c>
      <c r="I710">
        <v>22</v>
      </c>
      <c r="J71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10">
        <v>0</v>
      </c>
      <c r="L710">
        <v>0</v>
      </c>
      <c r="M710">
        <f>Titanic_Dataset[[#This Row],[Parch]]+Titanic_Dataset[[#This Row],[SibSp]]</f>
        <v>0</v>
      </c>
      <c r="N710" s="1" t="s">
        <v>635</v>
      </c>
      <c r="O710">
        <v>151.55000000000001</v>
      </c>
      <c r="P710">
        <f>IF(Titanic_Dataset[[#This Row],[Survived]]=1,Titanic_Dataset[[#This Row],[Fare]],NA())</f>
        <v>151.55000000000001</v>
      </c>
      <c r="Q710" t="e">
        <f>IF(Titanic_Dataset[[#This Row],[Survived]]=0,Titanic_Dataset[[#This Row],[Fare]],NA())</f>
        <v>#N/A</v>
      </c>
      <c r="R710" t="str">
        <f>VLOOKUP(Titanic_Dataset[[#This Row],[Fare]],Table2[],2,TRUE)</f>
        <v>very hiegh</v>
      </c>
      <c r="S710" s="1" t="s">
        <v>15</v>
      </c>
      <c r="T710" s="1" t="s">
        <v>16</v>
      </c>
      <c r="U710" s="1"/>
      <c r="V710" s="1"/>
      <c r="W710" s="1"/>
    </row>
    <row r="711" spans="1:23" x14ac:dyDescent="0.25">
      <c r="A711">
        <v>710</v>
      </c>
      <c r="B711">
        <v>1</v>
      </c>
      <c r="C711" t="str">
        <f>IF(Titanic_Dataset[[#This Row],[Survived]]=1,"Survived","Died")</f>
        <v>Survived</v>
      </c>
      <c r="D711">
        <v>3</v>
      </c>
      <c r="E711" t="str">
        <f>IF(Titanic_Dataset[[#This Row],[Pclass]]=1,"1st",IF(Titanic_Dataset[[#This Row],[Pclass]]=2,"2nd",IF(Titanic_Dataset[[#This Row],[Pclass]]=3,"3rd")))</f>
        <v>3rd</v>
      </c>
      <c r="F711" s="1" t="s">
        <v>1412</v>
      </c>
      <c r="G711" s="1" t="str">
        <f>TRIM(MID(Titanic_Dataset[[#This Row],[Name]],
FIND(",",Titanic_Dataset[[#This Row],[Name]])+2,
FIND(".",Titanic_Dataset[[#This Row],[Name]],FIND(",",Titanic_Dataset[[#This Row],[Name]]))-FIND(",",Titanic_Dataset[[#This Row],[Name]])-1))</f>
        <v>Master.</v>
      </c>
      <c r="H711" s="1" t="s">
        <v>13</v>
      </c>
      <c r="I711">
        <v>28</v>
      </c>
      <c r="J71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11">
        <v>1</v>
      </c>
      <c r="L711">
        <v>1</v>
      </c>
      <c r="M711">
        <f>Titanic_Dataset[[#This Row],[Parch]]+Titanic_Dataset[[#This Row],[SibSp]]</f>
        <v>2</v>
      </c>
      <c r="N711" s="1" t="s">
        <v>162</v>
      </c>
      <c r="O711">
        <v>15.245799999999999</v>
      </c>
      <c r="P711">
        <f>IF(Titanic_Dataset[[#This Row],[Survived]]=1,Titanic_Dataset[[#This Row],[Fare]],NA())</f>
        <v>15.245799999999999</v>
      </c>
      <c r="Q711" t="e">
        <f>IF(Titanic_Dataset[[#This Row],[Survived]]=0,Titanic_Dataset[[#This Row],[Fare]],NA())</f>
        <v>#N/A</v>
      </c>
      <c r="R711" t="str">
        <f>VLOOKUP(Titanic_Dataset[[#This Row],[Fare]],Table2[],2,TRUE)</f>
        <v>high</v>
      </c>
      <c r="S711" s="1" t="s">
        <v>15</v>
      </c>
      <c r="T711" s="1" t="s">
        <v>21</v>
      </c>
      <c r="U711" s="1"/>
      <c r="V711" s="1"/>
      <c r="W711" s="1"/>
    </row>
    <row r="712" spans="1:23" x14ac:dyDescent="0.25">
      <c r="A712">
        <v>711</v>
      </c>
      <c r="B712">
        <v>1</v>
      </c>
      <c r="C712" t="str">
        <f>IF(Titanic_Dataset[[#This Row],[Survived]]=1,"Survived","Died")</f>
        <v>Survived</v>
      </c>
      <c r="D712">
        <v>1</v>
      </c>
      <c r="E712" t="str">
        <f>IF(Titanic_Dataset[[#This Row],[Pclass]]=1,"1st",IF(Titanic_Dataset[[#This Row],[Pclass]]=2,"2nd",IF(Titanic_Dataset[[#This Row],[Pclass]]=3,"3rd")))</f>
        <v>1st</v>
      </c>
      <c r="F712" s="1" t="s">
        <v>1413</v>
      </c>
      <c r="G712" s="1" t="str">
        <f>TRIM(MID(Titanic_Dataset[[#This Row],[Name]],
FIND(",",Titanic_Dataset[[#This Row],[Name]])+2,
FIND(".",Titanic_Dataset[[#This Row],[Name]],FIND(",",Titanic_Dataset[[#This Row],[Name]]))-FIND(",",Titanic_Dataset[[#This Row],[Name]])-1))</f>
        <v>Mlle.</v>
      </c>
      <c r="H712" s="1" t="s">
        <v>18</v>
      </c>
      <c r="I712">
        <v>24</v>
      </c>
      <c r="J71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12">
        <v>0</v>
      </c>
      <c r="L712">
        <v>0</v>
      </c>
      <c r="M712">
        <f>Titanic_Dataset[[#This Row],[Parch]]+Titanic_Dataset[[#This Row],[SibSp]]</f>
        <v>0</v>
      </c>
      <c r="N712" s="1" t="s">
        <v>1414</v>
      </c>
      <c r="O712">
        <v>49.504199999999997</v>
      </c>
      <c r="P712">
        <f>IF(Titanic_Dataset[[#This Row],[Survived]]=1,Titanic_Dataset[[#This Row],[Fare]],NA())</f>
        <v>49.504199999999997</v>
      </c>
      <c r="Q712" t="e">
        <f>IF(Titanic_Dataset[[#This Row],[Survived]]=0,Titanic_Dataset[[#This Row],[Fare]],NA())</f>
        <v>#N/A</v>
      </c>
      <c r="R712" t="str">
        <f>VLOOKUP(Titanic_Dataset[[#This Row],[Fare]],Table2[],2,TRUE)</f>
        <v>very hiegh</v>
      </c>
      <c r="S712" s="1" t="s">
        <v>1415</v>
      </c>
      <c r="T712" s="1" t="s">
        <v>21</v>
      </c>
      <c r="U712" s="1"/>
      <c r="V712" s="1"/>
      <c r="W712" s="1"/>
    </row>
    <row r="713" spans="1:23" x14ac:dyDescent="0.25">
      <c r="A713">
        <v>712</v>
      </c>
      <c r="B713">
        <v>0</v>
      </c>
      <c r="C713" t="str">
        <f>IF(Titanic_Dataset[[#This Row],[Survived]]=1,"Survived","Died")</f>
        <v>Died</v>
      </c>
      <c r="D713">
        <v>1</v>
      </c>
      <c r="E713" t="str">
        <f>IF(Titanic_Dataset[[#This Row],[Pclass]]=1,"1st",IF(Titanic_Dataset[[#This Row],[Pclass]]=2,"2nd",IF(Titanic_Dataset[[#This Row],[Pclass]]=3,"3rd")))</f>
        <v>1st</v>
      </c>
      <c r="F713" s="1" t="s">
        <v>1416</v>
      </c>
      <c r="G713" s="1" t="str">
        <f>TRIM(MID(Titanic_Dataset[[#This Row],[Name]],
FIND(",",Titanic_Dataset[[#This Row],[Name]])+2,
FIND(".",Titanic_Dataset[[#This Row],[Name]],FIND(",",Titanic_Dataset[[#This Row],[Name]]))-FIND(",",Titanic_Dataset[[#This Row],[Name]])-1))</f>
        <v>Mr.</v>
      </c>
      <c r="H713" s="1" t="s">
        <v>13</v>
      </c>
      <c r="I713">
        <v>28</v>
      </c>
      <c r="J71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13">
        <v>0</v>
      </c>
      <c r="L713">
        <v>0</v>
      </c>
      <c r="M713">
        <f>Titanic_Dataset[[#This Row],[Parch]]+Titanic_Dataset[[#This Row],[SibSp]]</f>
        <v>0</v>
      </c>
      <c r="N713" s="1" t="s">
        <v>1417</v>
      </c>
      <c r="O713">
        <v>26.55</v>
      </c>
      <c r="P713" t="e">
        <f>IF(Titanic_Dataset[[#This Row],[Survived]]=1,Titanic_Dataset[[#This Row],[Fare]],NA())</f>
        <v>#N/A</v>
      </c>
      <c r="Q713">
        <f>IF(Titanic_Dataset[[#This Row],[Survived]]=0,Titanic_Dataset[[#This Row],[Fare]],NA())</f>
        <v>26.55</v>
      </c>
      <c r="R713" t="str">
        <f>VLOOKUP(Titanic_Dataset[[#This Row],[Fare]],Table2[],2,TRUE)</f>
        <v>high</v>
      </c>
      <c r="S713" s="1" t="s">
        <v>705</v>
      </c>
      <c r="T713" s="1" t="s">
        <v>16</v>
      </c>
      <c r="U713" s="1"/>
      <c r="V713" s="1"/>
      <c r="W713" s="1"/>
    </row>
    <row r="714" spans="1:23" x14ac:dyDescent="0.25">
      <c r="A714">
        <v>713</v>
      </c>
      <c r="B714">
        <v>1</v>
      </c>
      <c r="C714" t="str">
        <f>IF(Titanic_Dataset[[#This Row],[Survived]]=1,"Survived","Died")</f>
        <v>Survived</v>
      </c>
      <c r="D714">
        <v>1</v>
      </c>
      <c r="E714" t="str">
        <f>IF(Titanic_Dataset[[#This Row],[Pclass]]=1,"1st",IF(Titanic_Dataset[[#This Row],[Pclass]]=2,"2nd",IF(Titanic_Dataset[[#This Row],[Pclass]]=3,"3rd")))</f>
        <v>1st</v>
      </c>
      <c r="F714" s="1" t="s">
        <v>1418</v>
      </c>
      <c r="G714" s="1" t="str">
        <f>TRIM(MID(Titanic_Dataset[[#This Row],[Name]],
FIND(",",Titanic_Dataset[[#This Row],[Name]])+2,
FIND(".",Titanic_Dataset[[#This Row],[Name]],FIND(",",Titanic_Dataset[[#This Row],[Name]]))-FIND(",",Titanic_Dataset[[#This Row],[Name]])-1))</f>
        <v>Mr.</v>
      </c>
      <c r="H714" s="1" t="s">
        <v>13</v>
      </c>
      <c r="I714">
        <v>48</v>
      </c>
      <c r="J714" t="str">
        <f>IF(Titanic_Dataset[[#This Row],[Age]]&lt;12,"0-11",
IF(Titanic_Dataset[[#This Row],[Age]]&lt;20,"12-19",
IF(Titanic_Dataset[[#This Row],[Age]]&lt;30,"20-29",
IF(Titanic_Dataset[[#This Row],[Age]]&lt;40,"30-39",
IF(Titanic_Dataset[[#This Row],[Age]]&lt;50,"40-49",
IF(Titanic_Dataset[[#This Row],[Age]]&lt;60,"50-59",
IF(Titanic_Dataset[[#This Row],[Age]]&lt;70,"60-69",)))))))</f>
        <v>40-49</v>
      </c>
      <c r="K714">
        <v>1</v>
      </c>
      <c r="L714">
        <v>0</v>
      </c>
      <c r="M714">
        <f>Titanic_Dataset[[#This Row],[Parch]]+Titanic_Dataset[[#This Row],[SibSp]]</f>
        <v>1</v>
      </c>
      <c r="N714" s="1" t="s">
        <v>1337</v>
      </c>
      <c r="O714">
        <v>52</v>
      </c>
      <c r="P714">
        <f>IF(Titanic_Dataset[[#This Row],[Survived]]=1,Titanic_Dataset[[#This Row],[Fare]],NA())</f>
        <v>52</v>
      </c>
      <c r="Q714" t="e">
        <f>IF(Titanic_Dataset[[#This Row],[Survived]]=0,Titanic_Dataset[[#This Row],[Fare]],NA())</f>
        <v>#N/A</v>
      </c>
      <c r="R714" t="str">
        <f>VLOOKUP(Titanic_Dataset[[#This Row],[Fare]],Table2[],2,TRUE)</f>
        <v>very hiegh</v>
      </c>
      <c r="S714" s="1" t="s">
        <v>1338</v>
      </c>
      <c r="T714" s="1" t="s">
        <v>16</v>
      </c>
      <c r="U714" s="1"/>
      <c r="V714" s="1"/>
      <c r="W714" s="1"/>
    </row>
    <row r="715" spans="1:23" x14ac:dyDescent="0.25">
      <c r="A715">
        <v>714</v>
      </c>
      <c r="B715">
        <v>0</v>
      </c>
      <c r="C715" t="str">
        <f>IF(Titanic_Dataset[[#This Row],[Survived]]=1,"Survived","Died")</f>
        <v>Died</v>
      </c>
      <c r="D715">
        <v>3</v>
      </c>
      <c r="E715" t="str">
        <f>IF(Titanic_Dataset[[#This Row],[Pclass]]=1,"1st",IF(Titanic_Dataset[[#This Row],[Pclass]]=2,"2nd",IF(Titanic_Dataset[[#This Row],[Pclass]]=3,"3rd")))</f>
        <v>3rd</v>
      </c>
      <c r="F715" s="1" t="s">
        <v>1419</v>
      </c>
      <c r="G715" s="1" t="str">
        <f>TRIM(MID(Titanic_Dataset[[#This Row],[Name]],
FIND(",",Titanic_Dataset[[#This Row],[Name]])+2,
FIND(".",Titanic_Dataset[[#This Row],[Name]],FIND(",",Titanic_Dataset[[#This Row],[Name]]))-FIND(",",Titanic_Dataset[[#This Row],[Name]])-1))</f>
        <v>Mr.</v>
      </c>
      <c r="H715" s="1" t="s">
        <v>13</v>
      </c>
      <c r="I715">
        <v>29</v>
      </c>
      <c r="J71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15">
        <v>0</v>
      </c>
      <c r="L715">
        <v>0</v>
      </c>
      <c r="M715">
        <f>Titanic_Dataset[[#This Row],[Parch]]+Titanic_Dataset[[#This Row],[SibSp]]</f>
        <v>0</v>
      </c>
      <c r="N715" s="1" t="s">
        <v>1420</v>
      </c>
      <c r="O715">
        <v>9.4832999999999998</v>
      </c>
      <c r="P715" t="e">
        <f>IF(Titanic_Dataset[[#This Row],[Survived]]=1,Titanic_Dataset[[#This Row],[Fare]],NA())</f>
        <v>#N/A</v>
      </c>
      <c r="Q715">
        <f>IF(Titanic_Dataset[[#This Row],[Survived]]=0,Titanic_Dataset[[#This Row],[Fare]],NA())</f>
        <v>9.4832999999999998</v>
      </c>
      <c r="R715" t="str">
        <f>VLOOKUP(Titanic_Dataset[[#This Row],[Fare]],Table2[],2,TRUE)</f>
        <v>medium</v>
      </c>
      <c r="S715" s="1" t="s">
        <v>15</v>
      </c>
      <c r="T715" s="1" t="s">
        <v>16</v>
      </c>
      <c r="U715" s="1"/>
      <c r="V715" s="1"/>
      <c r="W715" s="1"/>
    </row>
    <row r="716" spans="1:23" x14ac:dyDescent="0.25">
      <c r="A716">
        <v>715</v>
      </c>
      <c r="B716">
        <v>0</v>
      </c>
      <c r="C716" t="str">
        <f>IF(Titanic_Dataset[[#This Row],[Survived]]=1,"Survived","Died")</f>
        <v>Died</v>
      </c>
      <c r="D716">
        <v>2</v>
      </c>
      <c r="E716" t="str">
        <f>IF(Titanic_Dataset[[#This Row],[Pclass]]=1,"1st",IF(Titanic_Dataset[[#This Row],[Pclass]]=2,"2nd",IF(Titanic_Dataset[[#This Row],[Pclass]]=3,"3rd")))</f>
        <v>2nd</v>
      </c>
      <c r="F716" s="1" t="s">
        <v>1421</v>
      </c>
      <c r="G716" s="1" t="str">
        <f>TRIM(MID(Titanic_Dataset[[#This Row],[Name]],
FIND(",",Titanic_Dataset[[#This Row],[Name]])+2,
FIND(".",Titanic_Dataset[[#This Row],[Name]],FIND(",",Titanic_Dataset[[#This Row],[Name]]))-FIND(",",Titanic_Dataset[[#This Row],[Name]])-1))</f>
        <v>Mr.</v>
      </c>
      <c r="H716" s="1" t="s">
        <v>13</v>
      </c>
      <c r="I716">
        <v>52</v>
      </c>
      <c r="J716" t="str">
        <f>IF(Titanic_Dataset[[#This Row],[Age]]&lt;12,"0-11",
IF(Titanic_Dataset[[#This Row],[Age]]&lt;20,"12-19",
IF(Titanic_Dataset[[#This Row],[Age]]&lt;30,"20-29",
IF(Titanic_Dataset[[#This Row],[Age]]&lt;40,"30-39",
IF(Titanic_Dataset[[#This Row],[Age]]&lt;50,"40-49",
IF(Titanic_Dataset[[#This Row],[Age]]&lt;60,"50-59",
IF(Titanic_Dataset[[#This Row],[Age]]&lt;70,"60-69",)))))))</f>
        <v>50-59</v>
      </c>
      <c r="K716">
        <v>0</v>
      </c>
      <c r="L716">
        <v>0</v>
      </c>
      <c r="M716">
        <f>Titanic_Dataset[[#This Row],[Parch]]+Titanic_Dataset[[#This Row],[SibSp]]</f>
        <v>0</v>
      </c>
      <c r="N716" s="1" t="s">
        <v>1422</v>
      </c>
      <c r="O716">
        <v>13</v>
      </c>
      <c r="P716" t="e">
        <f>IF(Titanic_Dataset[[#This Row],[Survived]]=1,Titanic_Dataset[[#This Row],[Fare]],NA())</f>
        <v>#N/A</v>
      </c>
      <c r="Q716">
        <f>IF(Titanic_Dataset[[#This Row],[Survived]]=0,Titanic_Dataset[[#This Row],[Fare]],NA())</f>
        <v>13</v>
      </c>
      <c r="R716" t="str">
        <f>VLOOKUP(Titanic_Dataset[[#This Row],[Fare]],Table2[],2,TRUE)</f>
        <v>medium</v>
      </c>
      <c r="S716" s="1" t="s">
        <v>15</v>
      </c>
      <c r="T716" s="1" t="s">
        <v>16</v>
      </c>
      <c r="U716" s="1"/>
      <c r="V716" s="1"/>
      <c r="W716" s="1"/>
    </row>
    <row r="717" spans="1:23" x14ac:dyDescent="0.25">
      <c r="A717">
        <v>716</v>
      </c>
      <c r="B717">
        <v>0</v>
      </c>
      <c r="C717" t="str">
        <f>IF(Titanic_Dataset[[#This Row],[Survived]]=1,"Survived","Died")</f>
        <v>Died</v>
      </c>
      <c r="D717">
        <v>3</v>
      </c>
      <c r="E717" t="str">
        <f>IF(Titanic_Dataset[[#This Row],[Pclass]]=1,"1st",IF(Titanic_Dataset[[#This Row],[Pclass]]=2,"2nd",IF(Titanic_Dataset[[#This Row],[Pclass]]=3,"3rd")))</f>
        <v>3rd</v>
      </c>
      <c r="F717" s="1" t="s">
        <v>1423</v>
      </c>
      <c r="G717" s="1" t="str">
        <f>TRIM(MID(Titanic_Dataset[[#This Row],[Name]],
FIND(",",Titanic_Dataset[[#This Row],[Name]])+2,
FIND(".",Titanic_Dataset[[#This Row],[Name]],FIND(",",Titanic_Dataset[[#This Row],[Name]]))-FIND(",",Titanic_Dataset[[#This Row],[Name]])-1))</f>
        <v>Mr.</v>
      </c>
      <c r="H717" s="1" t="s">
        <v>13</v>
      </c>
      <c r="I717">
        <v>19</v>
      </c>
      <c r="J717" t="str">
        <f>IF(Titanic_Dataset[[#This Row],[Age]]&lt;12,"0-11",
IF(Titanic_Dataset[[#This Row],[Age]]&lt;20,"12-19",
IF(Titanic_Dataset[[#This Row],[Age]]&lt;30,"20-29",
IF(Titanic_Dataset[[#This Row],[Age]]&lt;40,"30-39",
IF(Titanic_Dataset[[#This Row],[Age]]&lt;50,"40-49",
IF(Titanic_Dataset[[#This Row],[Age]]&lt;60,"50-59",
IF(Titanic_Dataset[[#This Row],[Age]]&lt;70,"60-69",)))))))</f>
        <v>12-19</v>
      </c>
      <c r="K717">
        <v>0</v>
      </c>
      <c r="L717">
        <v>0</v>
      </c>
      <c r="M717">
        <f>Titanic_Dataset[[#This Row],[Parch]]+Titanic_Dataset[[#This Row],[SibSp]]</f>
        <v>0</v>
      </c>
      <c r="N717" s="1" t="s">
        <v>1424</v>
      </c>
      <c r="O717">
        <v>7.65</v>
      </c>
      <c r="P717" t="e">
        <f>IF(Titanic_Dataset[[#This Row],[Survived]]=1,Titanic_Dataset[[#This Row],[Fare]],NA())</f>
        <v>#N/A</v>
      </c>
      <c r="Q717">
        <f>IF(Titanic_Dataset[[#This Row],[Survived]]=0,Titanic_Dataset[[#This Row],[Fare]],NA())</f>
        <v>7.65</v>
      </c>
      <c r="R717" t="str">
        <f>VLOOKUP(Titanic_Dataset[[#This Row],[Fare]],Table2[],2,TRUE)</f>
        <v>low</v>
      </c>
      <c r="S717" s="1" t="s">
        <v>183</v>
      </c>
      <c r="T717" s="1" t="s">
        <v>16</v>
      </c>
      <c r="U717" s="1"/>
      <c r="V717" s="1"/>
      <c r="W717" s="1"/>
    </row>
    <row r="718" spans="1:23" x14ac:dyDescent="0.25">
      <c r="A718">
        <v>717</v>
      </c>
      <c r="B718">
        <v>1</v>
      </c>
      <c r="C718" t="str">
        <f>IF(Titanic_Dataset[[#This Row],[Survived]]=1,"Survived","Died")</f>
        <v>Survived</v>
      </c>
      <c r="D718">
        <v>1</v>
      </c>
      <c r="E718" t="str">
        <f>IF(Titanic_Dataset[[#This Row],[Pclass]]=1,"1st",IF(Titanic_Dataset[[#This Row],[Pclass]]=2,"2nd",IF(Titanic_Dataset[[#This Row],[Pclass]]=3,"3rd")))</f>
        <v>1st</v>
      </c>
      <c r="F718" s="1" t="s">
        <v>1425</v>
      </c>
      <c r="G718" s="1" t="str">
        <f>TRIM(MID(Titanic_Dataset[[#This Row],[Name]],
FIND(",",Titanic_Dataset[[#This Row],[Name]])+2,
FIND(".",Titanic_Dataset[[#This Row],[Name]],FIND(",",Titanic_Dataset[[#This Row],[Name]]))-FIND(",",Titanic_Dataset[[#This Row],[Name]])-1))</f>
        <v>Miss.</v>
      </c>
      <c r="H718" s="1" t="s">
        <v>18</v>
      </c>
      <c r="I718">
        <v>38</v>
      </c>
      <c r="J718" t="str">
        <f>IF(Titanic_Dataset[[#This Row],[Age]]&lt;12,"0-11",
IF(Titanic_Dataset[[#This Row],[Age]]&lt;20,"12-19",
IF(Titanic_Dataset[[#This Row],[Age]]&lt;30,"20-29",
IF(Titanic_Dataset[[#This Row],[Age]]&lt;40,"30-39",
IF(Titanic_Dataset[[#This Row],[Age]]&lt;50,"40-49",
IF(Titanic_Dataset[[#This Row],[Age]]&lt;60,"50-59",
IF(Titanic_Dataset[[#This Row],[Age]]&lt;70,"60-69",)))))))</f>
        <v>30-39</v>
      </c>
      <c r="K718">
        <v>0</v>
      </c>
      <c r="L718">
        <v>0</v>
      </c>
      <c r="M718">
        <f>Titanic_Dataset[[#This Row],[Parch]]+Titanic_Dataset[[#This Row],[SibSp]]</f>
        <v>0</v>
      </c>
      <c r="N718" s="1" t="s">
        <v>798</v>
      </c>
      <c r="O718">
        <v>227.52500000000001</v>
      </c>
      <c r="P718">
        <f>IF(Titanic_Dataset[[#This Row],[Survived]]=1,Titanic_Dataset[[#This Row],[Fare]],NA())</f>
        <v>227.52500000000001</v>
      </c>
      <c r="Q718" t="e">
        <f>IF(Titanic_Dataset[[#This Row],[Survived]]=0,Titanic_Dataset[[#This Row],[Fare]],NA())</f>
        <v>#N/A</v>
      </c>
      <c r="R718" t="str">
        <f>VLOOKUP(Titanic_Dataset[[#This Row],[Fare]],Table2[],2,TRUE)</f>
        <v>very hiegh</v>
      </c>
      <c r="S718" s="1" t="s">
        <v>1426</v>
      </c>
      <c r="T718" s="1" t="s">
        <v>21</v>
      </c>
      <c r="U718" s="1"/>
      <c r="V718" s="1"/>
      <c r="W718" s="1"/>
    </row>
    <row r="719" spans="1:23" x14ac:dyDescent="0.25">
      <c r="A719">
        <v>718</v>
      </c>
      <c r="B719">
        <v>1</v>
      </c>
      <c r="C719" t="str">
        <f>IF(Titanic_Dataset[[#This Row],[Survived]]=1,"Survived","Died")</f>
        <v>Survived</v>
      </c>
      <c r="D719">
        <v>2</v>
      </c>
      <c r="E719" t="str">
        <f>IF(Titanic_Dataset[[#This Row],[Pclass]]=1,"1st",IF(Titanic_Dataset[[#This Row],[Pclass]]=2,"2nd",IF(Titanic_Dataset[[#This Row],[Pclass]]=3,"3rd")))</f>
        <v>2nd</v>
      </c>
      <c r="F719" s="1" t="s">
        <v>1427</v>
      </c>
      <c r="G719" s="1" t="str">
        <f>TRIM(MID(Titanic_Dataset[[#This Row],[Name]],
FIND(",",Titanic_Dataset[[#This Row],[Name]])+2,
FIND(".",Titanic_Dataset[[#This Row],[Name]],FIND(",",Titanic_Dataset[[#This Row],[Name]]))-FIND(",",Titanic_Dataset[[#This Row],[Name]])-1))</f>
        <v>Miss.</v>
      </c>
      <c r="H719" s="1" t="s">
        <v>18</v>
      </c>
      <c r="I719">
        <v>27</v>
      </c>
      <c r="J71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19">
        <v>0</v>
      </c>
      <c r="L719">
        <v>0</v>
      </c>
      <c r="M719">
        <f>Titanic_Dataset[[#This Row],[Parch]]+Titanic_Dataset[[#This Row],[SibSp]]</f>
        <v>0</v>
      </c>
      <c r="N719" s="1" t="s">
        <v>1428</v>
      </c>
      <c r="O719">
        <v>10.5</v>
      </c>
      <c r="P719">
        <f>IF(Titanic_Dataset[[#This Row],[Survived]]=1,Titanic_Dataset[[#This Row],[Fare]],NA())</f>
        <v>10.5</v>
      </c>
      <c r="Q719" t="e">
        <f>IF(Titanic_Dataset[[#This Row],[Survived]]=0,Titanic_Dataset[[#This Row],[Fare]],NA())</f>
        <v>#N/A</v>
      </c>
      <c r="R719" t="str">
        <f>VLOOKUP(Titanic_Dataset[[#This Row],[Fare]],Table2[],2,TRUE)</f>
        <v>medium</v>
      </c>
      <c r="S719" s="1" t="s">
        <v>281</v>
      </c>
      <c r="T719" s="1" t="s">
        <v>16</v>
      </c>
      <c r="U719" s="1"/>
      <c r="V719" s="1"/>
      <c r="W719" s="1"/>
    </row>
    <row r="720" spans="1:23" x14ac:dyDescent="0.25">
      <c r="A720">
        <v>719</v>
      </c>
      <c r="B720">
        <v>0</v>
      </c>
      <c r="C720" t="str">
        <f>IF(Titanic_Dataset[[#This Row],[Survived]]=1,"Survived","Died")</f>
        <v>Died</v>
      </c>
      <c r="D720">
        <v>3</v>
      </c>
      <c r="E720" t="str">
        <f>IF(Titanic_Dataset[[#This Row],[Pclass]]=1,"1st",IF(Titanic_Dataset[[#This Row],[Pclass]]=2,"2nd",IF(Titanic_Dataset[[#This Row],[Pclass]]=3,"3rd")))</f>
        <v>3rd</v>
      </c>
      <c r="F720" s="1" t="s">
        <v>1429</v>
      </c>
      <c r="G720" s="1" t="str">
        <f>TRIM(MID(Titanic_Dataset[[#This Row],[Name]],
FIND(",",Titanic_Dataset[[#This Row],[Name]])+2,
FIND(".",Titanic_Dataset[[#This Row],[Name]],FIND(",",Titanic_Dataset[[#This Row],[Name]]))-FIND(",",Titanic_Dataset[[#This Row],[Name]])-1))</f>
        <v>Mr.</v>
      </c>
      <c r="H720" s="1" t="s">
        <v>13</v>
      </c>
      <c r="I720">
        <v>28</v>
      </c>
      <c r="J72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20">
        <v>0</v>
      </c>
      <c r="L720">
        <v>0</v>
      </c>
      <c r="M720">
        <f>Titanic_Dataset[[#This Row],[Parch]]+Titanic_Dataset[[#This Row],[SibSp]]</f>
        <v>0</v>
      </c>
      <c r="N720" s="1" t="s">
        <v>1430</v>
      </c>
      <c r="O720">
        <v>15.5</v>
      </c>
      <c r="P720" t="e">
        <f>IF(Titanic_Dataset[[#This Row],[Survived]]=1,Titanic_Dataset[[#This Row],[Fare]],NA())</f>
        <v>#N/A</v>
      </c>
      <c r="Q720">
        <f>IF(Titanic_Dataset[[#This Row],[Survived]]=0,Titanic_Dataset[[#This Row],[Fare]],NA())</f>
        <v>15.5</v>
      </c>
      <c r="R720" t="str">
        <f>VLOOKUP(Titanic_Dataset[[#This Row],[Fare]],Table2[],2,TRUE)</f>
        <v>high</v>
      </c>
      <c r="S720" s="1" t="s">
        <v>15</v>
      </c>
      <c r="T720" s="1" t="s">
        <v>31</v>
      </c>
      <c r="U720" s="1"/>
      <c r="V720" s="1"/>
      <c r="W720" s="1"/>
    </row>
    <row r="721" spans="1:23" x14ac:dyDescent="0.25">
      <c r="A721">
        <v>720</v>
      </c>
      <c r="B721">
        <v>0</v>
      </c>
      <c r="C721" t="str">
        <f>IF(Titanic_Dataset[[#This Row],[Survived]]=1,"Survived","Died")</f>
        <v>Died</v>
      </c>
      <c r="D721">
        <v>3</v>
      </c>
      <c r="E721" t="str">
        <f>IF(Titanic_Dataset[[#This Row],[Pclass]]=1,"1st",IF(Titanic_Dataset[[#This Row],[Pclass]]=2,"2nd",IF(Titanic_Dataset[[#This Row],[Pclass]]=3,"3rd")))</f>
        <v>3rd</v>
      </c>
      <c r="F721" s="1" t="s">
        <v>1431</v>
      </c>
      <c r="G721" s="1" t="str">
        <f>TRIM(MID(Titanic_Dataset[[#This Row],[Name]],
FIND(",",Titanic_Dataset[[#This Row],[Name]])+2,
FIND(".",Titanic_Dataset[[#This Row],[Name]],FIND(",",Titanic_Dataset[[#This Row],[Name]]))-FIND(",",Titanic_Dataset[[#This Row],[Name]])-1))</f>
        <v>Mr.</v>
      </c>
      <c r="H721" s="1" t="s">
        <v>13</v>
      </c>
      <c r="I721">
        <v>33</v>
      </c>
      <c r="J721" t="str">
        <f>IF(Titanic_Dataset[[#This Row],[Age]]&lt;12,"0-11",
IF(Titanic_Dataset[[#This Row],[Age]]&lt;20,"12-19",
IF(Titanic_Dataset[[#This Row],[Age]]&lt;30,"20-29",
IF(Titanic_Dataset[[#This Row],[Age]]&lt;40,"30-39",
IF(Titanic_Dataset[[#This Row],[Age]]&lt;50,"40-49",
IF(Titanic_Dataset[[#This Row],[Age]]&lt;60,"50-59",
IF(Titanic_Dataset[[#This Row],[Age]]&lt;70,"60-69",)))))))</f>
        <v>30-39</v>
      </c>
      <c r="K721">
        <v>0</v>
      </c>
      <c r="L721">
        <v>0</v>
      </c>
      <c r="M721">
        <f>Titanic_Dataset[[#This Row],[Parch]]+Titanic_Dataset[[#This Row],[SibSp]]</f>
        <v>0</v>
      </c>
      <c r="N721" s="1" t="s">
        <v>1432</v>
      </c>
      <c r="O721">
        <v>7.7750000000000004</v>
      </c>
      <c r="P721" t="e">
        <f>IF(Titanic_Dataset[[#This Row],[Survived]]=1,Titanic_Dataset[[#This Row],[Fare]],NA())</f>
        <v>#N/A</v>
      </c>
      <c r="Q721">
        <f>IF(Titanic_Dataset[[#This Row],[Survived]]=0,Titanic_Dataset[[#This Row],[Fare]],NA())</f>
        <v>7.7750000000000004</v>
      </c>
      <c r="R721" t="str">
        <f>VLOOKUP(Titanic_Dataset[[#This Row],[Fare]],Table2[],2,TRUE)</f>
        <v>low</v>
      </c>
      <c r="S721" s="1" t="s">
        <v>15</v>
      </c>
      <c r="T721" s="1" t="s">
        <v>16</v>
      </c>
      <c r="U721" s="1"/>
      <c r="V721" s="1"/>
      <c r="W721" s="1"/>
    </row>
    <row r="722" spans="1:23" x14ac:dyDescent="0.25">
      <c r="A722">
        <v>721</v>
      </c>
      <c r="B722">
        <v>1</v>
      </c>
      <c r="C722" t="str">
        <f>IF(Titanic_Dataset[[#This Row],[Survived]]=1,"Survived","Died")</f>
        <v>Survived</v>
      </c>
      <c r="D722">
        <v>2</v>
      </c>
      <c r="E722" t="str">
        <f>IF(Titanic_Dataset[[#This Row],[Pclass]]=1,"1st",IF(Titanic_Dataset[[#This Row],[Pclass]]=2,"2nd",IF(Titanic_Dataset[[#This Row],[Pclass]]=3,"3rd")))</f>
        <v>2nd</v>
      </c>
      <c r="F722" s="1" t="s">
        <v>1433</v>
      </c>
      <c r="G722" s="1" t="str">
        <f>TRIM(MID(Titanic_Dataset[[#This Row],[Name]],
FIND(",",Titanic_Dataset[[#This Row],[Name]])+2,
FIND(".",Titanic_Dataset[[#This Row],[Name]],FIND(",",Titanic_Dataset[[#This Row],[Name]]))-FIND(",",Titanic_Dataset[[#This Row],[Name]])-1))</f>
        <v>Miss.</v>
      </c>
      <c r="H722" s="1" t="s">
        <v>18</v>
      </c>
      <c r="I722">
        <v>6</v>
      </c>
      <c r="J722" t="str">
        <f>IF(Titanic_Dataset[[#This Row],[Age]]&lt;12,"0-11",
IF(Titanic_Dataset[[#This Row],[Age]]&lt;20,"12-19",
IF(Titanic_Dataset[[#This Row],[Age]]&lt;30,"20-29",
IF(Titanic_Dataset[[#This Row],[Age]]&lt;40,"30-39",
IF(Titanic_Dataset[[#This Row],[Age]]&lt;50,"40-49",
IF(Titanic_Dataset[[#This Row],[Age]]&lt;60,"50-59",
IF(Titanic_Dataset[[#This Row],[Age]]&lt;70,"60-69",)))))))</f>
        <v>0-11</v>
      </c>
      <c r="K722">
        <v>0</v>
      </c>
      <c r="L722">
        <v>1</v>
      </c>
      <c r="M722">
        <f>Titanic_Dataset[[#This Row],[Parch]]+Titanic_Dataset[[#This Row],[SibSp]]</f>
        <v>1</v>
      </c>
      <c r="N722" s="1" t="s">
        <v>1209</v>
      </c>
      <c r="O722">
        <v>33</v>
      </c>
      <c r="P722">
        <f>IF(Titanic_Dataset[[#This Row],[Survived]]=1,Titanic_Dataset[[#This Row],[Fare]],NA())</f>
        <v>33</v>
      </c>
      <c r="Q722" t="e">
        <f>IF(Titanic_Dataset[[#This Row],[Survived]]=0,Titanic_Dataset[[#This Row],[Fare]],NA())</f>
        <v>#N/A</v>
      </c>
      <c r="R722" t="str">
        <f>VLOOKUP(Titanic_Dataset[[#This Row],[Fare]],Table2[],2,TRUE)</f>
        <v>very hiegh</v>
      </c>
      <c r="S722" s="1" t="s">
        <v>15</v>
      </c>
      <c r="T722" s="1" t="s">
        <v>16</v>
      </c>
      <c r="U722" s="1"/>
      <c r="V722" s="1"/>
      <c r="W722" s="1"/>
    </row>
    <row r="723" spans="1:23" x14ac:dyDescent="0.25">
      <c r="A723">
        <v>722</v>
      </c>
      <c r="B723">
        <v>0</v>
      </c>
      <c r="C723" t="str">
        <f>IF(Titanic_Dataset[[#This Row],[Survived]]=1,"Survived","Died")</f>
        <v>Died</v>
      </c>
      <c r="D723">
        <v>3</v>
      </c>
      <c r="E723" t="str">
        <f>IF(Titanic_Dataset[[#This Row],[Pclass]]=1,"1st",IF(Titanic_Dataset[[#This Row],[Pclass]]=2,"2nd",IF(Titanic_Dataset[[#This Row],[Pclass]]=3,"3rd")))</f>
        <v>3rd</v>
      </c>
      <c r="F723" s="1" t="s">
        <v>1434</v>
      </c>
      <c r="G723" s="1" t="str">
        <f>TRIM(MID(Titanic_Dataset[[#This Row],[Name]],
FIND(",",Titanic_Dataset[[#This Row],[Name]])+2,
FIND(".",Titanic_Dataset[[#This Row],[Name]],FIND(",",Titanic_Dataset[[#This Row],[Name]]))-FIND(",",Titanic_Dataset[[#This Row],[Name]])-1))</f>
        <v>Mr.</v>
      </c>
      <c r="H723" s="1" t="s">
        <v>13</v>
      </c>
      <c r="I723">
        <v>17</v>
      </c>
      <c r="J723" t="str">
        <f>IF(Titanic_Dataset[[#This Row],[Age]]&lt;12,"0-11",
IF(Titanic_Dataset[[#This Row],[Age]]&lt;20,"12-19",
IF(Titanic_Dataset[[#This Row],[Age]]&lt;30,"20-29",
IF(Titanic_Dataset[[#This Row],[Age]]&lt;40,"30-39",
IF(Titanic_Dataset[[#This Row],[Age]]&lt;50,"40-49",
IF(Titanic_Dataset[[#This Row],[Age]]&lt;60,"50-59",
IF(Titanic_Dataset[[#This Row],[Age]]&lt;70,"60-69",)))))))</f>
        <v>12-19</v>
      </c>
      <c r="K723">
        <v>1</v>
      </c>
      <c r="L723">
        <v>0</v>
      </c>
      <c r="M723">
        <f>Titanic_Dataset[[#This Row],[Parch]]+Titanic_Dataset[[#This Row],[SibSp]]</f>
        <v>1</v>
      </c>
      <c r="N723" s="1" t="s">
        <v>1435</v>
      </c>
      <c r="O723">
        <v>7.0541999999999998</v>
      </c>
      <c r="P723" t="e">
        <f>IF(Titanic_Dataset[[#This Row],[Survived]]=1,Titanic_Dataset[[#This Row],[Fare]],NA())</f>
        <v>#N/A</v>
      </c>
      <c r="Q723">
        <f>IF(Titanic_Dataset[[#This Row],[Survived]]=0,Titanic_Dataset[[#This Row],[Fare]],NA())</f>
        <v>7.0541999999999998</v>
      </c>
      <c r="R723" t="str">
        <f>VLOOKUP(Titanic_Dataset[[#This Row],[Fare]],Table2[],2,TRUE)</f>
        <v>low</v>
      </c>
      <c r="S723" s="1" t="s">
        <v>15</v>
      </c>
      <c r="T723" s="1" t="s">
        <v>16</v>
      </c>
      <c r="U723" s="1"/>
      <c r="V723" s="1"/>
      <c r="W723" s="1"/>
    </row>
    <row r="724" spans="1:23" x14ac:dyDescent="0.25">
      <c r="A724">
        <v>723</v>
      </c>
      <c r="B724">
        <v>0</v>
      </c>
      <c r="C724" t="str">
        <f>IF(Titanic_Dataset[[#This Row],[Survived]]=1,"Survived","Died")</f>
        <v>Died</v>
      </c>
      <c r="D724">
        <v>2</v>
      </c>
      <c r="E724" t="str">
        <f>IF(Titanic_Dataset[[#This Row],[Pclass]]=1,"1st",IF(Titanic_Dataset[[#This Row],[Pclass]]=2,"2nd",IF(Titanic_Dataset[[#This Row],[Pclass]]=3,"3rd")))</f>
        <v>2nd</v>
      </c>
      <c r="F724" s="1" t="s">
        <v>1436</v>
      </c>
      <c r="G724" s="1" t="str">
        <f>TRIM(MID(Titanic_Dataset[[#This Row],[Name]],
FIND(",",Titanic_Dataset[[#This Row],[Name]])+2,
FIND(".",Titanic_Dataset[[#This Row],[Name]],FIND(",",Titanic_Dataset[[#This Row],[Name]]))-FIND(",",Titanic_Dataset[[#This Row],[Name]])-1))</f>
        <v>Mr.</v>
      </c>
      <c r="H724" s="1" t="s">
        <v>13</v>
      </c>
      <c r="I724">
        <v>34</v>
      </c>
      <c r="J724" t="str">
        <f>IF(Titanic_Dataset[[#This Row],[Age]]&lt;12,"0-11",
IF(Titanic_Dataset[[#This Row],[Age]]&lt;20,"12-19",
IF(Titanic_Dataset[[#This Row],[Age]]&lt;30,"20-29",
IF(Titanic_Dataset[[#This Row],[Age]]&lt;40,"30-39",
IF(Titanic_Dataset[[#This Row],[Age]]&lt;50,"40-49",
IF(Titanic_Dataset[[#This Row],[Age]]&lt;60,"50-59",
IF(Titanic_Dataset[[#This Row],[Age]]&lt;70,"60-69",)))))))</f>
        <v>30-39</v>
      </c>
      <c r="K724">
        <v>0</v>
      </c>
      <c r="L724">
        <v>0</v>
      </c>
      <c r="M724">
        <f>Titanic_Dataset[[#This Row],[Parch]]+Titanic_Dataset[[#This Row],[SibSp]]</f>
        <v>0</v>
      </c>
      <c r="N724" s="1" t="s">
        <v>1437</v>
      </c>
      <c r="O724">
        <v>13</v>
      </c>
      <c r="P724" t="e">
        <f>IF(Titanic_Dataset[[#This Row],[Survived]]=1,Titanic_Dataset[[#This Row],[Fare]],NA())</f>
        <v>#N/A</v>
      </c>
      <c r="Q724">
        <f>IF(Titanic_Dataset[[#This Row],[Survived]]=0,Titanic_Dataset[[#This Row],[Fare]],NA())</f>
        <v>13</v>
      </c>
      <c r="R724" t="str">
        <f>VLOOKUP(Titanic_Dataset[[#This Row],[Fare]],Table2[],2,TRUE)</f>
        <v>medium</v>
      </c>
      <c r="S724" s="1" t="s">
        <v>15</v>
      </c>
      <c r="T724" s="1" t="s">
        <v>16</v>
      </c>
      <c r="U724" s="1"/>
      <c r="V724" s="1"/>
      <c r="W724" s="1"/>
    </row>
    <row r="725" spans="1:23" x14ac:dyDescent="0.25">
      <c r="A725">
        <v>724</v>
      </c>
      <c r="B725">
        <v>0</v>
      </c>
      <c r="C725" t="str">
        <f>IF(Titanic_Dataset[[#This Row],[Survived]]=1,"Survived","Died")</f>
        <v>Died</v>
      </c>
      <c r="D725">
        <v>2</v>
      </c>
      <c r="E725" t="str">
        <f>IF(Titanic_Dataset[[#This Row],[Pclass]]=1,"1st",IF(Titanic_Dataset[[#This Row],[Pclass]]=2,"2nd",IF(Titanic_Dataset[[#This Row],[Pclass]]=3,"3rd")))</f>
        <v>2nd</v>
      </c>
      <c r="F725" s="1" t="s">
        <v>1438</v>
      </c>
      <c r="G725" s="1" t="str">
        <f>TRIM(MID(Titanic_Dataset[[#This Row],[Name]],
FIND(",",Titanic_Dataset[[#This Row],[Name]])+2,
FIND(".",Titanic_Dataset[[#This Row],[Name]],FIND(",",Titanic_Dataset[[#This Row],[Name]]))-FIND(",",Titanic_Dataset[[#This Row],[Name]])-1))</f>
        <v>Mr.</v>
      </c>
      <c r="H725" s="1" t="s">
        <v>13</v>
      </c>
      <c r="I725">
        <v>50</v>
      </c>
      <c r="J725" t="str">
        <f>IF(Titanic_Dataset[[#This Row],[Age]]&lt;12,"0-11",
IF(Titanic_Dataset[[#This Row],[Age]]&lt;20,"12-19",
IF(Titanic_Dataset[[#This Row],[Age]]&lt;30,"20-29",
IF(Titanic_Dataset[[#This Row],[Age]]&lt;40,"30-39",
IF(Titanic_Dataset[[#This Row],[Age]]&lt;50,"40-49",
IF(Titanic_Dataset[[#This Row],[Age]]&lt;60,"50-59",
IF(Titanic_Dataset[[#This Row],[Age]]&lt;70,"60-69",)))))))</f>
        <v>50-59</v>
      </c>
      <c r="K725">
        <v>0</v>
      </c>
      <c r="L725">
        <v>0</v>
      </c>
      <c r="M725">
        <f>Titanic_Dataset[[#This Row],[Parch]]+Titanic_Dataset[[#This Row],[SibSp]]</f>
        <v>0</v>
      </c>
      <c r="N725" s="1" t="s">
        <v>1439</v>
      </c>
      <c r="O725">
        <v>13</v>
      </c>
      <c r="P725" t="e">
        <f>IF(Titanic_Dataset[[#This Row],[Survived]]=1,Titanic_Dataset[[#This Row],[Fare]],NA())</f>
        <v>#N/A</v>
      </c>
      <c r="Q725">
        <f>IF(Titanic_Dataset[[#This Row],[Survived]]=0,Titanic_Dataset[[#This Row],[Fare]],NA())</f>
        <v>13</v>
      </c>
      <c r="R725" t="str">
        <f>VLOOKUP(Titanic_Dataset[[#This Row],[Fare]],Table2[],2,TRUE)</f>
        <v>medium</v>
      </c>
      <c r="S725" s="1" t="s">
        <v>15</v>
      </c>
      <c r="T725" s="1" t="s">
        <v>16</v>
      </c>
      <c r="U725" s="1"/>
      <c r="V725" s="1"/>
      <c r="W725" s="1"/>
    </row>
    <row r="726" spans="1:23" x14ac:dyDescent="0.25">
      <c r="A726">
        <v>725</v>
      </c>
      <c r="B726">
        <v>1</v>
      </c>
      <c r="C726" t="str">
        <f>IF(Titanic_Dataset[[#This Row],[Survived]]=1,"Survived","Died")</f>
        <v>Survived</v>
      </c>
      <c r="D726">
        <v>1</v>
      </c>
      <c r="E726" t="str">
        <f>IF(Titanic_Dataset[[#This Row],[Pclass]]=1,"1st",IF(Titanic_Dataset[[#This Row],[Pclass]]=2,"2nd",IF(Titanic_Dataset[[#This Row],[Pclass]]=3,"3rd")))</f>
        <v>1st</v>
      </c>
      <c r="F726" s="1" t="s">
        <v>1440</v>
      </c>
      <c r="G726" s="1" t="str">
        <f>TRIM(MID(Titanic_Dataset[[#This Row],[Name]],
FIND(",",Titanic_Dataset[[#This Row],[Name]])+2,
FIND(".",Titanic_Dataset[[#This Row],[Name]],FIND(",",Titanic_Dataset[[#This Row],[Name]]))-FIND(",",Titanic_Dataset[[#This Row],[Name]])-1))</f>
        <v>Mr.</v>
      </c>
      <c r="H726" s="1" t="s">
        <v>13</v>
      </c>
      <c r="I726">
        <v>27</v>
      </c>
      <c r="J72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26">
        <v>1</v>
      </c>
      <c r="L726">
        <v>0</v>
      </c>
      <c r="M726">
        <f>Titanic_Dataset[[#This Row],[Parch]]+Titanic_Dataset[[#This Row],[SibSp]]</f>
        <v>1</v>
      </c>
      <c r="N726" s="1" t="s">
        <v>1441</v>
      </c>
      <c r="O726">
        <v>53.1</v>
      </c>
      <c r="P726">
        <f>IF(Titanic_Dataset[[#This Row],[Survived]]=1,Titanic_Dataset[[#This Row],[Fare]],NA())</f>
        <v>53.1</v>
      </c>
      <c r="Q726" t="e">
        <f>IF(Titanic_Dataset[[#This Row],[Survived]]=0,Titanic_Dataset[[#This Row],[Fare]],NA())</f>
        <v>#N/A</v>
      </c>
      <c r="R726" t="str">
        <f>VLOOKUP(Titanic_Dataset[[#This Row],[Fare]],Table2[],2,TRUE)</f>
        <v>very hiegh</v>
      </c>
      <c r="S726" s="1" t="s">
        <v>1442</v>
      </c>
      <c r="T726" s="1" t="s">
        <v>16</v>
      </c>
      <c r="U726" s="1"/>
      <c r="V726" s="1"/>
      <c r="W726" s="1"/>
    </row>
    <row r="727" spans="1:23" x14ac:dyDescent="0.25">
      <c r="A727">
        <v>726</v>
      </c>
      <c r="B727">
        <v>0</v>
      </c>
      <c r="C727" t="str">
        <f>IF(Titanic_Dataset[[#This Row],[Survived]]=1,"Survived","Died")</f>
        <v>Died</v>
      </c>
      <c r="D727">
        <v>3</v>
      </c>
      <c r="E727" t="str">
        <f>IF(Titanic_Dataset[[#This Row],[Pclass]]=1,"1st",IF(Titanic_Dataset[[#This Row],[Pclass]]=2,"2nd",IF(Titanic_Dataset[[#This Row],[Pclass]]=3,"3rd")))</f>
        <v>3rd</v>
      </c>
      <c r="F727" s="1" t="s">
        <v>1443</v>
      </c>
      <c r="G727" s="1" t="str">
        <f>TRIM(MID(Titanic_Dataset[[#This Row],[Name]],
FIND(",",Titanic_Dataset[[#This Row],[Name]])+2,
FIND(".",Titanic_Dataset[[#This Row],[Name]],FIND(",",Titanic_Dataset[[#This Row],[Name]]))-FIND(",",Titanic_Dataset[[#This Row],[Name]])-1))</f>
        <v>Mr.</v>
      </c>
      <c r="H727" s="1" t="s">
        <v>13</v>
      </c>
      <c r="I727">
        <v>20</v>
      </c>
      <c r="J72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27">
        <v>0</v>
      </c>
      <c r="L727">
        <v>0</v>
      </c>
      <c r="M727">
        <f>Titanic_Dataset[[#This Row],[Parch]]+Titanic_Dataset[[#This Row],[SibSp]]</f>
        <v>0</v>
      </c>
      <c r="N727" s="1" t="s">
        <v>1444</v>
      </c>
      <c r="O727">
        <v>8.6624999999999996</v>
      </c>
      <c r="P727" t="e">
        <f>IF(Titanic_Dataset[[#This Row],[Survived]]=1,Titanic_Dataset[[#This Row],[Fare]],NA())</f>
        <v>#N/A</v>
      </c>
      <c r="Q727">
        <f>IF(Titanic_Dataset[[#This Row],[Survived]]=0,Titanic_Dataset[[#This Row],[Fare]],NA())</f>
        <v>8.6624999999999996</v>
      </c>
      <c r="R727" t="str">
        <f>VLOOKUP(Titanic_Dataset[[#This Row],[Fare]],Table2[],2,TRUE)</f>
        <v>medium</v>
      </c>
      <c r="S727" s="1" t="s">
        <v>15</v>
      </c>
      <c r="T727" s="1" t="s">
        <v>16</v>
      </c>
      <c r="U727" s="1"/>
      <c r="V727" s="1"/>
      <c r="W727" s="1"/>
    </row>
    <row r="728" spans="1:23" x14ac:dyDescent="0.25">
      <c r="A728">
        <v>727</v>
      </c>
      <c r="B728">
        <v>1</v>
      </c>
      <c r="C728" t="str">
        <f>IF(Titanic_Dataset[[#This Row],[Survived]]=1,"Survived","Died")</f>
        <v>Survived</v>
      </c>
      <c r="D728">
        <v>2</v>
      </c>
      <c r="E728" t="str">
        <f>IF(Titanic_Dataset[[#This Row],[Pclass]]=1,"1st",IF(Titanic_Dataset[[#This Row],[Pclass]]=2,"2nd",IF(Titanic_Dataset[[#This Row],[Pclass]]=3,"3rd")))</f>
        <v>2nd</v>
      </c>
      <c r="F728" s="1" t="s">
        <v>1445</v>
      </c>
      <c r="G728" s="1" t="str">
        <f>TRIM(MID(Titanic_Dataset[[#This Row],[Name]],
FIND(",",Titanic_Dataset[[#This Row],[Name]])+2,
FIND(".",Titanic_Dataset[[#This Row],[Name]],FIND(",",Titanic_Dataset[[#This Row],[Name]]))-FIND(",",Titanic_Dataset[[#This Row],[Name]])-1))</f>
        <v>Mrs.</v>
      </c>
      <c r="H728" s="1" t="s">
        <v>18</v>
      </c>
      <c r="I728">
        <v>30</v>
      </c>
      <c r="J728" t="str">
        <f>IF(Titanic_Dataset[[#This Row],[Age]]&lt;12,"0-11",
IF(Titanic_Dataset[[#This Row],[Age]]&lt;20,"12-19",
IF(Titanic_Dataset[[#This Row],[Age]]&lt;30,"20-29",
IF(Titanic_Dataset[[#This Row],[Age]]&lt;40,"30-39",
IF(Titanic_Dataset[[#This Row],[Age]]&lt;50,"40-49",
IF(Titanic_Dataset[[#This Row],[Age]]&lt;60,"50-59",
IF(Titanic_Dataset[[#This Row],[Age]]&lt;70,"60-69",)))))))</f>
        <v>30-39</v>
      </c>
      <c r="K728">
        <v>3</v>
      </c>
      <c r="L728">
        <v>0</v>
      </c>
      <c r="M728">
        <f>Titanic_Dataset[[#This Row],[Parch]]+Titanic_Dataset[[#This Row],[SibSp]]</f>
        <v>3</v>
      </c>
      <c r="N728" s="1" t="s">
        <v>981</v>
      </c>
      <c r="O728">
        <v>21</v>
      </c>
      <c r="P728">
        <f>IF(Titanic_Dataset[[#This Row],[Survived]]=1,Titanic_Dataset[[#This Row],[Fare]],NA())</f>
        <v>21</v>
      </c>
      <c r="Q728" t="e">
        <f>IF(Titanic_Dataset[[#This Row],[Survived]]=0,Titanic_Dataset[[#This Row],[Fare]],NA())</f>
        <v>#N/A</v>
      </c>
      <c r="R728" t="str">
        <f>VLOOKUP(Titanic_Dataset[[#This Row],[Fare]],Table2[],2,TRUE)</f>
        <v>high</v>
      </c>
      <c r="S728" s="1" t="s">
        <v>15</v>
      </c>
      <c r="T728" s="1" t="s">
        <v>16</v>
      </c>
      <c r="U728" s="1"/>
      <c r="V728" s="1"/>
      <c r="W728" s="1"/>
    </row>
    <row r="729" spans="1:23" x14ac:dyDescent="0.25">
      <c r="A729">
        <v>728</v>
      </c>
      <c r="B729">
        <v>1</v>
      </c>
      <c r="C729" t="str">
        <f>IF(Titanic_Dataset[[#This Row],[Survived]]=1,"Survived","Died")</f>
        <v>Survived</v>
      </c>
      <c r="D729">
        <v>3</v>
      </c>
      <c r="E729" t="str">
        <f>IF(Titanic_Dataset[[#This Row],[Pclass]]=1,"1st",IF(Titanic_Dataset[[#This Row],[Pclass]]=2,"2nd",IF(Titanic_Dataset[[#This Row],[Pclass]]=3,"3rd")))</f>
        <v>3rd</v>
      </c>
      <c r="F729" s="1" t="s">
        <v>1446</v>
      </c>
      <c r="G729" s="1" t="str">
        <f>TRIM(MID(Titanic_Dataset[[#This Row],[Name]],
FIND(",",Titanic_Dataset[[#This Row],[Name]])+2,
FIND(".",Titanic_Dataset[[#This Row],[Name]],FIND(",",Titanic_Dataset[[#This Row],[Name]]))-FIND(",",Titanic_Dataset[[#This Row],[Name]])-1))</f>
        <v>Miss.</v>
      </c>
      <c r="H729" s="1" t="s">
        <v>18</v>
      </c>
      <c r="I729">
        <v>28</v>
      </c>
      <c r="J72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29">
        <v>0</v>
      </c>
      <c r="L729">
        <v>0</v>
      </c>
      <c r="M729">
        <f>Titanic_Dataset[[#This Row],[Parch]]+Titanic_Dataset[[#This Row],[SibSp]]</f>
        <v>0</v>
      </c>
      <c r="N729" s="1" t="s">
        <v>1447</v>
      </c>
      <c r="O729">
        <v>7.7374999999999998</v>
      </c>
      <c r="P729">
        <f>IF(Titanic_Dataset[[#This Row],[Survived]]=1,Titanic_Dataset[[#This Row],[Fare]],NA())</f>
        <v>7.7374999999999998</v>
      </c>
      <c r="Q729" t="e">
        <f>IF(Titanic_Dataset[[#This Row],[Survived]]=0,Titanic_Dataset[[#This Row],[Fare]],NA())</f>
        <v>#N/A</v>
      </c>
      <c r="R729" t="str">
        <f>VLOOKUP(Titanic_Dataset[[#This Row],[Fare]],Table2[],2,TRUE)</f>
        <v>low</v>
      </c>
      <c r="S729" s="1" t="s">
        <v>15</v>
      </c>
      <c r="T729" s="1" t="s">
        <v>31</v>
      </c>
      <c r="U729" s="1"/>
      <c r="V729" s="1"/>
      <c r="W729" s="1"/>
    </row>
    <row r="730" spans="1:23" x14ac:dyDescent="0.25">
      <c r="A730">
        <v>729</v>
      </c>
      <c r="B730">
        <v>0</v>
      </c>
      <c r="C730" t="str">
        <f>IF(Titanic_Dataset[[#This Row],[Survived]]=1,"Survived","Died")</f>
        <v>Died</v>
      </c>
      <c r="D730">
        <v>2</v>
      </c>
      <c r="E730" t="str">
        <f>IF(Titanic_Dataset[[#This Row],[Pclass]]=1,"1st",IF(Titanic_Dataset[[#This Row],[Pclass]]=2,"2nd",IF(Titanic_Dataset[[#This Row],[Pclass]]=3,"3rd")))</f>
        <v>2nd</v>
      </c>
      <c r="F730" s="1" t="s">
        <v>1448</v>
      </c>
      <c r="G730" s="1" t="str">
        <f>TRIM(MID(Titanic_Dataset[[#This Row],[Name]],
FIND(",",Titanic_Dataset[[#This Row],[Name]])+2,
FIND(".",Titanic_Dataset[[#This Row],[Name]],FIND(",",Titanic_Dataset[[#This Row],[Name]]))-FIND(",",Titanic_Dataset[[#This Row],[Name]])-1))</f>
        <v>Mr.</v>
      </c>
      <c r="H730" s="1" t="s">
        <v>13</v>
      </c>
      <c r="I730">
        <v>25</v>
      </c>
      <c r="J73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30">
        <v>1</v>
      </c>
      <c r="L730">
        <v>0</v>
      </c>
      <c r="M730">
        <f>Titanic_Dataset[[#This Row],[Parch]]+Titanic_Dataset[[#This Row],[SibSp]]</f>
        <v>1</v>
      </c>
      <c r="N730" s="1" t="s">
        <v>1449</v>
      </c>
      <c r="O730">
        <v>26</v>
      </c>
      <c r="P730" t="e">
        <f>IF(Titanic_Dataset[[#This Row],[Survived]]=1,Titanic_Dataset[[#This Row],[Fare]],NA())</f>
        <v>#N/A</v>
      </c>
      <c r="Q730">
        <f>IF(Titanic_Dataset[[#This Row],[Survived]]=0,Titanic_Dataset[[#This Row],[Fare]],NA())</f>
        <v>26</v>
      </c>
      <c r="R730" t="str">
        <f>VLOOKUP(Titanic_Dataset[[#This Row],[Fare]],Table2[],2,TRUE)</f>
        <v>high</v>
      </c>
      <c r="S730" s="1" t="s">
        <v>15</v>
      </c>
      <c r="T730" s="1" t="s">
        <v>16</v>
      </c>
      <c r="U730" s="1"/>
      <c r="V730" s="1"/>
      <c r="W730" s="1"/>
    </row>
    <row r="731" spans="1:23" x14ac:dyDescent="0.25">
      <c r="A731">
        <v>730</v>
      </c>
      <c r="B731">
        <v>0</v>
      </c>
      <c r="C731" t="str">
        <f>IF(Titanic_Dataset[[#This Row],[Survived]]=1,"Survived","Died")</f>
        <v>Died</v>
      </c>
      <c r="D731">
        <v>3</v>
      </c>
      <c r="E731" t="str">
        <f>IF(Titanic_Dataset[[#This Row],[Pclass]]=1,"1st",IF(Titanic_Dataset[[#This Row],[Pclass]]=2,"2nd",IF(Titanic_Dataset[[#This Row],[Pclass]]=3,"3rd")))</f>
        <v>3rd</v>
      </c>
      <c r="F731" s="1" t="s">
        <v>1450</v>
      </c>
      <c r="G731" s="1" t="str">
        <f>TRIM(MID(Titanic_Dataset[[#This Row],[Name]],
FIND(",",Titanic_Dataset[[#This Row],[Name]])+2,
FIND(".",Titanic_Dataset[[#This Row],[Name]],FIND(",",Titanic_Dataset[[#This Row],[Name]]))-FIND(",",Titanic_Dataset[[#This Row],[Name]])-1))</f>
        <v>Miss.</v>
      </c>
      <c r="H731" s="1" t="s">
        <v>18</v>
      </c>
      <c r="I731">
        <v>25</v>
      </c>
      <c r="J73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31">
        <v>1</v>
      </c>
      <c r="L731">
        <v>0</v>
      </c>
      <c r="M731">
        <f>Titanic_Dataset[[#This Row],[Parch]]+Titanic_Dataset[[#This Row],[SibSp]]</f>
        <v>1</v>
      </c>
      <c r="N731" s="1" t="s">
        <v>1451</v>
      </c>
      <c r="O731">
        <v>7.9249999999999998</v>
      </c>
      <c r="P731" t="e">
        <f>IF(Titanic_Dataset[[#This Row],[Survived]]=1,Titanic_Dataset[[#This Row],[Fare]],NA())</f>
        <v>#N/A</v>
      </c>
      <c r="Q731">
        <f>IF(Titanic_Dataset[[#This Row],[Survived]]=0,Titanic_Dataset[[#This Row],[Fare]],NA())</f>
        <v>7.9249999999999998</v>
      </c>
      <c r="R731" t="str">
        <f>VLOOKUP(Titanic_Dataset[[#This Row],[Fare]],Table2[],2,TRUE)</f>
        <v>low</v>
      </c>
      <c r="S731" s="1" t="s">
        <v>15</v>
      </c>
      <c r="T731" s="1" t="s">
        <v>16</v>
      </c>
      <c r="U731" s="1"/>
      <c r="V731" s="1"/>
      <c r="W731" s="1"/>
    </row>
    <row r="732" spans="1:23" x14ac:dyDescent="0.25">
      <c r="A732">
        <v>731</v>
      </c>
      <c r="B732">
        <v>1</v>
      </c>
      <c r="C732" t="str">
        <f>IF(Titanic_Dataset[[#This Row],[Survived]]=1,"Survived","Died")</f>
        <v>Survived</v>
      </c>
      <c r="D732">
        <v>1</v>
      </c>
      <c r="E732" t="str">
        <f>IF(Titanic_Dataset[[#This Row],[Pclass]]=1,"1st",IF(Titanic_Dataset[[#This Row],[Pclass]]=2,"2nd",IF(Titanic_Dataset[[#This Row],[Pclass]]=3,"3rd")))</f>
        <v>1st</v>
      </c>
      <c r="F732" s="1" t="s">
        <v>1452</v>
      </c>
      <c r="G732" s="1" t="str">
        <f>TRIM(MID(Titanic_Dataset[[#This Row],[Name]],
FIND(",",Titanic_Dataset[[#This Row],[Name]])+2,
FIND(".",Titanic_Dataset[[#This Row],[Name]],FIND(",",Titanic_Dataset[[#This Row],[Name]]))-FIND(",",Titanic_Dataset[[#This Row],[Name]])-1))</f>
        <v>Miss.</v>
      </c>
      <c r="H732" s="1" t="s">
        <v>18</v>
      </c>
      <c r="I732">
        <v>29</v>
      </c>
      <c r="J73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32">
        <v>0</v>
      </c>
      <c r="L732">
        <v>0</v>
      </c>
      <c r="M732">
        <f>Titanic_Dataset[[#This Row],[Parch]]+Titanic_Dataset[[#This Row],[SibSp]]</f>
        <v>0</v>
      </c>
      <c r="N732" s="1" t="s">
        <v>1374</v>
      </c>
      <c r="O732">
        <v>211.33750000000001</v>
      </c>
      <c r="P732">
        <f>IF(Titanic_Dataset[[#This Row],[Survived]]=1,Titanic_Dataset[[#This Row],[Fare]],NA())</f>
        <v>211.33750000000001</v>
      </c>
      <c r="Q732" t="e">
        <f>IF(Titanic_Dataset[[#This Row],[Survived]]=0,Titanic_Dataset[[#This Row],[Fare]],NA())</f>
        <v>#N/A</v>
      </c>
      <c r="R732" t="str">
        <f>VLOOKUP(Titanic_Dataset[[#This Row],[Fare]],Table2[],2,TRUE)</f>
        <v>very hiegh</v>
      </c>
      <c r="S732" s="1" t="s">
        <v>1375</v>
      </c>
      <c r="T732" s="1" t="s">
        <v>16</v>
      </c>
      <c r="U732" s="1"/>
      <c r="V732" s="1"/>
      <c r="W732" s="1"/>
    </row>
    <row r="733" spans="1:23" x14ac:dyDescent="0.25">
      <c r="A733">
        <v>732</v>
      </c>
      <c r="B733">
        <v>0</v>
      </c>
      <c r="C733" t="str">
        <f>IF(Titanic_Dataset[[#This Row],[Survived]]=1,"Survived","Died")</f>
        <v>Died</v>
      </c>
      <c r="D733">
        <v>3</v>
      </c>
      <c r="E733" t="str">
        <f>IF(Titanic_Dataset[[#This Row],[Pclass]]=1,"1st",IF(Titanic_Dataset[[#This Row],[Pclass]]=2,"2nd",IF(Titanic_Dataset[[#This Row],[Pclass]]=3,"3rd")))</f>
        <v>3rd</v>
      </c>
      <c r="F733" s="1" t="s">
        <v>1453</v>
      </c>
      <c r="G733" s="1" t="str">
        <f>TRIM(MID(Titanic_Dataset[[#This Row],[Name]],
FIND(",",Titanic_Dataset[[#This Row],[Name]])+2,
FIND(".",Titanic_Dataset[[#This Row],[Name]],FIND(",",Titanic_Dataset[[#This Row],[Name]]))-FIND(",",Titanic_Dataset[[#This Row],[Name]])-1))</f>
        <v>Mr.</v>
      </c>
      <c r="H733" s="1" t="s">
        <v>13</v>
      </c>
      <c r="I733">
        <v>11</v>
      </c>
      <c r="J733" t="str">
        <f>IF(Titanic_Dataset[[#This Row],[Age]]&lt;12,"0-11",
IF(Titanic_Dataset[[#This Row],[Age]]&lt;20,"12-19",
IF(Titanic_Dataset[[#This Row],[Age]]&lt;30,"20-29",
IF(Titanic_Dataset[[#This Row],[Age]]&lt;40,"30-39",
IF(Titanic_Dataset[[#This Row],[Age]]&lt;50,"40-49",
IF(Titanic_Dataset[[#This Row],[Age]]&lt;60,"50-59",
IF(Titanic_Dataset[[#This Row],[Age]]&lt;70,"60-69",)))))))</f>
        <v>0-11</v>
      </c>
      <c r="K733">
        <v>0</v>
      </c>
      <c r="L733">
        <v>0</v>
      </c>
      <c r="M733">
        <f>Titanic_Dataset[[#This Row],[Parch]]+Titanic_Dataset[[#This Row],[SibSp]]</f>
        <v>0</v>
      </c>
      <c r="N733" s="1" t="s">
        <v>447</v>
      </c>
      <c r="O733">
        <v>18.787500000000001</v>
      </c>
      <c r="P733" t="e">
        <f>IF(Titanic_Dataset[[#This Row],[Survived]]=1,Titanic_Dataset[[#This Row],[Fare]],NA())</f>
        <v>#N/A</v>
      </c>
      <c r="Q733">
        <f>IF(Titanic_Dataset[[#This Row],[Survived]]=0,Titanic_Dataset[[#This Row],[Fare]],NA())</f>
        <v>18.787500000000001</v>
      </c>
      <c r="R733" t="str">
        <f>VLOOKUP(Titanic_Dataset[[#This Row],[Fare]],Table2[],2,TRUE)</f>
        <v>high</v>
      </c>
      <c r="S733" s="1" t="s">
        <v>15</v>
      </c>
      <c r="T733" s="1" t="s">
        <v>21</v>
      </c>
      <c r="U733" s="1"/>
      <c r="V733" s="1"/>
      <c r="W733" s="1"/>
    </row>
    <row r="734" spans="1:23" x14ac:dyDescent="0.25">
      <c r="A734">
        <v>733</v>
      </c>
      <c r="B734">
        <v>0</v>
      </c>
      <c r="C734" t="str">
        <f>IF(Titanic_Dataset[[#This Row],[Survived]]=1,"Survived","Died")</f>
        <v>Died</v>
      </c>
      <c r="D734">
        <v>2</v>
      </c>
      <c r="E734" t="str">
        <f>IF(Titanic_Dataset[[#This Row],[Pclass]]=1,"1st",IF(Titanic_Dataset[[#This Row],[Pclass]]=2,"2nd",IF(Titanic_Dataset[[#This Row],[Pclass]]=3,"3rd")))</f>
        <v>2nd</v>
      </c>
      <c r="F734" s="1" t="s">
        <v>1454</v>
      </c>
      <c r="G734" s="1" t="str">
        <f>TRIM(MID(Titanic_Dataset[[#This Row],[Name]],
FIND(",",Titanic_Dataset[[#This Row],[Name]])+2,
FIND(".",Titanic_Dataset[[#This Row],[Name]],FIND(",",Titanic_Dataset[[#This Row],[Name]]))-FIND(",",Titanic_Dataset[[#This Row],[Name]])-1))</f>
        <v>Mr.</v>
      </c>
      <c r="H734" s="1" t="s">
        <v>13</v>
      </c>
      <c r="I734">
        <v>28</v>
      </c>
      <c r="J73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34">
        <v>0</v>
      </c>
      <c r="L734">
        <v>0</v>
      </c>
      <c r="M734">
        <f>Titanic_Dataset[[#This Row],[Parch]]+Titanic_Dataset[[#This Row],[SibSp]]</f>
        <v>0</v>
      </c>
      <c r="N734" s="1" t="s">
        <v>1455</v>
      </c>
      <c r="O734">
        <v>0</v>
      </c>
      <c r="P734" t="e">
        <f>IF(Titanic_Dataset[[#This Row],[Survived]]=1,Titanic_Dataset[[#This Row],[Fare]],NA())</f>
        <v>#N/A</v>
      </c>
      <c r="Q734">
        <f>IF(Titanic_Dataset[[#This Row],[Survived]]=0,Titanic_Dataset[[#This Row],[Fare]],NA())</f>
        <v>0</v>
      </c>
      <c r="R734" t="str">
        <f>VLOOKUP(Titanic_Dataset[[#This Row],[Fare]],Table2[],2,TRUE)</f>
        <v>low</v>
      </c>
      <c r="S734" s="1" t="s">
        <v>15</v>
      </c>
      <c r="T734" s="1" t="s">
        <v>16</v>
      </c>
      <c r="U734" s="1"/>
      <c r="V734" s="1"/>
      <c r="W734" s="1"/>
    </row>
    <row r="735" spans="1:23" x14ac:dyDescent="0.25">
      <c r="A735">
        <v>734</v>
      </c>
      <c r="B735">
        <v>0</v>
      </c>
      <c r="C735" t="str">
        <f>IF(Titanic_Dataset[[#This Row],[Survived]]=1,"Survived","Died")</f>
        <v>Died</v>
      </c>
      <c r="D735">
        <v>2</v>
      </c>
      <c r="E735" t="str">
        <f>IF(Titanic_Dataset[[#This Row],[Pclass]]=1,"1st",IF(Titanic_Dataset[[#This Row],[Pclass]]=2,"2nd",IF(Titanic_Dataset[[#This Row],[Pclass]]=3,"3rd")))</f>
        <v>2nd</v>
      </c>
      <c r="F735" s="1" t="s">
        <v>1456</v>
      </c>
      <c r="G735" s="1" t="str">
        <f>TRIM(MID(Titanic_Dataset[[#This Row],[Name]],
FIND(",",Titanic_Dataset[[#This Row],[Name]])+2,
FIND(".",Titanic_Dataset[[#This Row],[Name]],FIND(",",Titanic_Dataset[[#This Row],[Name]]))-FIND(",",Titanic_Dataset[[#This Row],[Name]])-1))</f>
        <v>Mr.</v>
      </c>
      <c r="H735" s="1" t="s">
        <v>13</v>
      </c>
      <c r="I735">
        <v>23</v>
      </c>
      <c r="J73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35">
        <v>0</v>
      </c>
      <c r="L735">
        <v>0</v>
      </c>
      <c r="M735">
        <f>Titanic_Dataset[[#This Row],[Parch]]+Titanic_Dataset[[#This Row],[SibSp]]</f>
        <v>0</v>
      </c>
      <c r="N735" s="1" t="s">
        <v>1457</v>
      </c>
      <c r="O735">
        <v>13</v>
      </c>
      <c r="P735" t="e">
        <f>IF(Titanic_Dataset[[#This Row],[Survived]]=1,Titanic_Dataset[[#This Row],[Fare]],NA())</f>
        <v>#N/A</v>
      </c>
      <c r="Q735">
        <f>IF(Titanic_Dataset[[#This Row],[Survived]]=0,Titanic_Dataset[[#This Row],[Fare]],NA())</f>
        <v>13</v>
      </c>
      <c r="R735" t="str">
        <f>VLOOKUP(Titanic_Dataset[[#This Row],[Fare]],Table2[],2,TRUE)</f>
        <v>medium</v>
      </c>
      <c r="S735" s="1" t="s">
        <v>15</v>
      </c>
      <c r="T735" s="1" t="s">
        <v>16</v>
      </c>
      <c r="U735" s="1"/>
      <c r="V735" s="1"/>
      <c r="W735" s="1"/>
    </row>
    <row r="736" spans="1:23" x14ac:dyDescent="0.25">
      <c r="A736">
        <v>735</v>
      </c>
      <c r="B736">
        <v>0</v>
      </c>
      <c r="C736" t="str">
        <f>IF(Titanic_Dataset[[#This Row],[Survived]]=1,"Survived","Died")</f>
        <v>Died</v>
      </c>
      <c r="D736">
        <v>2</v>
      </c>
      <c r="E736" t="str">
        <f>IF(Titanic_Dataset[[#This Row],[Pclass]]=1,"1st",IF(Titanic_Dataset[[#This Row],[Pclass]]=2,"2nd",IF(Titanic_Dataset[[#This Row],[Pclass]]=3,"3rd")))</f>
        <v>2nd</v>
      </c>
      <c r="F736" s="1" t="s">
        <v>1458</v>
      </c>
      <c r="G736" s="1" t="str">
        <f>TRIM(MID(Titanic_Dataset[[#This Row],[Name]],
FIND(",",Titanic_Dataset[[#This Row],[Name]])+2,
FIND(".",Titanic_Dataset[[#This Row],[Name]],FIND(",",Titanic_Dataset[[#This Row],[Name]]))-FIND(",",Titanic_Dataset[[#This Row],[Name]])-1))</f>
        <v>Mr.</v>
      </c>
      <c r="H736" s="1" t="s">
        <v>13</v>
      </c>
      <c r="I736">
        <v>23</v>
      </c>
      <c r="J73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36">
        <v>0</v>
      </c>
      <c r="L736">
        <v>0</v>
      </c>
      <c r="M736">
        <f>Titanic_Dataset[[#This Row],[Parch]]+Titanic_Dataset[[#This Row],[SibSp]]</f>
        <v>0</v>
      </c>
      <c r="N736" s="1" t="s">
        <v>1459</v>
      </c>
      <c r="O736">
        <v>13</v>
      </c>
      <c r="P736" t="e">
        <f>IF(Titanic_Dataset[[#This Row],[Survived]]=1,Titanic_Dataset[[#This Row],[Fare]],NA())</f>
        <v>#N/A</v>
      </c>
      <c r="Q736">
        <f>IF(Titanic_Dataset[[#This Row],[Survived]]=0,Titanic_Dataset[[#This Row],[Fare]],NA())</f>
        <v>13</v>
      </c>
      <c r="R736" t="str">
        <f>VLOOKUP(Titanic_Dataset[[#This Row],[Fare]],Table2[],2,TRUE)</f>
        <v>medium</v>
      </c>
      <c r="S736" s="1" t="s">
        <v>15</v>
      </c>
      <c r="T736" s="1" t="s">
        <v>16</v>
      </c>
      <c r="U736" s="1"/>
      <c r="V736" s="1"/>
      <c r="W736" s="1"/>
    </row>
    <row r="737" spans="1:23" x14ac:dyDescent="0.25">
      <c r="A737">
        <v>736</v>
      </c>
      <c r="B737">
        <v>0</v>
      </c>
      <c r="C737" t="str">
        <f>IF(Titanic_Dataset[[#This Row],[Survived]]=1,"Survived","Died")</f>
        <v>Died</v>
      </c>
      <c r="D737">
        <v>3</v>
      </c>
      <c r="E737" t="str">
        <f>IF(Titanic_Dataset[[#This Row],[Pclass]]=1,"1st",IF(Titanic_Dataset[[#This Row],[Pclass]]=2,"2nd",IF(Titanic_Dataset[[#This Row],[Pclass]]=3,"3rd")))</f>
        <v>3rd</v>
      </c>
      <c r="F737" s="1" t="s">
        <v>1460</v>
      </c>
      <c r="G737" s="1" t="str">
        <f>TRIM(MID(Titanic_Dataset[[#This Row],[Name]],
FIND(",",Titanic_Dataset[[#This Row],[Name]])+2,
FIND(".",Titanic_Dataset[[#This Row],[Name]],FIND(",",Titanic_Dataset[[#This Row],[Name]]))-FIND(",",Titanic_Dataset[[#This Row],[Name]])-1))</f>
        <v>Mr.</v>
      </c>
      <c r="H737" s="1" t="s">
        <v>13</v>
      </c>
      <c r="I737">
        <v>28.5</v>
      </c>
      <c r="J73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37">
        <v>0</v>
      </c>
      <c r="L737">
        <v>0</v>
      </c>
      <c r="M737">
        <f>Titanic_Dataset[[#This Row],[Parch]]+Titanic_Dataset[[#This Row],[SibSp]]</f>
        <v>0</v>
      </c>
      <c r="N737" s="1" t="s">
        <v>1256</v>
      </c>
      <c r="O737">
        <v>16.100000000000001</v>
      </c>
      <c r="P737" t="e">
        <f>IF(Titanic_Dataset[[#This Row],[Survived]]=1,Titanic_Dataset[[#This Row],[Fare]],NA())</f>
        <v>#N/A</v>
      </c>
      <c r="Q737">
        <f>IF(Titanic_Dataset[[#This Row],[Survived]]=0,Titanic_Dataset[[#This Row],[Fare]],NA())</f>
        <v>16.100000000000001</v>
      </c>
      <c r="R737" t="str">
        <f>VLOOKUP(Titanic_Dataset[[#This Row],[Fare]],Table2[],2,TRUE)</f>
        <v>high</v>
      </c>
      <c r="S737" s="1" t="s">
        <v>15</v>
      </c>
      <c r="T737" s="1" t="s">
        <v>16</v>
      </c>
      <c r="U737" s="1"/>
      <c r="V737" s="1"/>
      <c r="W737" s="1"/>
    </row>
    <row r="738" spans="1:23" x14ac:dyDescent="0.25">
      <c r="A738">
        <v>737</v>
      </c>
      <c r="B738">
        <v>0</v>
      </c>
      <c r="C738" t="str">
        <f>IF(Titanic_Dataset[[#This Row],[Survived]]=1,"Survived","Died")</f>
        <v>Died</v>
      </c>
      <c r="D738">
        <v>3</v>
      </c>
      <c r="E738" t="str">
        <f>IF(Titanic_Dataset[[#This Row],[Pclass]]=1,"1st",IF(Titanic_Dataset[[#This Row],[Pclass]]=2,"2nd",IF(Titanic_Dataset[[#This Row],[Pclass]]=3,"3rd")))</f>
        <v>3rd</v>
      </c>
      <c r="F738" s="1" t="s">
        <v>1461</v>
      </c>
      <c r="G738" s="1" t="str">
        <f>TRIM(MID(Titanic_Dataset[[#This Row],[Name]],
FIND(",",Titanic_Dataset[[#This Row],[Name]])+2,
FIND(".",Titanic_Dataset[[#This Row],[Name]],FIND(",",Titanic_Dataset[[#This Row],[Name]]))-FIND(",",Titanic_Dataset[[#This Row],[Name]])-1))</f>
        <v>Mrs.</v>
      </c>
      <c r="H738" s="1" t="s">
        <v>18</v>
      </c>
      <c r="I738">
        <v>48</v>
      </c>
      <c r="J738" t="str">
        <f>IF(Titanic_Dataset[[#This Row],[Age]]&lt;12,"0-11",
IF(Titanic_Dataset[[#This Row],[Age]]&lt;20,"12-19",
IF(Titanic_Dataset[[#This Row],[Age]]&lt;30,"20-29",
IF(Titanic_Dataset[[#This Row],[Age]]&lt;40,"30-39",
IF(Titanic_Dataset[[#This Row],[Age]]&lt;50,"40-49",
IF(Titanic_Dataset[[#This Row],[Age]]&lt;60,"50-59",
IF(Titanic_Dataset[[#This Row],[Age]]&lt;70,"60-69",)))))))</f>
        <v>40-49</v>
      </c>
      <c r="K738">
        <v>1</v>
      </c>
      <c r="L738">
        <v>3</v>
      </c>
      <c r="M738">
        <f>Titanic_Dataset[[#This Row],[Parch]]+Titanic_Dataset[[#This Row],[SibSp]]</f>
        <v>4</v>
      </c>
      <c r="N738" s="1" t="s">
        <v>205</v>
      </c>
      <c r="O738">
        <v>34.375</v>
      </c>
      <c r="P738" t="e">
        <f>IF(Titanic_Dataset[[#This Row],[Survived]]=1,Titanic_Dataset[[#This Row],[Fare]],NA())</f>
        <v>#N/A</v>
      </c>
      <c r="Q738">
        <f>IF(Titanic_Dataset[[#This Row],[Survived]]=0,Titanic_Dataset[[#This Row],[Fare]],NA())</f>
        <v>34.375</v>
      </c>
      <c r="R738" t="str">
        <f>VLOOKUP(Titanic_Dataset[[#This Row],[Fare]],Table2[],2,TRUE)</f>
        <v>very hiegh</v>
      </c>
      <c r="S738" s="1" t="s">
        <v>15</v>
      </c>
      <c r="T738" s="1" t="s">
        <v>16</v>
      </c>
      <c r="U738" s="1"/>
      <c r="V738" s="1"/>
      <c r="W738" s="1"/>
    </row>
    <row r="739" spans="1:23" x14ac:dyDescent="0.25">
      <c r="A739">
        <v>738</v>
      </c>
      <c r="B739">
        <v>1</v>
      </c>
      <c r="C739" t="str">
        <f>IF(Titanic_Dataset[[#This Row],[Survived]]=1,"Survived","Died")</f>
        <v>Survived</v>
      </c>
      <c r="D739">
        <v>1</v>
      </c>
      <c r="E739" t="str">
        <f>IF(Titanic_Dataset[[#This Row],[Pclass]]=1,"1st",IF(Titanic_Dataset[[#This Row],[Pclass]]=2,"2nd",IF(Titanic_Dataset[[#This Row],[Pclass]]=3,"3rd")))</f>
        <v>1st</v>
      </c>
      <c r="F739" s="1" t="s">
        <v>1462</v>
      </c>
      <c r="G739" s="1" t="str">
        <f>TRIM(MID(Titanic_Dataset[[#This Row],[Name]],
FIND(",",Titanic_Dataset[[#This Row],[Name]])+2,
FIND(".",Titanic_Dataset[[#This Row],[Name]],FIND(",",Titanic_Dataset[[#This Row],[Name]]))-FIND(",",Titanic_Dataset[[#This Row],[Name]])-1))</f>
        <v>Mr.</v>
      </c>
      <c r="H739" s="1" t="s">
        <v>13</v>
      </c>
      <c r="I739">
        <v>35</v>
      </c>
      <c r="J739" t="str">
        <f>IF(Titanic_Dataset[[#This Row],[Age]]&lt;12,"0-11",
IF(Titanic_Dataset[[#This Row],[Age]]&lt;20,"12-19",
IF(Titanic_Dataset[[#This Row],[Age]]&lt;30,"20-29",
IF(Titanic_Dataset[[#This Row],[Age]]&lt;40,"30-39",
IF(Titanic_Dataset[[#This Row],[Age]]&lt;50,"40-49",
IF(Titanic_Dataset[[#This Row],[Age]]&lt;60,"50-59",
IF(Titanic_Dataset[[#This Row],[Age]]&lt;70,"60-69",)))))))</f>
        <v>30-39</v>
      </c>
      <c r="K739">
        <v>0</v>
      </c>
      <c r="L739">
        <v>0</v>
      </c>
      <c r="M739">
        <f>Titanic_Dataset[[#This Row],[Parch]]+Titanic_Dataset[[#This Row],[SibSp]]</f>
        <v>0</v>
      </c>
      <c r="N739" s="1" t="s">
        <v>552</v>
      </c>
      <c r="O739">
        <v>512.32920000000001</v>
      </c>
      <c r="P739">
        <f>IF(Titanic_Dataset[[#This Row],[Survived]]=1,Titanic_Dataset[[#This Row],[Fare]],NA())</f>
        <v>512.32920000000001</v>
      </c>
      <c r="Q739" t="e">
        <f>IF(Titanic_Dataset[[#This Row],[Survived]]=0,Titanic_Dataset[[#This Row],[Fare]],NA())</f>
        <v>#N/A</v>
      </c>
      <c r="R739" t="str">
        <f>VLOOKUP(Titanic_Dataset[[#This Row],[Fare]],Table2[],2,TRUE)</f>
        <v>very hiegh</v>
      </c>
      <c r="S739" s="1" t="s">
        <v>1463</v>
      </c>
      <c r="T739" s="1" t="s">
        <v>21</v>
      </c>
      <c r="U739" s="1"/>
      <c r="V739" s="1"/>
      <c r="W739" s="1"/>
    </row>
    <row r="740" spans="1:23" x14ac:dyDescent="0.25">
      <c r="A740">
        <v>739</v>
      </c>
      <c r="B740">
        <v>0</v>
      </c>
      <c r="C740" t="str">
        <f>IF(Titanic_Dataset[[#This Row],[Survived]]=1,"Survived","Died")</f>
        <v>Died</v>
      </c>
      <c r="D740">
        <v>3</v>
      </c>
      <c r="E740" t="str">
        <f>IF(Titanic_Dataset[[#This Row],[Pclass]]=1,"1st",IF(Titanic_Dataset[[#This Row],[Pclass]]=2,"2nd",IF(Titanic_Dataset[[#This Row],[Pclass]]=3,"3rd")))</f>
        <v>3rd</v>
      </c>
      <c r="F740" s="1" t="s">
        <v>1464</v>
      </c>
      <c r="G740" s="1" t="str">
        <f>TRIM(MID(Titanic_Dataset[[#This Row],[Name]],
FIND(",",Titanic_Dataset[[#This Row],[Name]])+2,
FIND(".",Titanic_Dataset[[#This Row],[Name]],FIND(",",Titanic_Dataset[[#This Row],[Name]]))-FIND(",",Titanic_Dataset[[#This Row],[Name]])-1))</f>
        <v>Mr.</v>
      </c>
      <c r="H740" s="1" t="s">
        <v>13</v>
      </c>
      <c r="I740">
        <v>28</v>
      </c>
      <c r="J74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40">
        <v>0</v>
      </c>
      <c r="L740">
        <v>0</v>
      </c>
      <c r="M740">
        <f>Titanic_Dataset[[#This Row],[Parch]]+Titanic_Dataset[[#This Row],[SibSp]]</f>
        <v>0</v>
      </c>
      <c r="N740" s="1" t="s">
        <v>1465</v>
      </c>
      <c r="O740">
        <v>7.8958000000000004</v>
      </c>
      <c r="P740" t="e">
        <f>IF(Titanic_Dataset[[#This Row],[Survived]]=1,Titanic_Dataset[[#This Row],[Fare]],NA())</f>
        <v>#N/A</v>
      </c>
      <c r="Q740">
        <f>IF(Titanic_Dataset[[#This Row],[Survived]]=0,Titanic_Dataset[[#This Row],[Fare]],NA())</f>
        <v>7.8958000000000004</v>
      </c>
      <c r="R740" t="str">
        <f>VLOOKUP(Titanic_Dataset[[#This Row],[Fare]],Table2[],2,TRUE)</f>
        <v>low</v>
      </c>
      <c r="S740" s="1" t="s">
        <v>15</v>
      </c>
      <c r="T740" s="1" t="s">
        <v>16</v>
      </c>
      <c r="U740" s="1"/>
      <c r="V740" s="1"/>
      <c r="W740" s="1"/>
    </row>
    <row r="741" spans="1:23" x14ac:dyDescent="0.25">
      <c r="A741">
        <v>740</v>
      </c>
      <c r="B741">
        <v>0</v>
      </c>
      <c r="C741" t="str">
        <f>IF(Titanic_Dataset[[#This Row],[Survived]]=1,"Survived","Died")</f>
        <v>Died</v>
      </c>
      <c r="D741">
        <v>3</v>
      </c>
      <c r="E741" t="str">
        <f>IF(Titanic_Dataset[[#This Row],[Pclass]]=1,"1st",IF(Titanic_Dataset[[#This Row],[Pclass]]=2,"2nd",IF(Titanic_Dataset[[#This Row],[Pclass]]=3,"3rd")))</f>
        <v>3rd</v>
      </c>
      <c r="F741" s="1" t="s">
        <v>1466</v>
      </c>
      <c r="G741" s="1" t="str">
        <f>TRIM(MID(Titanic_Dataset[[#This Row],[Name]],
FIND(",",Titanic_Dataset[[#This Row],[Name]])+2,
FIND(".",Titanic_Dataset[[#This Row],[Name]],FIND(",",Titanic_Dataset[[#This Row],[Name]]))-FIND(",",Titanic_Dataset[[#This Row],[Name]])-1))</f>
        <v>Mr.</v>
      </c>
      <c r="H741" s="1" t="s">
        <v>13</v>
      </c>
      <c r="I741">
        <v>28</v>
      </c>
      <c r="J74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41">
        <v>0</v>
      </c>
      <c r="L741">
        <v>0</v>
      </c>
      <c r="M741">
        <f>Titanic_Dataset[[#This Row],[Parch]]+Titanic_Dataset[[#This Row],[SibSp]]</f>
        <v>0</v>
      </c>
      <c r="N741" s="1" t="s">
        <v>1467</v>
      </c>
      <c r="O741">
        <v>7.8958000000000004</v>
      </c>
      <c r="P741" t="e">
        <f>IF(Titanic_Dataset[[#This Row],[Survived]]=1,Titanic_Dataset[[#This Row],[Fare]],NA())</f>
        <v>#N/A</v>
      </c>
      <c r="Q741">
        <f>IF(Titanic_Dataset[[#This Row],[Survived]]=0,Titanic_Dataset[[#This Row],[Fare]],NA())</f>
        <v>7.8958000000000004</v>
      </c>
      <c r="R741" t="str">
        <f>VLOOKUP(Titanic_Dataset[[#This Row],[Fare]],Table2[],2,TRUE)</f>
        <v>low</v>
      </c>
      <c r="S741" s="1" t="s">
        <v>15</v>
      </c>
      <c r="T741" s="1" t="s">
        <v>16</v>
      </c>
      <c r="U741" s="1"/>
      <c r="V741" s="1"/>
      <c r="W741" s="1"/>
    </row>
    <row r="742" spans="1:23" x14ac:dyDescent="0.25">
      <c r="A742">
        <v>741</v>
      </c>
      <c r="B742">
        <v>1</v>
      </c>
      <c r="C742" t="str">
        <f>IF(Titanic_Dataset[[#This Row],[Survived]]=1,"Survived","Died")</f>
        <v>Survived</v>
      </c>
      <c r="D742">
        <v>1</v>
      </c>
      <c r="E742" t="str">
        <f>IF(Titanic_Dataset[[#This Row],[Pclass]]=1,"1st",IF(Titanic_Dataset[[#This Row],[Pclass]]=2,"2nd",IF(Titanic_Dataset[[#This Row],[Pclass]]=3,"3rd")))</f>
        <v>1st</v>
      </c>
      <c r="F742" s="1" t="s">
        <v>1468</v>
      </c>
      <c r="G742" s="1" t="str">
        <f>TRIM(MID(Titanic_Dataset[[#This Row],[Name]],
FIND(",",Titanic_Dataset[[#This Row],[Name]])+2,
FIND(".",Titanic_Dataset[[#This Row],[Name]],FIND(",",Titanic_Dataset[[#This Row],[Name]]))-FIND(",",Titanic_Dataset[[#This Row],[Name]])-1))</f>
        <v>Mr.</v>
      </c>
      <c r="H742" s="1" t="s">
        <v>13</v>
      </c>
      <c r="I742">
        <v>28</v>
      </c>
      <c r="J74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42">
        <v>0</v>
      </c>
      <c r="L742">
        <v>0</v>
      </c>
      <c r="M742">
        <f>Titanic_Dataset[[#This Row],[Parch]]+Titanic_Dataset[[#This Row],[SibSp]]</f>
        <v>0</v>
      </c>
      <c r="N742" s="1" t="s">
        <v>1469</v>
      </c>
      <c r="O742">
        <v>30</v>
      </c>
      <c r="P742">
        <f>IF(Titanic_Dataset[[#This Row],[Survived]]=1,Titanic_Dataset[[#This Row],[Fare]],NA())</f>
        <v>30</v>
      </c>
      <c r="Q742" t="e">
        <f>IF(Titanic_Dataset[[#This Row],[Survived]]=0,Titanic_Dataset[[#This Row],[Fare]],NA())</f>
        <v>#N/A</v>
      </c>
      <c r="R742" t="str">
        <f>VLOOKUP(Titanic_Dataset[[#This Row],[Fare]],Table2[],2,TRUE)</f>
        <v>very hiegh</v>
      </c>
      <c r="S742" s="1" t="s">
        <v>1470</v>
      </c>
      <c r="T742" s="1" t="s">
        <v>16</v>
      </c>
      <c r="U742" s="1"/>
      <c r="V742" s="1"/>
      <c r="W742" s="1"/>
    </row>
    <row r="743" spans="1:23" x14ac:dyDescent="0.25">
      <c r="A743">
        <v>742</v>
      </c>
      <c r="B743">
        <v>0</v>
      </c>
      <c r="C743" t="str">
        <f>IF(Titanic_Dataset[[#This Row],[Survived]]=1,"Survived","Died")</f>
        <v>Died</v>
      </c>
      <c r="D743">
        <v>1</v>
      </c>
      <c r="E743" t="str">
        <f>IF(Titanic_Dataset[[#This Row],[Pclass]]=1,"1st",IF(Titanic_Dataset[[#This Row],[Pclass]]=2,"2nd",IF(Titanic_Dataset[[#This Row],[Pclass]]=3,"3rd")))</f>
        <v>1st</v>
      </c>
      <c r="F743" s="1" t="s">
        <v>1471</v>
      </c>
      <c r="G743" s="1" t="str">
        <f>TRIM(MID(Titanic_Dataset[[#This Row],[Name]],
FIND(",",Titanic_Dataset[[#This Row],[Name]])+2,
FIND(".",Titanic_Dataset[[#This Row],[Name]],FIND(",",Titanic_Dataset[[#This Row],[Name]]))-FIND(",",Titanic_Dataset[[#This Row],[Name]])-1))</f>
        <v>Mr.</v>
      </c>
      <c r="H743" s="1" t="s">
        <v>13</v>
      </c>
      <c r="I743">
        <v>36</v>
      </c>
      <c r="J743" t="str">
        <f>IF(Titanic_Dataset[[#This Row],[Age]]&lt;12,"0-11",
IF(Titanic_Dataset[[#This Row],[Age]]&lt;20,"12-19",
IF(Titanic_Dataset[[#This Row],[Age]]&lt;30,"20-29",
IF(Titanic_Dataset[[#This Row],[Age]]&lt;40,"30-39",
IF(Titanic_Dataset[[#This Row],[Age]]&lt;50,"40-49",
IF(Titanic_Dataset[[#This Row],[Age]]&lt;60,"50-59",
IF(Titanic_Dataset[[#This Row],[Age]]&lt;70,"60-69",)))))))</f>
        <v>30-39</v>
      </c>
      <c r="K743">
        <v>1</v>
      </c>
      <c r="L743">
        <v>0</v>
      </c>
      <c r="M743">
        <f>Titanic_Dataset[[#This Row],[Parch]]+Titanic_Dataset[[#This Row],[SibSp]]</f>
        <v>1</v>
      </c>
      <c r="N743" s="1" t="s">
        <v>619</v>
      </c>
      <c r="O743">
        <v>78.849999999999994</v>
      </c>
      <c r="P743" t="e">
        <f>IF(Titanic_Dataset[[#This Row],[Survived]]=1,Titanic_Dataset[[#This Row],[Fare]],NA())</f>
        <v>#N/A</v>
      </c>
      <c r="Q743">
        <f>IF(Titanic_Dataset[[#This Row],[Survived]]=0,Titanic_Dataset[[#This Row],[Fare]],NA())</f>
        <v>78.849999999999994</v>
      </c>
      <c r="R743" t="str">
        <f>VLOOKUP(Titanic_Dataset[[#This Row],[Fare]],Table2[],2,TRUE)</f>
        <v>very hiegh</v>
      </c>
      <c r="S743" s="1" t="s">
        <v>1472</v>
      </c>
      <c r="T743" s="1" t="s">
        <v>16</v>
      </c>
      <c r="U743" s="1"/>
      <c r="V743" s="1"/>
      <c r="W743" s="1"/>
    </row>
    <row r="744" spans="1:23" x14ac:dyDescent="0.25">
      <c r="A744">
        <v>743</v>
      </c>
      <c r="B744">
        <v>1</v>
      </c>
      <c r="C744" t="str">
        <f>IF(Titanic_Dataset[[#This Row],[Survived]]=1,"Survived","Died")</f>
        <v>Survived</v>
      </c>
      <c r="D744">
        <v>1</v>
      </c>
      <c r="E744" t="str">
        <f>IF(Titanic_Dataset[[#This Row],[Pclass]]=1,"1st",IF(Titanic_Dataset[[#This Row],[Pclass]]=2,"2nd",IF(Titanic_Dataset[[#This Row],[Pclass]]=3,"3rd")))</f>
        <v>1st</v>
      </c>
      <c r="F744" s="1" t="s">
        <v>1473</v>
      </c>
      <c r="G744" s="1" t="str">
        <f>TRIM(MID(Titanic_Dataset[[#This Row],[Name]],
FIND(",",Titanic_Dataset[[#This Row],[Name]])+2,
FIND(".",Titanic_Dataset[[#This Row],[Name]],FIND(",",Titanic_Dataset[[#This Row],[Name]]))-FIND(",",Titanic_Dataset[[#This Row],[Name]])-1))</f>
        <v>Miss.</v>
      </c>
      <c r="H744" s="1" t="s">
        <v>18</v>
      </c>
      <c r="I744">
        <v>21</v>
      </c>
      <c r="J74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44">
        <v>2</v>
      </c>
      <c r="L744">
        <v>2</v>
      </c>
      <c r="M744">
        <f>Titanic_Dataset[[#This Row],[Parch]]+Titanic_Dataset[[#This Row],[SibSp]]</f>
        <v>4</v>
      </c>
      <c r="N744" s="1" t="s">
        <v>665</v>
      </c>
      <c r="O744">
        <v>262.375</v>
      </c>
      <c r="P744">
        <f>IF(Titanic_Dataset[[#This Row],[Survived]]=1,Titanic_Dataset[[#This Row],[Fare]],NA())</f>
        <v>262.375</v>
      </c>
      <c r="Q744" t="e">
        <f>IF(Titanic_Dataset[[#This Row],[Survived]]=0,Titanic_Dataset[[#This Row],[Fare]],NA())</f>
        <v>#N/A</v>
      </c>
      <c r="R744" t="str">
        <f>VLOOKUP(Titanic_Dataset[[#This Row],[Fare]],Table2[],2,TRUE)</f>
        <v>very hiegh</v>
      </c>
      <c r="S744" s="1" t="s">
        <v>666</v>
      </c>
      <c r="T744" s="1" t="s">
        <v>21</v>
      </c>
      <c r="U744" s="1"/>
      <c r="V744" s="1"/>
      <c r="W744" s="1"/>
    </row>
    <row r="745" spans="1:23" x14ac:dyDescent="0.25">
      <c r="A745">
        <v>744</v>
      </c>
      <c r="B745">
        <v>0</v>
      </c>
      <c r="C745" t="str">
        <f>IF(Titanic_Dataset[[#This Row],[Survived]]=1,"Survived","Died")</f>
        <v>Died</v>
      </c>
      <c r="D745">
        <v>3</v>
      </c>
      <c r="E745" t="str">
        <f>IF(Titanic_Dataset[[#This Row],[Pclass]]=1,"1st",IF(Titanic_Dataset[[#This Row],[Pclass]]=2,"2nd",IF(Titanic_Dataset[[#This Row],[Pclass]]=3,"3rd")))</f>
        <v>3rd</v>
      </c>
      <c r="F745" s="1" t="s">
        <v>1474</v>
      </c>
      <c r="G745" s="1" t="str">
        <f>TRIM(MID(Titanic_Dataset[[#This Row],[Name]],
FIND(",",Titanic_Dataset[[#This Row],[Name]])+2,
FIND(".",Titanic_Dataset[[#This Row],[Name]],FIND(",",Titanic_Dataset[[#This Row],[Name]]))-FIND(",",Titanic_Dataset[[#This Row],[Name]])-1))</f>
        <v>Mr.</v>
      </c>
      <c r="H745" s="1" t="s">
        <v>13</v>
      </c>
      <c r="I745">
        <v>24</v>
      </c>
      <c r="J74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45">
        <v>1</v>
      </c>
      <c r="L745">
        <v>0</v>
      </c>
      <c r="M745">
        <f>Titanic_Dataset[[#This Row],[Parch]]+Titanic_Dataset[[#This Row],[SibSp]]</f>
        <v>1</v>
      </c>
      <c r="N745" s="1" t="s">
        <v>1475</v>
      </c>
      <c r="O745">
        <v>16.100000000000001</v>
      </c>
      <c r="P745" t="e">
        <f>IF(Titanic_Dataset[[#This Row],[Survived]]=1,Titanic_Dataset[[#This Row],[Fare]],NA())</f>
        <v>#N/A</v>
      </c>
      <c r="Q745">
        <f>IF(Titanic_Dataset[[#This Row],[Survived]]=0,Titanic_Dataset[[#This Row],[Fare]],NA())</f>
        <v>16.100000000000001</v>
      </c>
      <c r="R745" t="str">
        <f>VLOOKUP(Titanic_Dataset[[#This Row],[Fare]],Table2[],2,TRUE)</f>
        <v>high</v>
      </c>
      <c r="S745" s="1" t="s">
        <v>15</v>
      </c>
      <c r="T745" s="1" t="s">
        <v>16</v>
      </c>
      <c r="U745" s="1"/>
      <c r="V745" s="1"/>
      <c r="W745" s="1"/>
    </row>
    <row r="746" spans="1:23" x14ac:dyDescent="0.25">
      <c r="A746">
        <v>745</v>
      </c>
      <c r="B746">
        <v>1</v>
      </c>
      <c r="C746" t="str">
        <f>IF(Titanic_Dataset[[#This Row],[Survived]]=1,"Survived","Died")</f>
        <v>Survived</v>
      </c>
      <c r="D746">
        <v>3</v>
      </c>
      <c r="E746" t="str">
        <f>IF(Titanic_Dataset[[#This Row],[Pclass]]=1,"1st",IF(Titanic_Dataset[[#This Row],[Pclass]]=2,"2nd",IF(Titanic_Dataset[[#This Row],[Pclass]]=3,"3rd")))</f>
        <v>3rd</v>
      </c>
      <c r="F746" s="1" t="s">
        <v>1476</v>
      </c>
      <c r="G746" s="1" t="str">
        <f>TRIM(MID(Titanic_Dataset[[#This Row],[Name]],
FIND(",",Titanic_Dataset[[#This Row],[Name]])+2,
FIND(".",Titanic_Dataset[[#This Row],[Name]],FIND(",",Titanic_Dataset[[#This Row],[Name]]))-FIND(",",Titanic_Dataset[[#This Row],[Name]])-1))</f>
        <v>Mr.</v>
      </c>
      <c r="H746" s="1" t="s">
        <v>13</v>
      </c>
      <c r="I746">
        <v>31</v>
      </c>
      <c r="J746" t="str">
        <f>IF(Titanic_Dataset[[#This Row],[Age]]&lt;12,"0-11",
IF(Titanic_Dataset[[#This Row],[Age]]&lt;20,"12-19",
IF(Titanic_Dataset[[#This Row],[Age]]&lt;30,"20-29",
IF(Titanic_Dataset[[#This Row],[Age]]&lt;40,"30-39",
IF(Titanic_Dataset[[#This Row],[Age]]&lt;50,"40-49",
IF(Titanic_Dataset[[#This Row],[Age]]&lt;60,"50-59",
IF(Titanic_Dataset[[#This Row],[Age]]&lt;70,"60-69",)))))))</f>
        <v>30-39</v>
      </c>
      <c r="K746">
        <v>0</v>
      </c>
      <c r="L746">
        <v>0</v>
      </c>
      <c r="M746">
        <f>Titanic_Dataset[[#This Row],[Parch]]+Titanic_Dataset[[#This Row],[SibSp]]</f>
        <v>0</v>
      </c>
      <c r="N746" s="1" t="s">
        <v>1477</v>
      </c>
      <c r="O746">
        <v>7.9249999999999998</v>
      </c>
      <c r="P746">
        <f>IF(Titanic_Dataset[[#This Row],[Survived]]=1,Titanic_Dataset[[#This Row],[Fare]],NA())</f>
        <v>7.9249999999999998</v>
      </c>
      <c r="Q746" t="e">
        <f>IF(Titanic_Dataset[[#This Row],[Survived]]=0,Titanic_Dataset[[#This Row],[Fare]],NA())</f>
        <v>#N/A</v>
      </c>
      <c r="R746" t="str">
        <f>VLOOKUP(Titanic_Dataset[[#This Row],[Fare]],Table2[],2,TRUE)</f>
        <v>low</v>
      </c>
      <c r="S746" s="1" t="s">
        <v>15</v>
      </c>
      <c r="T746" s="1" t="s">
        <v>16</v>
      </c>
      <c r="U746" s="1"/>
      <c r="V746" s="1"/>
      <c r="W746" s="1"/>
    </row>
    <row r="747" spans="1:23" x14ac:dyDescent="0.25">
      <c r="A747">
        <v>746</v>
      </c>
      <c r="B747">
        <v>0</v>
      </c>
      <c r="C747" t="str">
        <f>IF(Titanic_Dataset[[#This Row],[Survived]]=1,"Survived","Died")</f>
        <v>Died</v>
      </c>
      <c r="D747">
        <v>1</v>
      </c>
      <c r="E747" t="str">
        <f>IF(Titanic_Dataset[[#This Row],[Pclass]]=1,"1st",IF(Titanic_Dataset[[#This Row],[Pclass]]=2,"2nd",IF(Titanic_Dataset[[#This Row],[Pclass]]=3,"3rd")))</f>
        <v>1st</v>
      </c>
      <c r="F747" s="1" t="s">
        <v>1478</v>
      </c>
      <c r="G747" s="1" t="str">
        <f>TRIM(MID(Titanic_Dataset[[#This Row],[Name]],
FIND(",",Titanic_Dataset[[#This Row],[Name]])+2,
FIND(".",Titanic_Dataset[[#This Row],[Name]],FIND(",",Titanic_Dataset[[#This Row],[Name]]))-FIND(",",Titanic_Dataset[[#This Row],[Name]])-1))</f>
        <v>Capt.</v>
      </c>
      <c r="H747" s="1" t="s">
        <v>13</v>
      </c>
      <c r="I747">
        <v>70</v>
      </c>
      <c r="J747">
        <f>IF(Titanic_Dataset[[#This Row],[Age]]&lt;12,"0-11",
IF(Titanic_Dataset[[#This Row],[Age]]&lt;20,"12-19",
IF(Titanic_Dataset[[#This Row],[Age]]&lt;30,"20-29",
IF(Titanic_Dataset[[#This Row],[Age]]&lt;40,"30-39",
IF(Titanic_Dataset[[#This Row],[Age]]&lt;50,"40-49",
IF(Titanic_Dataset[[#This Row],[Age]]&lt;60,"50-59",
IF(Titanic_Dataset[[#This Row],[Age]]&lt;70,"60-69",)))))))</f>
        <v>0</v>
      </c>
      <c r="K747">
        <v>1</v>
      </c>
      <c r="L747">
        <v>1</v>
      </c>
      <c r="M747">
        <f>Titanic_Dataset[[#This Row],[Parch]]+Titanic_Dataset[[#This Row],[SibSp]]</f>
        <v>2</v>
      </c>
      <c r="N747" s="1" t="s">
        <v>1104</v>
      </c>
      <c r="O747">
        <v>71</v>
      </c>
      <c r="P747" t="e">
        <f>IF(Titanic_Dataset[[#This Row],[Survived]]=1,Titanic_Dataset[[#This Row],[Fare]],NA())</f>
        <v>#N/A</v>
      </c>
      <c r="Q747">
        <f>IF(Titanic_Dataset[[#This Row],[Survived]]=0,Titanic_Dataset[[#This Row],[Fare]],NA())</f>
        <v>71</v>
      </c>
      <c r="R747" t="str">
        <f>VLOOKUP(Titanic_Dataset[[#This Row],[Fare]],Table2[],2,TRUE)</f>
        <v>very hiegh</v>
      </c>
      <c r="S747" s="1" t="s">
        <v>1105</v>
      </c>
      <c r="T747" s="1" t="s">
        <v>16</v>
      </c>
      <c r="U747" s="1"/>
      <c r="V747" s="1"/>
      <c r="W747" s="1"/>
    </row>
    <row r="748" spans="1:23" x14ac:dyDescent="0.25">
      <c r="A748">
        <v>747</v>
      </c>
      <c r="B748">
        <v>0</v>
      </c>
      <c r="C748" t="str">
        <f>IF(Titanic_Dataset[[#This Row],[Survived]]=1,"Survived","Died")</f>
        <v>Died</v>
      </c>
      <c r="D748">
        <v>3</v>
      </c>
      <c r="E748" t="str">
        <f>IF(Titanic_Dataset[[#This Row],[Pclass]]=1,"1st",IF(Titanic_Dataset[[#This Row],[Pclass]]=2,"2nd",IF(Titanic_Dataset[[#This Row],[Pclass]]=3,"3rd")))</f>
        <v>3rd</v>
      </c>
      <c r="F748" s="1" t="s">
        <v>1479</v>
      </c>
      <c r="G748" s="1" t="str">
        <f>TRIM(MID(Titanic_Dataset[[#This Row],[Name]],
FIND(",",Titanic_Dataset[[#This Row],[Name]])+2,
FIND(".",Titanic_Dataset[[#This Row],[Name]],FIND(",",Titanic_Dataset[[#This Row],[Name]]))-FIND(",",Titanic_Dataset[[#This Row],[Name]])-1))</f>
        <v>Mr.</v>
      </c>
      <c r="H748" s="1" t="s">
        <v>13</v>
      </c>
      <c r="I748">
        <v>16</v>
      </c>
      <c r="J748" t="str">
        <f>IF(Titanic_Dataset[[#This Row],[Age]]&lt;12,"0-11",
IF(Titanic_Dataset[[#This Row],[Age]]&lt;20,"12-19",
IF(Titanic_Dataset[[#This Row],[Age]]&lt;30,"20-29",
IF(Titanic_Dataset[[#This Row],[Age]]&lt;40,"30-39",
IF(Titanic_Dataset[[#This Row],[Age]]&lt;50,"40-49",
IF(Titanic_Dataset[[#This Row],[Age]]&lt;60,"50-59",
IF(Titanic_Dataset[[#This Row],[Age]]&lt;70,"60-69",)))))))</f>
        <v>12-19</v>
      </c>
      <c r="K748">
        <v>1</v>
      </c>
      <c r="L748">
        <v>1</v>
      </c>
      <c r="M748">
        <f>Titanic_Dataset[[#This Row],[Parch]]+Titanic_Dataset[[#This Row],[SibSp]]</f>
        <v>2</v>
      </c>
      <c r="N748" s="1" t="s">
        <v>596</v>
      </c>
      <c r="O748">
        <v>20.25</v>
      </c>
      <c r="P748" t="e">
        <f>IF(Titanic_Dataset[[#This Row],[Survived]]=1,Titanic_Dataset[[#This Row],[Fare]],NA())</f>
        <v>#N/A</v>
      </c>
      <c r="Q748">
        <f>IF(Titanic_Dataset[[#This Row],[Survived]]=0,Titanic_Dataset[[#This Row],[Fare]],NA())</f>
        <v>20.25</v>
      </c>
      <c r="R748" t="str">
        <f>VLOOKUP(Titanic_Dataset[[#This Row],[Fare]],Table2[],2,TRUE)</f>
        <v>high</v>
      </c>
      <c r="S748" s="1" t="s">
        <v>15</v>
      </c>
      <c r="T748" s="1" t="s">
        <v>16</v>
      </c>
      <c r="U748" s="1"/>
      <c r="V748" s="1"/>
      <c r="W748" s="1"/>
    </row>
    <row r="749" spans="1:23" x14ac:dyDescent="0.25">
      <c r="A749">
        <v>748</v>
      </c>
      <c r="B749">
        <v>1</v>
      </c>
      <c r="C749" t="str">
        <f>IF(Titanic_Dataset[[#This Row],[Survived]]=1,"Survived","Died")</f>
        <v>Survived</v>
      </c>
      <c r="D749">
        <v>2</v>
      </c>
      <c r="E749" t="str">
        <f>IF(Titanic_Dataset[[#This Row],[Pclass]]=1,"1st",IF(Titanic_Dataset[[#This Row],[Pclass]]=2,"2nd",IF(Titanic_Dataset[[#This Row],[Pclass]]=3,"3rd")))</f>
        <v>2nd</v>
      </c>
      <c r="F749" s="1" t="s">
        <v>1480</v>
      </c>
      <c r="G749" s="1" t="str">
        <f>TRIM(MID(Titanic_Dataset[[#This Row],[Name]],
FIND(",",Titanic_Dataset[[#This Row],[Name]])+2,
FIND(".",Titanic_Dataset[[#This Row],[Name]],FIND(",",Titanic_Dataset[[#This Row],[Name]]))-FIND(",",Titanic_Dataset[[#This Row],[Name]])-1))</f>
        <v>Miss.</v>
      </c>
      <c r="H749" s="1" t="s">
        <v>18</v>
      </c>
      <c r="I749">
        <v>30</v>
      </c>
      <c r="J749" t="str">
        <f>IF(Titanic_Dataset[[#This Row],[Age]]&lt;12,"0-11",
IF(Titanic_Dataset[[#This Row],[Age]]&lt;20,"12-19",
IF(Titanic_Dataset[[#This Row],[Age]]&lt;30,"20-29",
IF(Titanic_Dataset[[#This Row],[Age]]&lt;40,"30-39",
IF(Titanic_Dataset[[#This Row],[Age]]&lt;50,"40-49",
IF(Titanic_Dataset[[#This Row],[Age]]&lt;60,"50-59",
IF(Titanic_Dataset[[#This Row],[Age]]&lt;70,"60-69",)))))))</f>
        <v>30-39</v>
      </c>
      <c r="K749">
        <v>0</v>
      </c>
      <c r="L749">
        <v>0</v>
      </c>
      <c r="M749">
        <f>Titanic_Dataset[[#This Row],[Parch]]+Titanic_Dataset[[#This Row],[SibSp]]</f>
        <v>0</v>
      </c>
      <c r="N749" s="1" t="s">
        <v>1481</v>
      </c>
      <c r="O749">
        <v>13</v>
      </c>
      <c r="P749">
        <f>IF(Titanic_Dataset[[#This Row],[Survived]]=1,Titanic_Dataset[[#This Row],[Fare]],NA())</f>
        <v>13</v>
      </c>
      <c r="Q749" t="e">
        <f>IF(Titanic_Dataset[[#This Row],[Survived]]=0,Titanic_Dataset[[#This Row],[Fare]],NA())</f>
        <v>#N/A</v>
      </c>
      <c r="R749" t="str">
        <f>VLOOKUP(Titanic_Dataset[[#This Row],[Fare]],Table2[],2,TRUE)</f>
        <v>medium</v>
      </c>
      <c r="S749" s="1" t="s">
        <v>15</v>
      </c>
      <c r="T749" s="1" t="s">
        <v>16</v>
      </c>
      <c r="U749" s="1"/>
      <c r="V749" s="1"/>
      <c r="W749" s="1"/>
    </row>
    <row r="750" spans="1:23" x14ac:dyDescent="0.25">
      <c r="A750">
        <v>749</v>
      </c>
      <c r="B750">
        <v>0</v>
      </c>
      <c r="C750" t="str">
        <f>IF(Titanic_Dataset[[#This Row],[Survived]]=1,"Survived","Died")</f>
        <v>Died</v>
      </c>
      <c r="D750">
        <v>1</v>
      </c>
      <c r="E750" t="str">
        <f>IF(Titanic_Dataset[[#This Row],[Pclass]]=1,"1st",IF(Titanic_Dataset[[#This Row],[Pclass]]=2,"2nd",IF(Titanic_Dataset[[#This Row],[Pclass]]=3,"3rd")))</f>
        <v>1st</v>
      </c>
      <c r="F750" s="1" t="s">
        <v>1482</v>
      </c>
      <c r="G750" s="1" t="str">
        <f>TRIM(MID(Titanic_Dataset[[#This Row],[Name]],
FIND(",",Titanic_Dataset[[#This Row],[Name]])+2,
FIND(".",Titanic_Dataset[[#This Row],[Name]],FIND(",",Titanic_Dataset[[#This Row],[Name]]))-FIND(",",Titanic_Dataset[[#This Row],[Name]])-1))</f>
        <v>Mr.</v>
      </c>
      <c r="H750" s="1" t="s">
        <v>13</v>
      </c>
      <c r="I750">
        <v>19</v>
      </c>
      <c r="J750" t="str">
        <f>IF(Titanic_Dataset[[#This Row],[Age]]&lt;12,"0-11",
IF(Titanic_Dataset[[#This Row],[Age]]&lt;20,"12-19",
IF(Titanic_Dataset[[#This Row],[Age]]&lt;30,"20-29",
IF(Titanic_Dataset[[#This Row],[Age]]&lt;40,"30-39",
IF(Titanic_Dataset[[#This Row],[Age]]&lt;50,"40-49",
IF(Titanic_Dataset[[#This Row],[Age]]&lt;60,"50-59",
IF(Titanic_Dataset[[#This Row],[Age]]&lt;70,"60-69",)))))))</f>
        <v>12-19</v>
      </c>
      <c r="K750">
        <v>1</v>
      </c>
      <c r="L750">
        <v>0</v>
      </c>
      <c r="M750">
        <f>Titanic_Dataset[[#This Row],[Parch]]+Titanic_Dataset[[#This Row],[SibSp]]</f>
        <v>1</v>
      </c>
      <c r="N750" s="1" t="s">
        <v>1483</v>
      </c>
      <c r="O750">
        <v>53.1</v>
      </c>
      <c r="P750" t="e">
        <f>IF(Titanic_Dataset[[#This Row],[Survived]]=1,Titanic_Dataset[[#This Row],[Fare]],NA())</f>
        <v>#N/A</v>
      </c>
      <c r="Q750">
        <f>IF(Titanic_Dataset[[#This Row],[Survived]]=0,Titanic_Dataset[[#This Row],[Fare]],NA())</f>
        <v>53.1</v>
      </c>
      <c r="R750" t="str">
        <f>VLOOKUP(Titanic_Dataset[[#This Row],[Fare]],Table2[],2,TRUE)</f>
        <v>very hiegh</v>
      </c>
      <c r="S750" s="1" t="s">
        <v>1484</v>
      </c>
      <c r="T750" s="1" t="s">
        <v>16</v>
      </c>
      <c r="U750" s="1"/>
      <c r="V750" s="1"/>
      <c r="W750" s="1"/>
    </row>
    <row r="751" spans="1:23" x14ac:dyDescent="0.25">
      <c r="A751">
        <v>750</v>
      </c>
      <c r="B751">
        <v>0</v>
      </c>
      <c r="C751" t="str">
        <f>IF(Titanic_Dataset[[#This Row],[Survived]]=1,"Survived","Died")</f>
        <v>Died</v>
      </c>
      <c r="D751">
        <v>3</v>
      </c>
      <c r="E751" t="str">
        <f>IF(Titanic_Dataset[[#This Row],[Pclass]]=1,"1st",IF(Titanic_Dataset[[#This Row],[Pclass]]=2,"2nd",IF(Titanic_Dataset[[#This Row],[Pclass]]=3,"3rd")))</f>
        <v>3rd</v>
      </c>
      <c r="F751" s="1" t="s">
        <v>1485</v>
      </c>
      <c r="G751" s="1" t="str">
        <f>TRIM(MID(Titanic_Dataset[[#This Row],[Name]],
FIND(",",Titanic_Dataset[[#This Row],[Name]])+2,
FIND(".",Titanic_Dataset[[#This Row],[Name]],FIND(",",Titanic_Dataset[[#This Row],[Name]]))-FIND(",",Titanic_Dataset[[#This Row],[Name]])-1))</f>
        <v>Mr.</v>
      </c>
      <c r="H751" s="1" t="s">
        <v>13</v>
      </c>
      <c r="I751">
        <v>31</v>
      </c>
      <c r="J751" t="str">
        <f>IF(Titanic_Dataset[[#This Row],[Age]]&lt;12,"0-11",
IF(Titanic_Dataset[[#This Row],[Age]]&lt;20,"12-19",
IF(Titanic_Dataset[[#This Row],[Age]]&lt;30,"20-29",
IF(Titanic_Dataset[[#This Row],[Age]]&lt;40,"30-39",
IF(Titanic_Dataset[[#This Row],[Age]]&lt;50,"40-49",
IF(Titanic_Dataset[[#This Row],[Age]]&lt;60,"50-59",
IF(Titanic_Dataset[[#This Row],[Age]]&lt;70,"60-69",)))))))</f>
        <v>30-39</v>
      </c>
      <c r="K751">
        <v>0</v>
      </c>
      <c r="L751">
        <v>0</v>
      </c>
      <c r="M751">
        <f>Titanic_Dataset[[#This Row],[Parch]]+Titanic_Dataset[[#This Row],[SibSp]]</f>
        <v>0</v>
      </c>
      <c r="N751" s="1" t="s">
        <v>1486</v>
      </c>
      <c r="O751">
        <v>7.75</v>
      </c>
      <c r="P751" t="e">
        <f>IF(Titanic_Dataset[[#This Row],[Survived]]=1,Titanic_Dataset[[#This Row],[Fare]],NA())</f>
        <v>#N/A</v>
      </c>
      <c r="Q751">
        <f>IF(Titanic_Dataset[[#This Row],[Survived]]=0,Titanic_Dataset[[#This Row],[Fare]],NA())</f>
        <v>7.75</v>
      </c>
      <c r="R751" t="str">
        <f>VLOOKUP(Titanic_Dataset[[#This Row],[Fare]],Table2[],2,TRUE)</f>
        <v>low</v>
      </c>
      <c r="S751" s="1" t="s">
        <v>15</v>
      </c>
      <c r="T751" s="1" t="s">
        <v>31</v>
      </c>
      <c r="U751" s="1"/>
      <c r="V751" s="1"/>
      <c r="W751" s="1"/>
    </row>
    <row r="752" spans="1:23" x14ac:dyDescent="0.25">
      <c r="A752">
        <v>751</v>
      </c>
      <c r="B752">
        <v>1</v>
      </c>
      <c r="C752" t="str">
        <f>IF(Titanic_Dataset[[#This Row],[Survived]]=1,"Survived","Died")</f>
        <v>Survived</v>
      </c>
      <c r="D752">
        <v>2</v>
      </c>
      <c r="E752" t="str">
        <f>IF(Titanic_Dataset[[#This Row],[Pclass]]=1,"1st",IF(Titanic_Dataset[[#This Row],[Pclass]]=2,"2nd",IF(Titanic_Dataset[[#This Row],[Pclass]]=3,"3rd")))</f>
        <v>2nd</v>
      </c>
      <c r="F752" s="1" t="s">
        <v>1487</v>
      </c>
      <c r="G752" s="1" t="str">
        <f>TRIM(MID(Titanic_Dataset[[#This Row],[Name]],
FIND(",",Titanic_Dataset[[#This Row],[Name]])+2,
FIND(".",Titanic_Dataset[[#This Row],[Name]],FIND(",",Titanic_Dataset[[#This Row],[Name]]))-FIND(",",Titanic_Dataset[[#This Row],[Name]])-1))</f>
        <v>Miss.</v>
      </c>
      <c r="H752" s="1" t="s">
        <v>18</v>
      </c>
      <c r="I752">
        <v>4</v>
      </c>
      <c r="J752" t="str">
        <f>IF(Titanic_Dataset[[#This Row],[Age]]&lt;12,"0-11",
IF(Titanic_Dataset[[#This Row],[Age]]&lt;20,"12-19",
IF(Titanic_Dataset[[#This Row],[Age]]&lt;30,"20-29",
IF(Titanic_Dataset[[#This Row],[Age]]&lt;40,"30-39",
IF(Titanic_Dataset[[#This Row],[Age]]&lt;50,"40-49",
IF(Titanic_Dataset[[#This Row],[Age]]&lt;60,"50-59",
IF(Titanic_Dataset[[#This Row],[Age]]&lt;70,"60-69",)))))))</f>
        <v>0-11</v>
      </c>
      <c r="K752">
        <v>1</v>
      </c>
      <c r="L752">
        <v>1</v>
      </c>
      <c r="M752">
        <f>Titanic_Dataset[[#This Row],[Parch]]+Titanic_Dataset[[#This Row],[SibSp]]</f>
        <v>2</v>
      </c>
      <c r="N752" s="1" t="s">
        <v>1488</v>
      </c>
      <c r="O752">
        <v>23</v>
      </c>
      <c r="P752">
        <f>IF(Titanic_Dataset[[#This Row],[Survived]]=1,Titanic_Dataset[[#This Row],[Fare]],NA())</f>
        <v>23</v>
      </c>
      <c r="Q752" t="e">
        <f>IF(Titanic_Dataset[[#This Row],[Survived]]=0,Titanic_Dataset[[#This Row],[Fare]],NA())</f>
        <v>#N/A</v>
      </c>
      <c r="R752" t="str">
        <f>VLOOKUP(Titanic_Dataset[[#This Row],[Fare]],Table2[],2,TRUE)</f>
        <v>high</v>
      </c>
      <c r="S752" s="1" t="s">
        <v>15</v>
      </c>
      <c r="T752" s="1" t="s">
        <v>16</v>
      </c>
      <c r="U752" s="1"/>
      <c r="V752" s="1"/>
      <c r="W752" s="1"/>
    </row>
    <row r="753" spans="1:23" x14ac:dyDescent="0.25">
      <c r="A753">
        <v>752</v>
      </c>
      <c r="B753">
        <v>1</v>
      </c>
      <c r="C753" t="str">
        <f>IF(Titanic_Dataset[[#This Row],[Survived]]=1,"Survived","Died")</f>
        <v>Survived</v>
      </c>
      <c r="D753">
        <v>3</v>
      </c>
      <c r="E753" t="str">
        <f>IF(Titanic_Dataset[[#This Row],[Pclass]]=1,"1st",IF(Titanic_Dataset[[#This Row],[Pclass]]=2,"2nd",IF(Titanic_Dataset[[#This Row],[Pclass]]=3,"3rd")))</f>
        <v>3rd</v>
      </c>
      <c r="F753" s="1" t="s">
        <v>1489</v>
      </c>
      <c r="G753" s="1" t="str">
        <f>TRIM(MID(Titanic_Dataset[[#This Row],[Name]],
FIND(",",Titanic_Dataset[[#This Row],[Name]])+2,
FIND(".",Titanic_Dataset[[#This Row],[Name]],FIND(",",Titanic_Dataset[[#This Row],[Name]]))-FIND(",",Titanic_Dataset[[#This Row],[Name]])-1))</f>
        <v>Master.</v>
      </c>
      <c r="H753" s="1" t="s">
        <v>13</v>
      </c>
      <c r="I753">
        <v>6</v>
      </c>
      <c r="J753" t="str">
        <f>IF(Titanic_Dataset[[#This Row],[Age]]&lt;12,"0-11",
IF(Titanic_Dataset[[#This Row],[Age]]&lt;20,"12-19",
IF(Titanic_Dataset[[#This Row],[Age]]&lt;30,"20-29",
IF(Titanic_Dataset[[#This Row],[Age]]&lt;40,"30-39",
IF(Titanic_Dataset[[#This Row],[Age]]&lt;50,"40-49",
IF(Titanic_Dataset[[#This Row],[Age]]&lt;60,"50-59",
IF(Titanic_Dataset[[#This Row],[Age]]&lt;70,"60-69",)))))))</f>
        <v>0-11</v>
      </c>
      <c r="K753">
        <v>0</v>
      </c>
      <c r="L753">
        <v>1</v>
      </c>
      <c r="M753">
        <f>Titanic_Dataset[[#This Row],[Parch]]+Titanic_Dataset[[#This Row],[SibSp]]</f>
        <v>1</v>
      </c>
      <c r="N753" s="1" t="s">
        <v>1490</v>
      </c>
      <c r="O753">
        <v>12.475</v>
      </c>
      <c r="P753">
        <f>IF(Titanic_Dataset[[#This Row],[Survived]]=1,Titanic_Dataset[[#This Row],[Fare]],NA())</f>
        <v>12.475</v>
      </c>
      <c r="Q753" t="e">
        <f>IF(Titanic_Dataset[[#This Row],[Survived]]=0,Titanic_Dataset[[#This Row],[Fare]],NA())</f>
        <v>#N/A</v>
      </c>
      <c r="R753" t="str">
        <f>VLOOKUP(Titanic_Dataset[[#This Row],[Fare]],Table2[],2,TRUE)</f>
        <v>medium</v>
      </c>
      <c r="S753" s="1" t="s">
        <v>1491</v>
      </c>
      <c r="T753" s="1" t="s">
        <v>16</v>
      </c>
      <c r="U753" s="1"/>
      <c r="V753" s="1"/>
      <c r="W753" s="1"/>
    </row>
    <row r="754" spans="1:23" x14ac:dyDescent="0.25">
      <c r="A754">
        <v>753</v>
      </c>
      <c r="B754">
        <v>0</v>
      </c>
      <c r="C754" t="str">
        <f>IF(Titanic_Dataset[[#This Row],[Survived]]=1,"Survived","Died")</f>
        <v>Died</v>
      </c>
      <c r="D754">
        <v>3</v>
      </c>
      <c r="E754" t="str">
        <f>IF(Titanic_Dataset[[#This Row],[Pclass]]=1,"1st",IF(Titanic_Dataset[[#This Row],[Pclass]]=2,"2nd",IF(Titanic_Dataset[[#This Row],[Pclass]]=3,"3rd")))</f>
        <v>3rd</v>
      </c>
      <c r="F754" s="1" t="s">
        <v>1492</v>
      </c>
      <c r="G754" s="1" t="str">
        <f>TRIM(MID(Titanic_Dataset[[#This Row],[Name]],
FIND(",",Titanic_Dataset[[#This Row],[Name]])+2,
FIND(".",Titanic_Dataset[[#This Row],[Name]],FIND(",",Titanic_Dataset[[#This Row],[Name]]))-FIND(",",Titanic_Dataset[[#This Row],[Name]])-1))</f>
        <v>Mr.</v>
      </c>
      <c r="H754" s="1" t="s">
        <v>13</v>
      </c>
      <c r="I754">
        <v>33</v>
      </c>
      <c r="J754" t="str">
        <f>IF(Titanic_Dataset[[#This Row],[Age]]&lt;12,"0-11",
IF(Titanic_Dataset[[#This Row],[Age]]&lt;20,"12-19",
IF(Titanic_Dataset[[#This Row],[Age]]&lt;30,"20-29",
IF(Titanic_Dataset[[#This Row],[Age]]&lt;40,"30-39",
IF(Titanic_Dataset[[#This Row],[Age]]&lt;50,"40-49",
IF(Titanic_Dataset[[#This Row],[Age]]&lt;60,"50-59",
IF(Titanic_Dataset[[#This Row],[Age]]&lt;70,"60-69",)))))))</f>
        <v>30-39</v>
      </c>
      <c r="K754">
        <v>0</v>
      </c>
      <c r="L754">
        <v>0</v>
      </c>
      <c r="M754">
        <f>Titanic_Dataset[[#This Row],[Parch]]+Titanic_Dataset[[#This Row],[SibSp]]</f>
        <v>0</v>
      </c>
      <c r="N754" s="1" t="s">
        <v>1493</v>
      </c>
      <c r="O754">
        <v>9.5</v>
      </c>
      <c r="P754" t="e">
        <f>IF(Titanic_Dataset[[#This Row],[Survived]]=1,Titanic_Dataset[[#This Row],[Fare]],NA())</f>
        <v>#N/A</v>
      </c>
      <c r="Q754">
        <f>IF(Titanic_Dataset[[#This Row],[Survived]]=0,Titanic_Dataset[[#This Row],[Fare]],NA())</f>
        <v>9.5</v>
      </c>
      <c r="R754" t="str">
        <f>VLOOKUP(Titanic_Dataset[[#This Row],[Fare]],Table2[],2,TRUE)</f>
        <v>medium</v>
      </c>
      <c r="S754" s="1" t="s">
        <v>15</v>
      </c>
      <c r="T754" s="1" t="s">
        <v>16</v>
      </c>
      <c r="U754" s="1"/>
      <c r="V754" s="1"/>
      <c r="W754" s="1"/>
    </row>
    <row r="755" spans="1:23" x14ac:dyDescent="0.25">
      <c r="A755">
        <v>754</v>
      </c>
      <c r="B755">
        <v>0</v>
      </c>
      <c r="C755" t="str">
        <f>IF(Titanic_Dataset[[#This Row],[Survived]]=1,"Survived","Died")</f>
        <v>Died</v>
      </c>
      <c r="D755">
        <v>3</v>
      </c>
      <c r="E755" t="str">
        <f>IF(Titanic_Dataset[[#This Row],[Pclass]]=1,"1st",IF(Titanic_Dataset[[#This Row],[Pclass]]=2,"2nd",IF(Titanic_Dataset[[#This Row],[Pclass]]=3,"3rd")))</f>
        <v>3rd</v>
      </c>
      <c r="F755" s="1" t="s">
        <v>1494</v>
      </c>
      <c r="G755" s="1" t="str">
        <f>TRIM(MID(Titanic_Dataset[[#This Row],[Name]],
FIND(",",Titanic_Dataset[[#This Row],[Name]])+2,
FIND(".",Titanic_Dataset[[#This Row],[Name]],FIND(",",Titanic_Dataset[[#This Row],[Name]]))-FIND(",",Titanic_Dataset[[#This Row],[Name]])-1))</f>
        <v>Mr.</v>
      </c>
      <c r="H755" s="1" t="s">
        <v>13</v>
      </c>
      <c r="I755">
        <v>23</v>
      </c>
      <c r="J75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55">
        <v>0</v>
      </c>
      <c r="L755">
        <v>0</v>
      </c>
      <c r="M755">
        <f>Titanic_Dataset[[#This Row],[Parch]]+Titanic_Dataset[[#This Row],[SibSp]]</f>
        <v>0</v>
      </c>
      <c r="N755" s="1" t="s">
        <v>1495</v>
      </c>
      <c r="O755">
        <v>7.8958000000000004</v>
      </c>
      <c r="P755" t="e">
        <f>IF(Titanic_Dataset[[#This Row],[Survived]]=1,Titanic_Dataset[[#This Row],[Fare]],NA())</f>
        <v>#N/A</v>
      </c>
      <c r="Q755">
        <f>IF(Titanic_Dataset[[#This Row],[Survived]]=0,Titanic_Dataset[[#This Row],[Fare]],NA())</f>
        <v>7.8958000000000004</v>
      </c>
      <c r="R755" t="str">
        <f>VLOOKUP(Titanic_Dataset[[#This Row],[Fare]],Table2[],2,TRUE)</f>
        <v>low</v>
      </c>
      <c r="S755" s="1" t="s">
        <v>15</v>
      </c>
      <c r="T755" s="1" t="s">
        <v>16</v>
      </c>
      <c r="U755" s="1"/>
      <c r="V755" s="1"/>
      <c r="W755" s="1"/>
    </row>
    <row r="756" spans="1:23" x14ac:dyDescent="0.25">
      <c r="A756">
        <v>755</v>
      </c>
      <c r="B756">
        <v>1</v>
      </c>
      <c r="C756" t="str">
        <f>IF(Titanic_Dataset[[#This Row],[Survived]]=1,"Survived","Died")</f>
        <v>Survived</v>
      </c>
      <c r="D756">
        <v>2</v>
      </c>
      <c r="E756" t="str">
        <f>IF(Titanic_Dataset[[#This Row],[Pclass]]=1,"1st",IF(Titanic_Dataset[[#This Row],[Pclass]]=2,"2nd",IF(Titanic_Dataset[[#This Row],[Pclass]]=3,"3rd")))</f>
        <v>2nd</v>
      </c>
      <c r="F756" s="1" t="s">
        <v>1496</v>
      </c>
      <c r="G756" s="1" t="str">
        <f>TRIM(MID(Titanic_Dataset[[#This Row],[Name]],
FIND(",",Titanic_Dataset[[#This Row],[Name]])+2,
FIND(".",Titanic_Dataset[[#This Row],[Name]],FIND(",",Titanic_Dataset[[#This Row],[Name]]))-FIND(",",Titanic_Dataset[[#This Row],[Name]])-1))</f>
        <v>Mrs.</v>
      </c>
      <c r="H756" s="1" t="s">
        <v>18</v>
      </c>
      <c r="I756">
        <v>48</v>
      </c>
      <c r="J756" t="str">
        <f>IF(Titanic_Dataset[[#This Row],[Age]]&lt;12,"0-11",
IF(Titanic_Dataset[[#This Row],[Age]]&lt;20,"12-19",
IF(Titanic_Dataset[[#This Row],[Age]]&lt;30,"20-29",
IF(Titanic_Dataset[[#This Row],[Age]]&lt;40,"30-39",
IF(Titanic_Dataset[[#This Row],[Age]]&lt;50,"40-49",
IF(Titanic_Dataset[[#This Row],[Age]]&lt;60,"50-59",
IF(Titanic_Dataset[[#This Row],[Age]]&lt;70,"60-69",)))))))</f>
        <v>40-49</v>
      </c>
      <c r="K756">
        <v>1</v>
      </c>
      <c r="L756">
        <v>2</v>
      </c>
      <c r="M756">
        <f>Titanic_Dataset[[#This Row],[Parch]]+Titanic_Dataset[[#This Row],[SibSp]]</f>
        <v>3</v>
      </c>
      <c r="N756" s="1" t="s">
        <v>1241</v>
      </c>
      <c r="O756">
        <v>65</v>
      </c>
      <c r="P756">
        <f>IF(Titanic_Dataset[[#This Row],[Survived]]=1,Titanic_Dataset[[#This Row],[Fare]],NA())</f>
        <v>65</v>
      </c>
      <c r="Q756" t="e">
        <f>IF(Titanic_Dataset[[#This Row],[Survived]]=0,Titanic_Dataset[[#This Row],[Fare]],NA())</f>
        <v>#N/A</v>
      </c>
      <c r="R756" t="str">
        <f>VLOOKUP(Titanic_Dataset[[#This Row],[Fare]],Table2[],2,TRUE)</f>
        <v>very hiegh</v>
      </c>
      <c r="S756" s="1" t="s">
        <v>15</v>
      </c>
      <c r="T756" s="1" t="s">
        <v>16</v>
      </c>
      <c r="U756" s="1"/>
      <c r="V756" s="1"/>
      <c r="W756" s="1"/>
    </row>
    <row r="757" spans="1:23" x14ac:dyDescent="0.25">
      <c r="A757">
        <v>756</v>
      </c>
      <c r="B757">
        <v>1</v>
      </c>
      <c r="C757" t="str">
        <f>IF(Titanic_Dataset[[#This Row],[Survived]]=1,"Survived","Died")</f>
        <v>Survived</v>
      </c>
      <c r="D757">
        <v>2</v>
      </c>
      <c r="E757" t="str">
        <f>IF(Titanic_Dataset[[#This Row],[Pclass]]=1,"1st",IF(Titanic_Dataset[[#This Row],[Pclass]]=2,"2nd",IF(Titanic_Dataset[[#This Row],[Pclass]]=3,"3rd")))</f>
        <v>2nd</v>
      </c>
      <c r="F757" s="1" t="s">
        <v>1497</v>
      </c>
      <c r="G757" s="1" t="str">
        <f>TRIM(MID(Titanic_Dataset[[#This Row],[Name]],
FIND(",",Titanic_Dataset[[#This Row],[Name]])+2,
FIND(".",Titanic_Dataset[[#This Row],[Name]],FIND(",",Titanic_Dataset[[#This Row],[Name]]))-FIND(",",Titanic_Dataset[[#This Row],[Name]])-1))</f>
        <v>Master.</v>
      </c>
      <c r="H757" s="1" t="s">
        <v>13</v>
      </c>
      <c r="I757">
        <v>0.67</v>
      </c>
      <c r="J757" t="str">
        <f>IF(Titanic_Dataset[[#This Row],[Age]]&lt;12,"0-11",
IF(Titanic_Dataset[[#This Row],[Age]]&lt;20,"12-19",
IF(Titanic_Dataset[[#This Row],[Age]]&lt;30,"20-29",
IF(Titanic_Dataset[[#This Row],[Age]]&lt;40,"30-39",
IF(Titanic_Dataset[[#This Row],[Age]]&lt;50,"40-49",
IF(Titanic_Dataset[[#This Row],[Age]]&lt;60,"50-59",
IF(Titanic_Dataset[[#This Row],[Age]]&lt;70,"60-69",)))))))</f>
        <v>0-11</v>
      </c>
      <c r="K757">
        <v>1</v>
      </c>
      <c r="L757">
        <v>1</v>
      </c>
      <c r="M757">
        <f>Titanic_Dataset[[#This Row],[Parch]]+Titanic_Dataset[[#This Row],[SibSp]]</f>
        <v>2</v>
      </c>
      <c r="N757" s="1" t="s">
        <v>528</v>
      </c>
      <c r="O757">
        <v>14.5</v>
      </c>
      <c r="P757">
        <f>IF(Titanic_Dataset[[#This Row],[Survived]]=1,Titanic_Dataset[[#This Row],[Fare]],NA())</f>
        <v>14.5</v>
      </c>
      <c r="Q757" t="e">
        <f>IF(Titanic_Dataset[[#This Row],[Survived]]=0,Titanic_Dataset[[#This Row],[Fare]],NA())</f>
        <v>#N/A</v>
      </c>
      <c r="R757" t="str">
        <f>VLOOKUP(Titanic_Dataset[[#This Row],[Fare]],Table2[],2,TRUE)</f>
        <v>medium</v>
      </c>
      <c r="S757" s="1" t="s">
        <v>15</v>
      </c>
      <c r="T757" s="1" t="s">
        <v>16</v>
      </c>
      <c r="U757" s="1"/>
      <c r="V757" s="1"/>
      <c r="W757" s="1"/>
    </row>
    <row r="758" spans="1:23" x14ac:dyDescent="0.25">
      <c r="A758">
        <v>757</v>
      </c>
      <c r="B758">
        <v>0</v>
      </c>
      <c r="C758" t="str">
        <f>IF(Titanic_Dataset[[#This Row],[Survived]]=1,"Survived","Died")</f>
        <v>Died</v>
      </c>
      <c r="D758">
        <v>3</v>
      </c>
      <c r="E758" t="str">
        <f>IF(Titanic_Dataset[[#This Row],[Pclass]]=1,"1st",IF(Titanic_Dataset[[#This Row],[Pclass]]=2,"2nd",IF(Titanic_Dataset[[#This Row],[Pclass]]=3,"3rd")))</f>
        <v>3rd</v>
      </c>
      <c r="F758" s="1" t="s">
        <v>1498</v>
      </c>
      <c r="G758" s="1" t="str">
        <f>TRIM(MID(Titanic_Dataset[[#This Row],[Name]],
FIND(",",Titanic_Dataset[[#This Row],[Name]])+2,
FIND(".",Titanic_Dataset[[#This Row],[Name]],FIND(",",Titanic_Dataset[[#This Row],[Name]]))-FIND(",",Titanic_Dataset[[#This Row],[Name]])-1))</f>
        <v>Mr.</v>
      </c>
      <c r="H758" s="1" t="s">
        <v>13</v>
      </c>
      <c r="I758">
        <v>28</v>
      </c>
      <c r="J75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58">
        <v>0</v>
      </c>
      <c r="L758">
        <v>0</v>
      </c>
      <c r="M758">
        <f>Titanic_Dataset[[#This Row],[Parch]]+Titanic_Dataset[[#This Row],[SibSp]]</f>
        <v>0</v>
      </c>
      <c r="N758" s="1" t="s">
        <v>1499</v>
      </c>
      <c r="O758">
        <v>7.7957999999999998</v>
      </c>
      <c r="P758" t="e">
        <f>IF(Titanic_Dataset[[#This Row],[Survived]]=1,Titanic_Dataset[[#This Row],[Fare]],NA())</f>
        <v>#N/A</v>
      </c>
      <c r="Q758">
        <f>IF(Titanic_Dataset[[#This Row],[Survived]]=0,Titanic_Dataset[[#This Row],[Fare]],NA())</f>
        <v>7.7957999999999998</v>
      </c>
      <c r="R758" t="str">
        <f>VLOOKUP(Titanic_Dataset[[#This Row],[Fare]],Table2[],2,TRUE)</f>
        <v>low</v>
      </c>
      <c r="S758" s="1" t="s">
        <v>15</v>
      </c>
      <c r="T758" s="1" t="s">
        <v>16</v>
      </c>
      <c r="U758" s="1"/>
      <c r="V758" s="1"/>
      <c r="W758" s="1"/>
    </row>
    <row r="759" spans="1:23" x14ac:dyDescent="0.25">
      <c r="A759">
        <v>758</v>
      </c>
      <c r="B759">
        <v>0</v>
      </c>
      <c r="C759" t="str">
        <f>IF(Titanic_Dataset[[#This Row],[Survived]]=1,"Survived","Died")</f>
        <v>Died</v>
      </c>
      <c r="D759">
        <v>2</v>
      </c>
      <c r="E759" t="str">
        <f>IF(Titanic_Dataset[[#This Row],[Pclass]]=1,"1st",IF(Titanic_Dataset[[#This Row],[Pclass]]=2,"2nd",IF(Titanic_Dataset[[#This Row],[Pclass]]=3,"3rd")))</f>
        <v>2nd</v>
      </c>
      <c r="F759" s="1" t="s">
        <v>1500</v>
      </c>
      <c r="G759" s="1" t="str">
        <f>TRIM(MID(Titanic_Dataset[[#This Row],[Name]],
FIND(",",Titanic_Dataset[[#This Row],[Name]])+2,
FIND(".",Titanic_Dataset[[#This Row],[Name]],FIND(",",Titanic_Dataset[[#This Row],[Name]]))-FIND(",",Titanic_Dataset[[#This Row],[Name]])-1))</f>
        <v>Mr.</v>
      </c>
      <c r="H759" s="1" t="s">
        <v>13</v>
      </c>
      <c r="I759">
        <v>18</v>
      </c>
      <c r="J759" t="str">
        <f>IF(Titanic_Dataset[[#This Row],[Age]]&lt;12,"0-11",
IF(Titanic_Dataset[[#This Row],[Age]]&lt;20,"12-19",
IF(Titanic_Dataset[[#This Row],[Age]]&lt;30,"20-29",
IF(Titanic_Dataset[[#This Row],[Age]]&lt;40,"30-39",
IF(Titanic_Dataset[[#This Row],[Age]]&lt;50,"40-49",
IF(Titanic_Dataset[[#This Row],[Age]]&lt;60,"50-59",
IF(Titanic_Dataset[[#This Row],[Age]]&lt;70,"60-69",)))))))</f>
        <v>12-19</v>
      </c>
      <c r="K759">
        <v>0</v>
      </c>
      <c r="L759">
        <v>0</v>
      </c>
      <c r="M759">
        <f>Titanic_Dataset[[#This Row],[Parch]]+Titanic_Dataset[[#This Row],[SibSp]]</f>
        <v>0</v>
      </c>
      <c r="N759" s="1" t="s">
        <v>1501</v>
      </c>
      <c r="O759">
        <v>11.5</v>
      </c>
      <c r="P759" t="e">
        <f>IF(Titanic_Dataset[[#This Row],[Survived]]=1,Titanic_Dataset[[#This Row],[Fare]],NA())</f>
        <v>#N/A</v>
      </c>
      <c r="Q759">
        <f>IF(Titanic_Dataset[[#This Row],[Survived]]=0,Titanic_Dataset[[#This Row],[Fare]],NA())</f>
        <v>11.5</v>
      </c>
      <c r="R759" t="str">
        <f>VLOOKUP(Titanic_Dataset[[#This Row],[Fare]],Table2[],2,TRUE)</f>
        <v>medium</v>
      </c>
      <c r="S759" s="1" t="s">
        <v>15</v>
      </c>
      <c r="T759" s="1" t="s">
        <v>16</v>
      </c>
      <c r="U759" s="1"/>
      <c r="V759" s="1"/>
      <c r="W759" s="1"/>
    </row>
    <row r="760" spans="1:23" x14ac:dyDescent="0.25">
      <c r="A760">
        <v>759</v>
      </c>
      <c r="B760">
        <v>0</v>
      </c>
      <c r="C760" t="str">
        <f>IF(Titanic_Dataset[[#This Row],[Survived]]=1,"Survived","Died")</f>
        <v>Died</v>
      </c>
      <c r="D760">
        <v>3</v>
      </c>
      <c r="E760" t="str">
        <f>IF(Titanic_Dataset[[#This Row],[Pclass]]=1,"1st",IF(Titanic_Dataset[[#This Row],[Pclass]]=2,"2nd",IF(Titanic_Dataset[[#This Row],[Pclass]]=3,"3rd")))</f>
        <v>3rd</v>
      </c>
      <c r="F760" s="1" t="s">
        <v>1502</v>
      </c>
      <c r="G760" s="1" t="str">
        <f>TRIM(MID(Titanic_Dataset[[#This Row],[Name]],
FIND(",",Titanic_Dataset[[#This Row],[Name]])+2,
FIND(".",Titanic_Dataset[[#This Row],[Name]],FIND(",",Titanic_Dataset[[#This Row],[Name]]))-FIND(",",Titanic_Dataset[[#This Row],[Name]])-1))</f>
        <v>Mr.</v>
      </c>
      <c r="H760" s="1" t="s">
        <v>13</v>
      </c>
      <c r="I760">
        <v>34</v>
      </c>
      <c r="J760" t="str">
        <f>IF(Titanic_Dataset[[#This Row],[Age]]&lt;12,"0-11",
IF(Titanic_Dataset[[#This Row],[Age]]&lt;20,"12-19",
IF(Titanic_Dataset[[#This Row],[Age]]&lt;30,"20-29",
IF(Titanic_Dataset[[#This Row],[Age]]&lt;40,"30-39",
IF(Titanic_Dataset[[#This Row],[Age]]&lt;50,"40-49",
IF(Titanic_Dataset[[#This Row],[Age]]&lt;60,"50-59",
IF(Titanic_Dataset[[#This Row],[Age]]&lt;70,"60-69",)))))))</f>
        <v>30-39</v>
      </c>
      <c r="K760">
        <v>0</v>
      </c>
      <c r="L760">
        <v>0</v>
      </c>
      <c r="M760">
        <f>Titanic_Dataset[[#This Row],[Parch]]+Titanic_Dataset[[#This Row],[SibSp]]</f>
        <v>0</v>
      </c>
      <c r="N760" s="1" t="s">
        <v>1503</v>
      </c>
      <c r="O760">
        <v>8.0500000000000007</v>
      </c>
      <c r="P760" t="e">
        <f>IF(Titanic_Dataset[[#This Row],[Survived]]=1,Titanic_Dataset[[#This Row],[Fare]],NA())</f>
        <v>#N/A</v>
      </c>
      <c r="Q760">
        <f>IF(Titanic_Dataset[[#This Row],[Survived]]=0,Titanic_Dataset[[#This Row],[Fare]],NA())</f>
        <v>8.0500000000000007</v>
      </c>
      <c r="R760" t="str">
        <f>VLOOKUP(Titanic_Dataset[[#This Row],[Fare]],Table2[],2,TRUE)</f>
        <v>medium</v>
      </c>
      <c r="S760" s="1" t="s">
        <v>15</v>
      </c>
      <c r="T760" s="1" t="s">
        <v>16</v>
      </c>
      <c r="U760" s="1"/>
      <c r="V760" s="1"/>
      <c r="W760" s="1"/>
    </row>
    <row r="761" spans="1:23" x14ac:dyDescent="0.25">
      <c r="A761">
        <v>760</v>
      </c>
      <c r="B761">
        <v>1</v>
      </c>
      <c r="C761" t="str">
        <f>IF(Titanic_Dataset[[#This Row],[Survived]]=1,"Survived","Died")</f>
        <v>Survived</v>
      </c>
      <c r="D761">
        <v>1</v>
      </c>
      <c r="E761" t="str">
        <f>IF(Titanic_Dataset[[#This Row],[Pclass]]=1,"1st",IF(Titanic_Dataset[[#This Row],[Pclass]]=2,"2nd",IF(Titanic_Dataset[[#This Row],[Pclass]]=3,"3rd")))</f>
        <v>1st</v>
      </c>
      <c r="F761" s="1" t="s">
        <v>1504</v>
      </c>
      <c r="G761" s="1" t="str">
        <f>TRIM(MID(Titanic_Dataset[[#This Row],[Name]],
FIND(",",Titanic_Dataset[[#This Row],[Name]])+2,
FIND(".",Titanic_Dataset[[#This Row],[Name]],FIND(",",Titanic_Dataset[[#This Row],[Name]]))-FIND(",",Titanic_Dataset[[#This Row],[Name]])-1))</f>
        <v>the Countess.</v>
      </c>
      <c r="H761" s="1" t="s">
        <v>18</v>
      </c>
      <c r="I761">
        <v>33</v>
      </c>
      <c r="J761" t="str">
        <f>IF(Titanic_Dataset[[#This Row],[Age]]&lt;12,"0-11",
IF(Titanic_Dataset[[#This Row],[Age]]&lt;20,"12-19",
IF(Titanic_Dataset[[#This Row],[Age]]&lt;30,"20-29",
IF(Titanic_Dataset[[#This Row],[Age]]&lt;40,"30-39",
IF(Titanic_Dataset[[#This Row],[Age]]&lt;50,"40-49",
IF(Titanic_Dataset[[#This Row],[Age]]&lt;60,"50-59",
IF(Titanic_Dataset[[#This Row],[Age]]&lt;70,"60-69",)))))))</f>
        <v>30-39</v>
      </c>
      <c r="K761">
        <v>0</v>
      </c>
      <c r="L761">
        <v>0</v>
      </c>
      <c r="M761">
        <f>Titanic_Dataset[[#This Row],[Parch]]+Titanic_Dataset[[#This Row],[SibSp]]</f>
        <v>0</v>
      </c>
      <c r="N761" s="1" t="s">
        <v>549</v>
      </c>
      <c r="O761">
        <v>86.5</v>
      </c>
      <c r="P761">
        <f>IF(Titanic_Dataset[[#This Row],[Survived]]=1,Titanic_Dataset[[#This Row],[Fare]],NA())</f>
        <v>86.5</v>
      </c>
      <c r="Q761" t="e">
        <f>IF(Titanic_Dataset[[#This Row],[Survived]]=0,Titanic_Dataset[[#This Row],[Fare]],NA())</f>
        <v>#N/A</v>
      </c>
      <c r="R761" t="str">
        <f>VLOOKUP(Titanic_Dataset[[#This Row],[Fare]],Table2[],2,TRUE)</f>
        <v>very hiegh</v>
      </c>
      <c r="S761" s="1" t="s">
        <v>550</v>
      </c>
      <c r="T761" s="1" t="s">
        <v>16</v>
      </c>
      <c r="U761" s="1"/>
      <c r="V761" s="1"/>
      <c r="W761" s="1"/>
    </row>
    <row r="762" spans="1:23" x14ac:dyDescent="0.25">
      <c r="A762">
        <v>761</v>
      </c>
      <c r="B762">
        <v>0</v>
      </c>
      <c r="C762" t="str">
        <f>IF(Titanic_Dataset[[#This Row],[Survived]]=1,"Survived","Died")</f>
        <v>Died</v>
      </c>
      <c r="D762">
        <v>3</v>
      </c>
      <c r="E762" t="str">
        <f>IF(Titanic_Dataset[[#This Row],[Pclass]]=1,"1st",IF(Titanic_Dataset[[#This Row],[Pclass]]=2,"2nd",IF(Titanic_Dataset[[#This Row],[Pclass]]=3,"3rd")))</f>
        <v>3rd</v>
      </c>
      <c r="F762" s="1" t="s">
        <v>1505</v>
      </c>
      <c r="G762" s="1" t="str">
        <f>TRIM(MID(Titanic_Dataset[[#This Row],[Name]],
FIND(",",Titanic_Dataset[[#This Row],[Name]])+2,
FIND(".",Titanic_Dataset[[#This Row],[Name]],FIND(",",Titanic_Dataset[[#This Row],[Name]]))-FIND(",",Titanic_Dataset[[#This Row],[Name]])-1))</f>
        <v>Mr.</v>
      </c>
      <c r="H762" s="1" t="s">
        <v>13</v>
      </c>
      <c r="I762">
        <v>28</v>
      </c>
      <c r="J76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62">
        <v>0</v>
      </c>
      <c r="L762">
        <v>0</v>
      </c>
      <c r="M762">
        <f>Titanic_Dataset[[#This Row],[Parch]]+Titanic_Dataset[[#This Row],[SibSp]]</f>
        <v>0</v>
      </c>
      <c r="N762" s="1" t="s">
        <v>1169</v>
      </c>
      <c r="O762">
        <v>14.5</v>
      </c>
      <c r="P762" t="e">
        <f>IF(Titanic_Dataset[[#This Row],[Survived]]=1,Titanic_Dataset[[#This Row],[Fare]],NA())</f>
        <v>#N/A</v>
      </c>
      <c r="Q762">
        <f>IF(Titanic_Dataset[[#This Row],[Survived]]=0,Titanic_Dataset[[#This Row],[Fare]],NA())</f>
        <v>14.5</v>
      </c>
      <c r="R762" t="str">
        <f>VLOOKUP(Titanic_Dataset[[#This Row],[Fare]],Table2[],2,TRUE)</f>
        <v>medium</v>
      </c>
      <c r="S762" s="1" t="s">
        <v>15</v>
      </c>
      <c r="T762" s="1" t="s">
        <v>16</v>
      </c>
      <c r="U762" s="1"/>
      <c r="V762" s="1"/>
      <c r="W762" s="1"/>
    </row>
    <row r="763" spans="1:23" x14ac:dyDescent="0.25">
      <c r="A763">
        <v>762</v>
      </c>
      <c r="B763">
        <v>0</v>
      </c>
      <c r="C763" t="str">
        <f>IF(Titanic_Dataset[[#This Row],[Survived]]=1,"Survived","Died")</f>
        <v>Died</v>
      </c>
      <c r="D763">
        <v>3</v>
      </c>
      <c r="E763" t="str">
        <f>IF(Titanic_Dataset[[#This Row],[Pclass]]=1,"1st",IF(Titanic_Dataset[[#This Row],[Pclass]]=2,"2nd",IF(Titanic_Dataset[[#This Row],[Pclass]]=3,"3rd")))</f>
        <v>3rd</v>
      </c>
      <c r="F763" s="1" t="s">
        <v>1506</v>
      </c>
      <c r="G763" s="1" t="str">
        <f>TRIM(MID(Titanic_Dataset[[#This Row],[Name]],
FIND(",",Titanic_Dataset[[#This Row],[Name]])+2,
FIND(".",Titanic_Dataset[[#This Row],[Name]],FIND(",",Titanic_Dataset[[#This Row],[Name]]))-FIND(",",Titanic_Dataset[[#This Row],[Name]])-1))</f>
        <v>Mr.</v>
      </c>
      <c r="H763" s="1" t="s">
        <v>13</v>
      </c>
      <c r="I763">
        <v>41</v>
      </c>
      <c r="J763" t="str">
        <f>IF(Titanic_Dataset[[#This Row],[Age]]&lt;12,"0-11",
IF(Titanic_Dataset[[#This Row],[Age]]&lt;20,"12-19",
IF(Titanic_Dataset[[#This Row],[Age]]&lt;30,"20-29",
IF(Titanic_Dataset[[#This Row],[Age]]&lt;40,"30-39",
IF(Titanic_Dataset[[#This Row],[Age]]&lt;50,"40-49",
IF(Titanic_Dataset[[#This Row],[Age]]&lt;60,"50-59",
IF(Titanic_Dataset[[#This Row],[Age]]&lt;70,"60-69",)))))))</f>
        <v>40-49</v>
      </c>
      <c r="K763">
        <v>0</v>
      </c>
      <c r="L763">
        <v>0</v>
      </c>
      <c r="M763">
        <f>Titanic_Dataset[[#This Row],[Parch]]+Titanic_Dataset[[#This Row],[SibSp]]</f>
        <v>0</v>
      </c>
      <c r="N763" s="1" t="s">
        <v>1507</v>
      </c>
      <c r="O763">
        <v>7.125</v>
      </c>
      <c r="P763" t="e">
        <f>IF(Titanic_Dataset[[#This Row],[Survived]]=1,Titanic_Dataset[[#This Row],[Fare]],NA())</f>
        <v>#N/A</v>
      </c>
      <c r="Q763">
        <f>IF(Titanic_Dataset[[#This Row],[Survived]]=0,Titanic_Dataset[[#This Row],[Fare]],NA())</f>
        <v>7.125</v>
      </c>
      <c r="R763" t="str">
        <f>VLOOKUP(Titanic_Dataset[[#This Row],[Fare]],Table2[],2,TRUE)</f>
        <v>low</v>
      </c>
      <c r="S763" s="1" t="s">
        <v>15</v>
      </c>
      <c r="T763" s="1" t="s">
        <v>16</v>
      </c>
      <c r="U763" s="1"/>
      <c r="V763" s="1"/>
      <c r="W763" s="1"/>
    </row>
    <row r="764" spans="1:23" x14ac:dyDescent="0.25">
      <c r="A764">
        <v>763</v>
      </c>
      <c r="B764">
        <v>1</v>
      </c>
      <c r="C764" t="str">
        <f>IF(Titanic_Dataset[[#This Row],[Survived]]=1,"Survived","Died")</f>
        <v>Survived</v>
      </c>
      <c r="D764">
        <v>3</v>
      </c>
      <c r="E764" t="str">
        <f>IF(Titanic_Dataset[[#This Row],[Pclass]]=1,"1st",IF(Titanic_Dataset[[#This Row],[Pclass]]=2,"2nd",IF(Titanic_Dataset[[#This Row],[Pclass]]=3,"3rd")))</f>
        <v>3rd</v>
      </c>
      <c r="F764" s="1" t="s">
        <v>1508</v>
      </c>
      <c r="G764" s="1" t="str">
        <f>TRIM(MID(Titanic_Dataset[[#This Row],[Name]],
FIND(",",Titanic_Dataset[[#This Row],[Name]])+2,
FIND(".",Titanic_Dataset[[#This Row],[Name]],FIND(",",Titanic_Dataset[[#This Row],[Name]]))-FIND(",",Titanic_Dataset[[#This Row],[Name]])-1))</f>
        <v>Mr.</v>
      </c>
      <c r="H764" s="1" t="s">
        <v>13</v>
      </c>
      <c r="I764">
        <v>20</v>
      </c>
      <c r="J76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64">
        <v>0</v>
      </c>
      <c r="L764">
        <v>0</v>
      </c>
      <c r="M764">
        <f>Titanic_Dataset[[#This Row],[Parch]]+Titanic_Dataset[[#This Row],[SibSp]]</f>
        <v>0</v>
      </c>
      <c r="N764" s="1" t="s">
        <v>1509</v>
      </c>
      <c r="O764">
        <v>7.2291999999999996</v>
      </c>
      <c r="P764">
        <f>IF(Titanic_Dataset[[#This Row],[Survived]]=1,Titanic_Dataset[[#This Row],[Fare]],NA())</f>
        <v>7.2291999999999996</v>
      </c>
      <c r="Q764" t="e">
        <f>IF(Titanic_Dataset[[#This Row],[Survived]]=0,Titanic_Dataset[[#This Row],[Fare]],NA())</f>
        <v>#N/A</v>
      </c>
      <c r="R764" t="str">
        <f>VLOOKUP(Titanic_Dataset[[#This Row],[Fare]],Table2[],2,TRUE)</f>
        <v>low</v>
      </c>
      <c r="S764" s="1" t="s">
        <v>15</v>
      </c>
      <c r="T764" s="1" t="s">
        <v>21</v>
      </c>
      <c r="U764" s="1"/>
      <c r="V764" s="1"/>
      <c r="W764" s="1"/>
    </row>
    <row r="765" spans="1:23" x14ac:dyDescent="0.25">
      <c r="A765">
        <v>764</v>
      </c>
      <c r="B765">
        <v>1</v>
      </c>
      <c r="C765" t="str">
        <f>IF(Titanic_Dataset[[#This Row],[Survived]]=1,"Survived","Died")</f>
        <v>Survived</v>
      </c>
      <c r="D765">
        <v>1</v>
      </c>
      <c r="E765" t="str">
        <f>IF(Titanic_Dataset[[#This Row],[Pclass]]=1,"1st",IF(Titanic_Dataset[[#This Row],[Pclass]]=2,"2nd",IF(Titanic_Dataset[[#This Row],[Pclass]]=3,"3rd")))</f>
        <v>1st</v>
      </c>
      <c r="F765" s="1" t="s">
        <v>1510</v>
      </c>
      <c r="G765" s="1" t="str">
        <f>TRIM(MID(Titanic_Dataset[[#This Row],[Name]],
FIND(",",Titanic_Dataset[[#This Row],[Name]])+2,
FIND(".",Titanic_Dataset[[#This Row],[Name]],FIND(",",Titanic_Dataset[[#This Row],[Name]]))-FIND(",",Titanic_Dataset[[#This Row],[Name]])-1))</f>
        <v>Mrs.</v>
      </c>
      <c r="H765" s="1" t="s">
        <v>18</v>
      </c>
      <c r="I765">
        <v>36</v>
      </c>
      <c r="J765" t="str">
        <f>IF(Titanic_Dataset[[#This Row],[Age]]&lt;12,"0-11",
IF(Titanic_Dataset[[#This Row],[Age]]&lt;20,"12-19",
IF(Titanic_Dataset[[#This Row],[Age]]&lt;30,"20-29",
IF(Titanic_Dataset[[#This Row],[Age]]&lt;40,"30-39",
IF(Titanic_Dataset[[#This Row],[Age]]&lt;50,"40-49",
IF(Titanic_Dataset[[#This Row],[Age]]&lt;60,"50-59",
IF(Titanic_Dataset[[#This Row],[Age]]&lt;70,"60-69",)))))))</f>
        <v>30-39</v>
      </c>
      <c r="K765">
        <v>1</v>
      </c>
      <c r="L765">
        <v>2</v>
      </c>
      <c r="M765">
        <f>Titanic_Dataset[[#This Row],[Parch]]+Titanic_Dataset[[#This Row],[SibSp]]</f>
        <v>3</v>
      </c>
      <c r="N765" s="1" t="s">
        <v>815</v>
      </c>
      <c r="O765">
        <v>120</v>
      </c>
      <c r="P765">
        <f>IF(Titanic_Dataset[[#This Row],[Survived]]=1,Titanic_Dataset[[#This Row],[Fare]],NA())</f>
        <v>120</v>
      </c>
      <c r="Q765" t="e">
        <f>IF(Titanic_Dataset[[#This Row],[Survived]]=0,Titanic_Dataset[[#This Row],[Fare]],NA())</f>
        <v>#N/A</v>
      </c>
      <c r="R765" t="str">
        <f>VLOOKUP(Titanic_Dataset[[#This Row],[Fare]],Table2[],2,TRUE)</f>
        <v>very hiegh</v>
      </c>
      <c r="S765" s="1" t="s">
        <v>816</v>
      </c>
      <c r="T765" s="1" t="s">
        <v>16</v>
      </c>
      <c r="U765" s="1"/>
      <c r="V765" s="1"/>
      <c r="W765" s="1"/>
    </row>
    <row r="766" spans="1:23" x14ac:dyDescent="0.25">
      <c r="A766">
        <v>765</v>
      </c>
      <c r="B766">
        <v>0</v>
      </c>
      <c r="C766" t="str">
        <f>IF(Titanic_Dataset[[#This Row],[Survived]]=1,"Survived","Died")</f>
        <v>Died</v>
      </c>
      <c r="D766">
        <v>3</v>
      </c>
      <c r="E766" t="str">
        <f>IF(Titanic_Dataset[[#This Row],[Pclass]]=1,"1st",IF(Titanic_Dataset[[#This Row],[Pclass]]=2,"2nd",IF(Titanic_Dataset[[#This Row],[Pclass]]=3,"3rd")))</f>
        <v>3rd</v>
      </c>
      <c r="F766" s="1" t="s">
        <v>1511</v>
      </c>
      <c r="G766" s="1" t="str">
        <f>TRIM(MID(Titanic_Dataset[[#This Row],[Name]],
FIND(",",Titanic_Dataset[[#This Row],[Name]])+2,
FIND(".",Titanic_Dataset[[#This Row],[Name]],FIND(",",Titanic_Dataset[[#This Row],[Name]]))-FIND(",",Titanic_Dataset[[#This Row],[Name]])-1))</f>
        <v>Mr.</v>
      </c>
      <c r="H766" s="1" t="s">
        <v>13</v>
      </c>
      <c r="I766">
        <v>16</v>
      </c>
      <c r="J766" t="str">
        <f>IF(Titanic_Dataset[[#This Row],[Age]]&lt;12,"0-11",
IF(Titanic_Dataset[[#This Row],[Age]]&lt;20,"12-19",
IF(Titanic_Dataset[[#This Row],[Age]]&lt;30,"20-29",
IF(Titanic_Dataset[[#This Row],[Age]]&lt;40,"30-39",
IF(Titanic_Dataset[[#This Row],[Age]]&lt;50,"40-49",
IF(Titanic_Dataset[[#This Row],[Age]]&lt;60,"50-59",
IF(Titanic_Dataset[[#This Row],[Age]]&lt;70,"60-69",)))))))</f>
        <v>12-19</v>
      </c>
      <c r="K766">
        <v>0</v>
      </c>
      <c r="L766">
        <v>0</v>
      </c>
      <c r="M766">
        <f>Titanic_Dataset[[#This Row],[Parch]]+Titanic_Dataset[[#This Row],[SibSp]]</f>
        <v>0</v>
      </c>
      <c r="N766" s="1" t="s">
        <v>1512</v>
      </c>
      <c r="O766">
        <v>7.7750000000000004</v>
      </c>
      <c r="P766" t="e">
        <f>IF(Titanic_Dataset[[#This Row],[Survived]]=1,Titanic_Dataset[[#This Row],[Fare]],NA())</f>
        <v>#N/A</v>
      </c>
      <c r="Q766">
        <f>IF(Titanic_Dataset[[#This Row],[Survived]]=0,Titanic_Dataset[[#This Row],[Fare]],NA())</f>
        <v>7.7750000000000004</v>
      </c>
      <c r="R766" t="str">
        <f>VLOOKUP(Titanic_Dataset[[#This Row],[Fare]],Table2[],2,TRUE)</f>
        <v>low</v>
      </c>
      <c r="S766" s="1" t="s">
        <v>15</v>
      </c>
      <c r="T766" s="1" t="s">
        <v>16</v>
      </c>
      <c r="U766" s="1"/>
      <c r="V766" s="1"/>
      <c r="W766" s="1"/>
    </row>
    <row r="767" spans="1:23" x14ac:dyDescent="0.25">
      <c r="A767">
        <v>766</v>
      </c>
      <c r="B767">
        <v>1</v>
      </c>
      <c r="C767" t="str">
        <f>IF(Titanic_Dataset[[#This Row],[Survived]]=1,"Survived","Died")</f>
        <v>Survived</v>
      </c>
      <c r="D767">
        <v>1</v>
      </c>
      <c r="E767" t="str">
        <f>IF(Titanic_Dataset[[#This Row],[Pclass]]=1,"1st",IF(Titanic_Dataset[[#This Row],[Pclass]]=2,"2nd",IF(Titanic_Dataset[[#This Row],[Pclass]]=3,"3rd")))</f>
        <v>1st</v>
      </c>
      <c r="F767" s="1" t="s">
        <v>1513</v>
      </c>
      <c r="G767" s="1" t="str">
        <f>TRIM(MID(Titanic_Dataset[[#This Row],[Name]],
FIND(",",Titanic_Dataset[[#This Row],[Name]])+2,
FIND(".",Titanic_Dataset[[#This Row],[Name]],FIND(",",Titanic_Dataset[[#This Row],[Name]]))-FIND(",",Titanic_Dataset[[#This Row],[Name]])-1))</f>
        <v>Mrs.</v>
      </c>
      <c r="H767" s="1" t="s">
        <v>18</v>
      </c>
      <c r="I767">
        <v>51</v>
      </c>
      <c r="J767" t="str">
        <f>IF(Titanic_Dataset[[#This Row],[Age]]&lt;12,"0-11",
IF(Titanic_Dataset[[#This Row],[Age]]&lt;20,"12-19",
IF(Titanic_Dataset[[#This Row],[Age]]&lt;30,"20-29",
IF(Titanic_Dataset[[#This Row],[Age]]&lt;40,"30-39",
IF(Titanic_Dataset[[#This Row],[Age]]&lt;50,"40-49",
IF(Titanic_Dataset[[#This Row],[Age]]&lt;60,"50-59",
IF(Titanic_Dataset[[#This Row],[Age]]&lt;70,"60-69",)))))))</f>
        <v>50-59</v>
      </c>
      <c r="K767">
        <v>1</v>
      </c>
      <c r="L767">
        <v>0</v>
      </c>
      <c r="M767">
        <f>Titanic_Dataset[[#This Row],[Parch]]+Titanic_Dataset[[#This Row],[SibSp]]</f>
        <v>1</v>
      </c>
      <c r="N767" s="1" t="s">
        <v>588</v>
      </c>
      <c r="O767">
        <v>77.958299999999994</v>
      </c>
      <c r="P767">
        <f>IF(Titanic_Dataset[[#This Row],[Survived]]=1,Titanic_Dataset[[#This Row],[Fare]],NA())</f>
        <v>77.958299999999994</v>
      </c>
      <c r="Q767" t="e">
        <f>IF(Titanic_Dataset[[#This Row],[Survived]]=0,Titanic_Dataset[[#This Row],[Fare]],NA())</f>
        <v>#N/A</v>
      </c>
      <c r="R767" t="str">
        <f>VLOOKUP(Titanic_Dataset[[#This Row],[Fare]],Table2[],2,TRUE)</f>
        <v>very hiegh</v>
      </c>
      <c r="S767" s="1" t="s">
        <v>1514</v>
      </c>
      <c r="T767" s="1" t="s">
        <v>16</v>
      </c>
      <c r="U767" s="1"/>
      <c r="V767" s="1"/>
      <c r="W767" s="1"/>
    </row>
    <row r="768" spans="1:23" x14ac:dyDescent="0.25">
      <c r="A768">
        <v>767</v>
      </c>
      <c r="B768">
        <v>0</v>
      </c>
      <c r="C768" t="str">
        <f>IF(Titanic_Dataset[[#This Row],[Survived]]=1,"Survived","Died")</f>
        <v>Died</v>
      </c>
      <c r="D768">
        <v>1</v>
      </c>
      <c r="E768" t="str">
        <f>IF(Titanic_Dataset[[#This Row],[Pclass]]=1,"1st",IF(Titanic_Dataset[[#This Row],[Pclass]]=2,"2nd",IF(Titanic_Dataset[[#This Row],[Pclass]]=3,"3rd")))</f>
        <v>1st</v>
      </c>
      <c r="F768" s="1" t="s">
        <v>1515</v>
      </c>
      <c r="G768" s="1" t="str">
        <f>TRIM(MID(Titanic_Dataset[[#This Row],[Name]],
FIND(",",Titanic_Dataset[[#This Row],[Name]])+2,
FIND(".",Titanic_Dataset[[#This Row],[Name]],FIND(",",Titanic_Dataset[[#This Row],[Name]]))-FIND(",",Titanic_Dataset[[#This Row],[Name]])-1))</f>
        <v>Dr.</v>
      </c>
      <c r="H768" s="1" t="s">
        <v>13</v>
      </c>
      <c r="I768">
        <v>28</v>
      </c>
      <c r="J76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68">
        <v>0</v>
      </c>
      <c r="L768">
        <v>0</v>
      </c>
      <c r="M768">
        <f>Titanic_Dataset[[#This Row],[Parch]]+Titanic_Dataset[[#This Row],[SibSp]]</f>
        <v>0</v>
      </c>
      <c r="N768" s="1" t="s">
        <v>1516</v>
      </c>
      <c r="O768">
        <v>39.6</v>
      </c>
      <c r="P768" t="e">
        <f>IF(Titanic_Dataset[[#This Row],[Survived]]=1,Titanic_Dataset[[#This Row],[Fare]],NA())</f>
        <v>#N/A</v>
      </c>
      <c r="Q768">
        <f>IF(Titanic_Dataset[[#This Row],[Survived]]=0,Titanic_Dataset[[#This Row],[Fare]],NA())</f>
        <v>39.6</v>
      </c>
      <c r="R768" t="str">
        <f>VLOOKUP(Titanic_Dataset[[#This Row],[Fare]],Table2[],2,TRUE)</f>
        <v>very hiegh</v>
      </c>
      <c r="S768" s="1" t="s">
        <v>15</v>
      </c>
      <c r="T768" s="1" t="s">
        <v>21</v>
      </c>
      <c r="U768" s="1"/>
      <c r="V768" s="1"/>
      <c r="W768" s="1"/>
    </row>
    <row r="769" spans="1:23" x14ac:dyDescent="0.25">
      <c r="A769">
        <v>768</v>
      </c>
      <c r="B769">
        <v>0</v>
      </c>
      <c r="C769" t="str">
        <f>IF(Titanic_Dataset[[#This Row],[Survived]]=1,"Survived","Died")</f>
        <v>Died</v>
      </c>
      <c r="D769">
        <v>3</v>
      </c>
      <c r="E769" t="str">
        <f>IF(Titanic_Dataset[[#This Row],[Pclass]]=1,"1st",IF(Titanic_Dataset[[#This Row],[Pclass]]=2,"2nd",IF(Titanic_Dataset[[#This Row],[Pclass]]=3,"3rd")))</f>
        <v>3rd</v>
      </c>
      <c r="F769" s="1" t="s">
        <v>1517</v>
      </c>
      <c r="G769" s="1" t="str">
        <f>TRIM(MID(Titanic_Dataset[[#This Row],[Name]],
FIND(",",Titanic_Dataset[[#This Row],[Name]])+2,
FIND(".",Titanic_Dataset[[#This Row],[Name]],FIND(",",Titanic_Dataset[[#This Row],[Name]]))-FIND(",",Titanic_Dataset[[#This Row],[Name]])-1))</f>
        <v>Miss.</v>
      </c>
      <c r="H769" s="1" t="s">
        <v>18</v>
      </c>
      <c r="I769">
        <v>30.5</v>
      </c>
      <c r="J769" t="str">
        <f>IF(Titanic_Dataset[[#This Row],[Age]]&lt;12,"0-11",
IF(Titanic_Dataset[[#This Row],[Age]]&lt;20,"12-19",
IF(Titanic_Dataset[[#This Row],[Age]]&lt;30,"20-29",
IF(Titanic_Dataset[[#This Row],[Age]]&lt;40,"30-39",
IF(Titanic_Dataset[[#This Row],[Age]]&lt;50,"40-49",
IF(Titanic_Dataset[[#This Row],[Age]]&lt;60,"50-59",
IF(Titanic_Dataset[[#This Row],[Age]]&lt;70,"60-69",)))))))</f>
        <v>30-39</v>
      </c>
      <c r="K769">
        <v>0</v>
      </c>
      <c r="L769">
        <v>0</v>
      </c>
      <c r="M769">
        <f>Titanic_Dataset[[#This Row],[Parch]]+Titanic_Dataset[[#This Row],[SibSp]]</f>
        <v>0</v>
      </c>
      <c r="N769" s="1" t="s">
        <v>1518</v>
      </c>
      <c r="O769">
        <v>7.75</v>
      </c>
      <c r="P769" t="e">
        <f>IF(Titanic_Dataset[[#This Row],[Survived]]=1,Titanic_Dataset[[#This Row],[Fare]],NA())</f>
        <v>#N/A</v>
      </c>
      <c r="Q769">
        <f>IF(Titanic_Dataset[[#This Row],[Survived]]=0,Titanic_Dataset[[#This Row],[Fare]],NA())</f>
        <v>7.75</v>
      </c>
      <c r="R769" t="str">
        <f>VLOOKUP(Titanic_Dataset[[#This Row],[Fare]],Table2[],2,TRUE)</f>
        <v>low</v>
      </c>
      <c r="S769" s="1" t="s">
        <v>15</v>
      </c>
      <c r="T769" s="1" t="s">
        <v>31</v>
      </c>
      <c r="U769" s="1"/>
      <c r="V769" s="1"/>
      <c r="W769" s="1"/>
    </row>
    <row r="770" spans="1:23" x14ac:dyDescent="0.25">
      <c r="A770">
        <v>769</v>
      </c>
      <c r="B770">
        <v>0</v>
      </c>
      <c r="C770" t="str">
        <f>IF(Titanic_Dataset[[#This Row],[Survived]]=1,"Survived","Died")</f>
        <v>Died</v>
      </c>
      <c r="D770">
        <v>3</v>
      </c>
      <c r="E770" t="str">
        <f>IF(Titanic_Dataset[[#This Row],[Pclass]]=1,"1st",IF(Titanic_Dataset[[#This Row],[Pclass]]=2,"2nd",IF(Titanic_Dataset[[#This Row],[Pclass]]=3,"3rd")))</f>
        <v>3rd</v>
      </c>
      <c r="F770" s="1" t="s">
        <v>1519</v>
      </c>
      <c r="G770" s="1" t="str">
        <f>TRIM(MID(Titanic_Dataset[[#This Row],[Name]],
FIND(",",Titanic_Dataset[[#This Row],[Name]])+2,
FIND(".",Titanic_Dataset[[#This Row],[Name]],FIND(",",Titanic_Dataset[[#This Row],[Name]]))-FIND(",",Titanic_Dataset[[#This Row],[Name]])-1))</f>
        <v>Mr.</v>
      </c>
      <c r="H770" s="1" t="s">
        <v>13</v>
      </c>
      <c r="I770">
        <v>28</v>
      </c>
      <c r="J77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70">
        <v>1</v>
      </c>
      <c r="L770">
        <v>0</v>
      </c>
      <c r="M770">
        <f>Titanic_Dataset[[#This Row],[Parch]]+Titanic_Dataset[[#This Row],[SibSp]]</f>
        <v>1</v>
      </c>
      <c r="N770" s="1" t="s">
        <v>254</v>
      </c>
      <c r="O770">
        <v>24.15</v>
      </c>
      <c r="P770" t="e">
        <f>IF(Titanic_Dataset[[#This Row],[Survived]]=1,Titanic_Dataset[[#This Row],[Fare]],NA())</f>
        <v>#N/A</v>
      </c>
      <c r="Q770">
        <f>IF(Titanic_Dataset[[#This Row],[Survived]]=0,Titanic_Dataset[[#This Row],[Fare]],NA())</f>
        <v>24.15</v>
      </c>
      <c r="R770" t="str">
        <f>VLOOKUP(Titanic_Dataset[[#This Row],[Fare]],Table2[],2,TRUE)</f>
        <v>high</v>
      </c>
      <c r="S770" s="1" t="s">
        <v>15</v>
      </c>
      <c r="T770" s="1" t="s">
        <v>31</v>
      </c>
      <c r="U770" s="1"/>
      <c r="V770" s="1"/>
      <c r="W770" s="1"/>
    </row>
    <row r="771" spans="1:23" x14ac:dyDescent="0.25">
      <c r="A771">
        <v>770</v>
      </c>
      <c r="B771">
        <v>0</v>
      </c>
      <c r="C771" t="str">
        <f>IF(Titanic_Dataset[[#This Row],[Survived]]=1,"Survived","Died")</f>
        <v>Died</v>
      </c>
      <c r="D771">
        <v>3</v>
      </c>
      <c r="E771" t="str">
        <f>IF(Titanic_Dataset[[#This Row],[Pclass]]=1,"1st",IF(Titanic_Dataset[[#This Row],[Pclass]]=2,"2nd",IF(Titanic_Dataset[[#This Row],[Pclass]]=3,"3rd")))</f>
        <v>3rd</v>
      </c>
      <c r="F771" s="1" t="s">
        <v>1520</v>
      </c>
      <c r="G771" s="1" t="str">
        <f>TRIM(MID(Titanic_Dataset[[#This Row],[Name]],
FIND(",",Titanic_Dataset[[#This Row],[Name]])+2,
FIND(".",Titanic_Dataset[[#This Row],[Name]],FIND(",",Titanic_Dataset[[#This Row],[Name]]))-FIND(",",Titanic_Dataset[[#This Row],[Name]])-1))</f>
        <v>Mr.</v>
      </c>
      <c r="H771" s="1" t="s">
        <v>13</v>
      </c>
      <c r="I771">
        <v>32</v>
      </c>
      <c r="J771" t="str">
        <f>IF(Titanic_Dataset[[#This Row],[Age]]&lt;12,"0-11",
IF(Titanic_Dataset[[#This Row],[Age]]&lt;20,"12-19",
IF(Titanic_Dataset[[#This Row],[Age]]&lt;30,"20-29",
IF(Titanic_Dataset[[#This Row],[Age]]&lt;40,"30-39",
IF(Titanic_Dataset[[#This Row],[Age]]&lt;50,"40-49",
IF(Titanic_Dataset[[#This Row],[Age]]&lt;60,"50-59",
IF(Titanic_Dataset[[#This Row],[Age]]&lt;70,"60-69",)))))))</f>
        <v>30-39</v>
      </c>
      <c r="K771">
        <v>0</v>
      </c>
      <c r="L771">
        <v>0</v>
      </c>
      <c r="M771">
        <f>Titanic_Dataset[[#This Row],[Parch]]+Titanic_Dataset[[#This Row],[SibSp]]</f>
        <v>0</v>
      </c>
      <c r="N771" s="1" t="s">
        <v>1521</v>
      </c>
      <c r="O771">
        <v>8.3625000000000007</v>
      </c>
      <c r="P771" t="e">
        <f>IF(Titanic_Dataset[[#This Row],[Survived]]=1,Titanic_Dataset[[#This Row],[Fare]],NA())</f>
        <v>#N/A</v>
      </c>
      <c r="Q771">
        <f>IF(Titanic_Dataset[[#This Row],[Survived]]=0,Titanic_Dataset[[#This Row],[Fare]],NA())</f>
        <v>8.3625000000000007</v>
      </c>
      <c r="R771" t="str">
        <f>VLOOKUP(Titanic_Dataset[[#This Row],[Fare]],Table2[],2,TRUE)</f>
        <v>medium</v>
      </c>
      <c r="S771" s="1" t="s">
        <v>15</v>
      </c>
      <c r="T771" s="1" t="s">
        <v>16</v>
      </c>
      <c r="U771" s="1"/>
      <c r="V771" s="1"/>
      <c r="W771" s="1"/>
    </row>
    <row r="772" spans="1:23" x14ac:dyDescent="0.25">
      <c r="A772">
        <v>771</v>
      </c>
      <c r="B772">
        <v>0</v>
      </c>
      <c r="C772" t="str">
        <f>IF(Titanic_Dataset[[#This Row],[Survived]]=1,"Survived","Died")</f>
        <v>Died</v>
      </c>
      <c r="D772">
        <v>3</v>
      </c>
      <c r="E772" t="str">
        <f>IF(Titanic_Dataset[[#This Row],[Pclass]]=1,"1st",IF(Titanic_Dataset[[#This Row],[Pclass]]=2,"2nd",IF(Titanic_Dataset[[#This Row],[Pclass]]=3,"3rd")))</f>
        <v>3rd</v>
      </c>
      <c r="F772" s="1" t="s">
        <v>1522</v>
      </c>
      <c r="G772" s="1" t="str">
        <f>TRIM(MID(Titanic_Dataset[[#This Row],[Name]],
FIND(",",Titanic_Dataset[[#This Row],[Name]])+2,
FIND(".",Titanic_Dataset[[#This Row],[Name]],FIND(",",Titanic_Dataset[[#This Row],[Name]]))-FIND(",",Titanic_Dataset[[#This Row],[Name]])-1))</f>
        <v>Mr.</v>
      </c>
      <c r="H772" s="1" t="s">
        <v>13</v>
      </c>
      <c r="I772">
        <v>24</v>
      </c>
      <c r="J77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72">
        <v>0</v>
      </c>
      <c r="L772">
        <v>0</v>
      </c>
      <c r="M772">
        <f>Titanic_Dataset[[#This Row],[Parch]]+Titanic_Dataset[[#This Row],[SibSp]]</f>
        <v>0</v>
      </c>
      <c r="N772" s="1" t="s">
        <v>1523</v>
      </c>
      <c r="O772">
        <v>9.5</v>
      </c>
      <c r="P772" t="e">
        <f>IF(Titanic_Dataset[[#This Row],[Survived]]=1,Titanic_Dataset[[#This Row],[Fare]],NA())</f>
        <v>#N/A</v>
      </c>
      <c r="Q772">
        <f>IF(Titanic_Dataset[[#This Row],[Survived]]=0,Titanic_Dataset[[#This Row],[Fare]],NA())</f>
        <v>9.5</v>
      </c>
      <c r="R772" t="str">
        <f>VLOOKUP(Titanic_Dataset[[#This Row],[Fare]],Table2[],2,TRUE)</f>
        <v>medium</v>
      </c>
      <c r="S772" s="1" t="s">
        <v>15</v>
      </c>
      <c r="T772" s="1" t="s">
        <v>16</v>
      </c>
      <c r="U772" s="1"/>
      <c r="V772" s="1"/>
      <c r="W772" s="1"/>
    </row>
    <row r="773" spans="1:23" x14ac:dyDescent="0.25">
      <c r="A773">
        <v>772</v>
      </c>
      <c r="B773">
        <v>0</v>
      </c>
      <c r="C773" t="str">
        <f>IF(Titanic_Dataset[[#This Row],[Survived]]=1,"Survived","Died")</f>
        <v>Died</v>
      </c>
      <c r="D773">
        <v>3</v>
      </c>
      <c r="E773" t="str">
        <f>IF(Titanic_Dataset[[#This Row],[Pclass]]=1,"1st",IF(Titanic_Dataset[[#This Row],[Pclass]]=2,"2nd",IF(Titanic_Dataset[[#This Row],[Pclass]]=3,"3rd")))</f>
        <v>3rd</v>
      </c>
      <c r="F773" s="1" t="s">
        <v>1524</v>
      </c>
      <c r="G773" s="1" t="str">
        <f>TRIM(MID(Titanic_Dataset[[#This Row],[Name]],
FIND(",",Titanic_Dataset[[#This Row],[Name]])+2,
FIND(".",Titanic_Dataset[[#This Row],[Name]],FIND(",",Titanic_Dataset[[#This Row],[Name]]))-FIND(",",Titanic_Dataset[[#This Row],[Name]])-1))</f>
        <v>Mr.</v>
      </c>
      <c r="H773" s="1" t="s">
        <v>13</v>
      </c>
      <c r="I773">
        <v>48</v>
      </c>
      <c r="J773" t="str">
        <f>IF(Titanic_Dataset[[#This Row],[Age]]&lt;12,"0-11",
IF(Titanic_Dataset[[#This Row],[Age]]&lt;20,"12-19",
IF(Titanic_Dataset[[#This Row],[Age]]&lt;30,"20-29",
IF(Titanic_Dataset[[#This Row],[Age]]&lt;40,"30-39",
IF(Titanic_Dataset[[#This Row],[Age]]&lt;50,"40-49",
IF(Titanic_Dataset[[#This Row],[Age]]&lt;60,"50-59",
IF(Titanic_Dataset[[#This Row],[Age]]&lt;70,"60-69",)))))))</f>
        <v>40-49</v>
      </c>
      <c r="K773">
        <v>0</v>
      </c>
      <c r="L773">
        <v>0</v>
      </c>
      <c r="M773">
        <f>Titanic_Dataset[[#This Row],[Parch]]+Titanic_Dataset[[#This Row],[SibSp]]</f>
        <v>0</v>
      </c>
      <c r="N773" s="1" t="s">
        <v>1525</v>
      </c>
      <c r="O773">
        <v>7.8541999999999996</v>
      </c>
      <c r="P773" t="e">
        <f>IF(Titanic_Dataset[[#This Row],[Survived]]=1,Titanic_Dataset[[#This Row],[Fare]],NA())</f>
        <v>#N/A</v>
      </c>
      <c r="Q773">
        <f>IF(Titanic_Dataset[[#This Row],[Survived]]=0,Titanic_Dataset[[#This Row],[Fare]],NA())</f>
        <v>7.8541999999999996</v>
      </c>
      <c r="R773" t="str">
        <f>VLOOKUP(Titanic_Dataset[[#This Row],[Fare]],Table2[],2,TRUE)</f>
        <v>low</v>
      </c>
      <c r="S773" s="1" t="s">
        <v>15</v>
      </c>
      <c r="T773" s="1" t="s">
        <v>16</v>
      </c>
      <c r="U773" s="1"/>
      <c r="V773" s="1"/>
      <c r="W773" s="1"/>
    </row>
    <row r="774" spans="1:23" x14ac:dyDescent="0.25">
      <c r="A774">
        <v>773</v>
      </c>
      <c r="B774">
        <v>0</v>
      </c>
      <c r="C774" t="str">
        <f>IF(Titanic_Dataset[[#This Row],[Survived]]=1,"Survived","Died")</f>
        <v>Died</v>
      </c>
      <c r="D774">
        <v>2</v>
      </c>
      <c r="E774" t="str">
        <f>IF(Titanic_Dataset[[#This Row],[Pclass]]=1,"1st",IF(Titanic_Dataset[[#This Row],[Pclass]]=2,"2nd",IF(Titanic_Dataset[[#This Row],[Pclass]]=3,"3rd")))</f>
        <v>2nd</v>
      </c>
      <c r="F774" s="1" t="s">
        <v>1526</v>
      </c>
      <c r="G774" s="1" t="str">
        <f>TRIM(MID(Titanic_Dataset[[#This Row],[Name]],
FIND(",",Titanic_Dataset[[#This Row],[Name]])+2,
FIND(".",Titanic_Dataset[[#This Row],[Name]],FIND(",",Titanic_Dataset[[#This Row],[Name]]))-FIND(",",Titanic_Dataset[[#This Row],[Name]])-1))</f>
        <v>Mrs.</v>
      </c>
      <c r="H774" s="1" t="s">
        <v>18</v>
      </c>
      <c r="I774">
        <v>57</v>
      </c>
      <c r="J774" t="str">
        <f>IF(Titanic_Dataset[[#This Row],[Age]]&lt;12,"0-11",
IF(Titanic_Dataset[[#This Row],[Age]]&lt;20,"12-19",
IF(Titanic_Dataset[[#This Row],[Age]]&lt;30,"20-29",
IF(Titanic_Dataset[[#This Row],[Age]]&lt;40,"30-39",
IF(Titanic_Dataset[[#This Row],[Age]]&lt;50,"40-49",
IF(Titanic_Dataset[[#This Row],[Age]]&lt;60,"50-59",
IF(Titanic_Dataset[[#This Row],[Age]]&lt;70,"60-69",)))))))</f>
        <v>50-59</v>
      </c>
      <c r="K774">
        <v>0</v>
      </c>
      <c r="L774">
        <v>0</v>
      </c>
      <c r="M774">
        <f>Titanic_Dataset[[#This Row],[Parch]]+Titanic_Dataset[[#This Row],[SibSp]]</f>
        <v>0</v>
      </c>
      <c r="N774" s="1" t="s">
        <v>1527</v>
      </c>
      <c r="O774">
        <v>10.5</v>
      </c>
      <c r="P774" t="e">
        <f>IF(Titanic_Dataset[[#This Row],[Survived]]=1,Titanic_Dataset[[#This Row],[Fare]],NA())</f>
        <v>#N/A</v>
      </c>
      <c r="Q774">
        <f>IF(Titanic_Dataset[[#This Row],[Survived]]=0,Titanic_Dataset[[#This Row],[Fare]],NA())</f>
        <v>10.5</v>
      </c>
      <c r="R774" t="str">
        <f>VLOOKUP(Titanic_Dataset[[#This Row],[Fare]],Table2[],2,TRUE)</f>
        <v>medium</v>
      </c>
      <c r="S774" s="1" t="s">
        <v>1528</v>
      </c>
      <c r="T774" s="1" t="s">
        <v>16</v>
      </c>
      <c r="U774" s="1"/>
      <c r="V774" s="1"/>
      <c r="W774" s="1"/>
    </row>
    <row r="775" spans="1:23" x14ac:dyDescent="0.25">
      <c r="A775">
        <v>774</v>
      </c>
      <c r="B775">
        <v>0</v>
      </c>
      <c r="C775" t="str">
        <f>IF(Titanic_Dataset[[#This Row],[Survived]]=1,"Survived","Died")</f>
        <v>Died</v>
      </c>
      <c r="D775">
        <v>3</v>
      </c>
      <c r="E775" t="str">
        <f>IF(Titanic_Dataset[[#This Row],[Pclass]]=1,"1st",IF(Titanic_Dataset[[#This Row],[Pclass]]=2,"2nd",IF(Titanic_Dataset[[#This Row],[Pclass]]=3,"3rd")))</f>
        <v>3rd</v>
      </c>
      <c r="F775" s="1" t="s">
        <v>1529</v>
      </c>
      <c r="G775" s="1" t="str">
        <f>TRIM(MID(Titanic_Dataset[[#This Row],[Name]],
FIND(",",Titanic_Dataset[[#This Row],[Name]])+2,
FIND(".",Titanic_Dataset[[#This Row],[Name]],FIND(",",Titanic_Dataset[[#This Row],[Name]]))-FIND(",",Titanic_Dataset[[#This Row],[Name]])-1))</f>
        <v>Mr.</v>
      </c>
      <c r="H775" s="1" t="s">
        <v>13</v>
      </c>
      <c r="I775">
        <v>28</v>
      </c>
      <c r="J77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75">
        <v>0</v>
      </c>
      <c r="L775">
        <v>0</v>
      </c>
      <c r="M775">
        <f>Titanic_Dataset[[#This Row],[Parch]]+Titanic_Dataset[[#This Row],[SibSp]]</f>
        <v>0</v>
      </c>
      <c r="N775" s="1" t="s">
        <v>1530</v>
      </c>
      <c r="O775">
        <v>7.2249999999999996</v>
      </c>
      <c r="P775" t="e">
        <f>IF(Titanic_Dataset[[#This Row],[Survived]]=1,Titanic_Dataset[[#This Row],[Fare]],NA())</f>
        <v>#N/A</v>
      </c>
      <c r="Q775">
        <f>IF(Titanic_Dataset[[#This Row],[Survived]]=0,Titanic_Dataset[[#This Row],[Fare]],NA())</f>
        <v>7.2249999999999996</v>
      </c>
      <c r="R775" t="str">
        <f>VLOOKUP(Titanic_Dataset[[#This Row],[Fare]],Table2[],2,TRUE)</f>
        <v>low</v>
      </c>
      <c r="S775" s="1" t="s">
        <v>15</v>
      </c>
      <c r="T775" s="1" t="s">
        <v>21</v>
      </c>
      <c r="U775" s="1"/>
      <c r="V775" s="1"/>
      <c r="W775" s="1"/>
    </row>
    <row r="776" spans="1:23" x14ac:dyDescent="0.25">
      <c r="A776">
        <v>775</v>
      </c>
      <c r="B776">
        <v>1</v>
      </c>
      <c r="C776" t="str">
        <f>IF(Titanic_Dataset[[#This Row],[Survived]]=1,"Survived","Died")</f>
        <v>Survived</v>
      </c>
      <c r="D776">
        <v>2</v>
      </c>
      <c r="E776" t="str">
        <f>IF(Titanic_Dataset[[#This Row],[Pclass]]=1,"1st",IF(Titanic_Dataset[[#This Row],[Pclass]]=2,"2nd",IF(Titanic_Dataset[[#This Row],[Pclass]]=3,"3rd")))</f>
        <v>2nd</v>
      </c>
      <c r="F776" s="1" t="s">
        <v>1531</v>
      </c>
      <c r="G776" s="1" t="str">
        <f>TRIM(MID(Titanic_Dataset[[#This Row],[Name]],
FIND(",",Titanic_Dataset[[#This Row],[Name]])+2,
FIND(".",Titanic_Dataset[[#This Row],[Name]],FIND(",",Titanic_Dataset[[#This Row],[Name]]))-FIND(",",Titanic_Dataset[[#This Row],[Name]])-1))</f>
        <v>Mrs.</v>
      </c>
      <c r="H776" s="1" t="s">
        <v>18</v>
      </c>
      <c r="I776">
        <v>54</v>
      </c>
      <c r="J776" t="str">
        <f>IF(Titanic_Dataset[[#This Row],[Age]]&lt;12,"0-11",
IF(Titanic_Dataset[[#This Row],[Age]]&lt;20,"12-19",
IF(Titanic_Dataset[[#This Row],[Age]]&lt;30,"20-29",
IF(Titanic_Dataset[[#This Row],[Age]]&lt;40,"30-39",
IF(Titanic_Dataset[[#This Row],[Age]]&lt;50,"40-49",
IF(Titanic_Dataset[[#This Row],[Age]]&lt;60,"50-59",
IF(Titanic_Dataset[[#This Row],[Age]]&lt;70,"60-69",)))))))</f>
        <v>50-59</v>
      </c>
      <c r="K776">
        <v>1</v>
      </c>
      <c r="L776">
        <v>3</v>
      </c>
      <c r="M776">
        <f>Titanic_Dataset[[#This Row],[Parch]]+Titanic_Dataset[[#This Row],[SibSp]]</f>
        <v>4</v>
      </c>
      <c r="N776" s="1" t="s">
        <v>1532</v>
      </c>
      <c r="O776">
        <v>23</v>
      </c>
      <c r="P776">
        <f>IF(Titanic_Dataset[[#This Row],[Survived]]=1,Titanic_Dataset[[#This Row],[Fare]],NA())</f>
        <v>23</v>
      </c>
      <c r="Q776" t="e">
        <f>IF(Titanic_Dataset[[#This Row],[Survived]]=0,Titanic_Dataset[[#This Row],[Fare]],NA())</f>
        <v>#N/A</v>
      </c>
      <c r="R776" t="str">
        <f>VLOOKUP(Titanic_Dataset[[#This Row],[Fare]],Table2[],2,TRUE)</f>
        <v>high</v>
      </c>
      <c r="S776" s="1" t="s">
        <v>15</v>
      </c>
      <c r="T776" s="1" t="s">
        <v>16</v>
      </c>
      <c r="U776" s="1"/>
      <c r="V776" s="1"/>
      <c r="W776" s="1"/>
    </row>
    <row r="777" spans="1:23" x14ac:dyDescent="0.25">
      <c r="A777">
        <v>776</v>
      </c>
      <c r="B777">
        <v>0</v>
      </c>
      <c r="C777" t="str">
        <f>IF(Titanic_Dataset[[#This Row],[Survived]]=1,"Survived","Died")</f>
        <v>Died</v>
      </c>
      <c r="D777">
        <v>3</v>
      </c>
      <c r="E777" t="str">
        <f>IF(Titanic_Dataset[[#This Row],[Pclass]]=1,"1st",IF(Titanic_Dataset[[#This Row],[Pclass]]=2,"2nd",IF(Titanic_Dataset[[#This Row],[Pclass]]=3,"3rd")))</f>
        <v>3rd</v>
      </c>
      <c r="F777" s="1" t="s">
        <v>1533</v>
      </c>
      <c r="G777" s="1" t="str">
        <f>TRIM(MID(Titanic_Dataset[[#This Row],[Name]],
FIND(",",Titanic_Dataset[[#This Row],[Name]])+2,
FIND(".",Titanic_Dataset[[#This Row],[Name]],FIND(",",Titanic_Dataset[[#This Row],[Name]]))-FIND(",",Titanic_Dataset[[#This Row],[Name]])-1))</f>
        <v>Mr.</v>
      </c>
      <c r="H777" s="1" t="s">
        <v>13</v>
      </c>
      <c r="I777">
        <v>18</v>
      </c>
      <c r="J777" t="str">
        <f>IF(Titanic_Dataset[[#This Row],[Age]]&lt;12,"0-11",
IF(Titanic_Dataset[[#This Row],[Age]]&lt;20,"12-19",
IF(Titanic_Dataset[[#This Row],[Age]]&lt;30,"20-29",
IF(Titanic_Dataset[[#This Row],[Age]]&lt;40,"30-39",
IF(Titanic_Dataset[[#This Row],[Age]]&lt;50,"40-49",
IF(Titanic_Dataset[[#This Row],[Age]]&lt;60,"50-59",
IF(Titanic_Dataset[[#This Row],[Age]]&lt;70,"60-69",)))))))</f>
        <v>12-19</v>
      </c>
      <c r="K777">
        <v>0</v>
      </c>
      <c r="L777">
        <v>0</v>
      </c>
      <c r="M777">
        <f>Titanic_Dataset[[#This Row],[Parch]]+Titanic_Dataset[[#This Row],[SibSp]]</f>
        <v>0</v>
      </c>
      <c r="N777" s="1" t="s">
        <v>1534</v>
      </c>
      <c r="O777">
        <v>7.75</v>
      </c>
      <c r="P777" t="e">
        <f>IF(Titanic_Dataset[[#This Row],[Survived]]=1,Titanic_Dataset[[#This Row],[Fare]],NA())</f>
        <v>#N/A</v>
      </c>
      <c r="Q777">
        <f>IF(Titanic_Dataset[[#This Row],[Survived]]=0,Titanic_Dataset[[#This Row],[Fare]],NA())</f>
        <v>7.75</v>
      </c>
      <c r="R777" t="str">
        <f>VLOOKUP(Titanic_Dataset[[#This Row],[Fare]],Table2[],2,TRUE)</f>
        <v>low</v>
      </c>
      <c r="S777" s="1" t="s">
        <v>15</v>
      </c>
      <c r="T777" s="1" t="s">
        <v>16</v>
      </c>
      <c r="U777" s="1"/>
      <c r="V777" s="1"/>
      <c r="W777" s="1"/>
    </row>
    <row r="778" spans="1:23" x14ac:dyDescent="0.25">
      <c r="A778">
        <v>777</v>
      </c>
      <c r="B778">
        <v>0</v>
      </c>
      <c r="C778" t="str">
        <f>IF(Titanic_Dataset[[#This Row],[Survived]]=1,"Survived","Died")</f>
        <v>Died</v>
      </c>
      <c r="D778">
        <v>3</v>
      </c>
      <c r="E778" t="str">
        <f>IF(Titanic_Dataset[[#This Row],[Pclass]]=1,"1st",IF(Titanic_Dataset[[#This Row],[Pclass]]=2,"2nd",IF(Titanic_Dataset[[#This Row],[Pclass]]=3,"3rd")))</f>
        <v>3rd</v>
      </c>
      <c r="F778" s="1" t="s">
        <v>1535</v>
      </c>
      <c r="G778" s="1" t="str">
        <f>TRIM(MID(Titanic_Dataset[[#This Row],[Name]],
FIND(",",Titanic_Dataset[[#This Row],[Name]])+2,
FIND(".",Titanic_Dataset[[#This Row],[Name]],FIND(",",Titanic_Dataset[[#This Row],[Name]]))-FIND(",",Titanic_Dataset[[#This Row],[Name]])-1))</f>
        <v>Mr.</v>
      </c>
      <c r="H778" s="1" t="s">
        <v>13</v>
      </c>
      <c r="I778">
        <v>28</v>
      </c>
      <c r="J77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78">
        <v>0</v>
      </c>
      <c r="L778">
        <v>0</v>
      </c>
      <c r="M778">
        <f>Titanic_Dataset[[#This Row],[Parch]]+Titanic_Dataset[[#This Row],[SibSp]]</f>
        <v>0</v>
      </c>
      <c r="N778" s="1" t="s">
        <v>1536</v>
      </c>
      <c r="O778">
        <v>7.75</v>
      </c>
      <c r="P778" t="e">
        <f>IF(Titanic_Dataset[[#This Row],[Survived]]=1,Titanic_Dataset[[#This Row],[Fare]],NA())</f>
        <v>#N/A</v>
      </c>
      <c r="Q778">
        <f>IF(Titanic_Dataset[[#This Row],[Survived]]=0,Titanic_Dataset[[#This Row],[Fare]],NA())</f>
        <v>7.75</v>
      </c>
      <c r="R778" t="str">
        <f>VLOOKUP(Titanic_Dataset[[#This Row],[Fare]],Table2[],2,TRUE)</f>
        <v>low</v>
      </c>
      <c r="S778" s="1" t="s">
        <v>1537</v>
      </c>
      <c r="T778" s="1" t="s">
        <v>31</v>
      </c>
      <c r="U778" s="1"/>
      <c r="V778" s="1"/>
      <c r="W778" s="1"/>
    </row>
    <row r="779" spans="1:23" x14ac:dyDescent="0.25">
      <c r="A779">
        <v>778</v>
      </c>
      <c r="B779">
        <v>1</v>
      </c>
      <c r="C779" t="str">
        <f>IF(Titanic_Dataset[[#This Row],[Survived]]=1,"Survived","Died")</f>
        <v>Survived</v>
      </c>
      <c r="D779">
        <v>3</v>
      </c>
      <c r="E779" t="str">
        <f>IF(Titanic_Dataset[[#This Row],[Pclass]]=1,"1st",IF(Titanic_Dataset[[#This Row],[Pclass]]=2,"2nd",IF(Titanic_Dataset[[#This Row],[Pclass]]=3,"3rd")))</f>
        <v>3rd</v>
      </c>
      <c r="F779" s="1" t="s">
        <v>1538</v>
      </c>
      <c r="G779" s="1" t="str">
        <f>TRIM(MID(Titanic_Dataset[[#This Row],[Name]],
FIND(",",Titanic_Dataset[[#This Row],[Name]])+2,
FIND(".",Titanic_Dataset[[#This Row],[Name]],FIND(",",Titanic_Dataset[[#This Row],[Name]]))-FIND(",",Titanic_Dataset[[#This Row],[Name]])-1))</f>
        <v>Miss.</v>
      </c>
      <c r="H779" s="1" t="s">
        <v>18</v>
      </c>
      <c r="I779">
        <v>5</v>
      </c>
      <c r="J779" t="str">
        <f>IF(Titanic_Dataset[[#This Row],[Age]]&lt;12,"0-11",
IF(Titanic_Dataset[[#This Row],[Age]]&lt;20,"12-19",
IF(Titanic_Dataset[[#This Row],[Age]]&lt;30,"20-29",
IF(Titanic_Dataset[[#This Row],[Age]]&lt;40,"30-39",
IF(Titanic_Dataset[[#This Row],[Age]]&lt;50,"40-49",
IF(Titanic_Dataset[[#This Row],[Age]]&lt;60,"50-59",
IF(Titanic_Dataset[[#This Row],[Age]]&lt;70,"60-69",)))))))</f>
        <v>0-11</v>
      </c>
      <c r="K779">
        <v>0</v>
      </c>
      <c r="L779">
        <v>0</v>
      </c>
      <c r="M779">
        <f>Titanic_Dataset[[#This Row],[Parch]]+Titanic_Dataset[[#This Row],[SibSp]]</f>
        <v>0</v>
      </c>
      <c r="N779" s="1" t="s">
        <v>191</v>
      </c>
      <c r="O779">
        <v>12.475</v>
      </c>
      <c r="P779">
        <f>IF(Titanic_Dataset[[#This Row],[Survived]]=1,Titanic_Dataset[[#This Row],[Fare]],NA())</f>
        <v>12.475</v>
      </c>
      <c r="Q779" t="e">
        <f>IF(Titanic_Dataset[[#This Row],[Survived]]=0,Titanic_Dataset[[#This Row],[Fare]],NA())</f>
        <v>#N/A</v>
      </c>
      <c r="R779" t="str">
        <f>VLOOKUP(Titanic_Dataset[[#This Row],[Fare]],Table2[],2,TRUE)</f>
        <v>medium</v>
      </c>
      <c r="S779" s="1" t="s">
        <v>15</v>
      </c>
      <c r="T779" s="1" t="s">
        <v>16</v>
      </c>
      <c r="U779" s="1"/>
      <c r="V779" s="1"/>
      <c r="W779" s="1"/>
    </row>
    <row r="780" spans="1:23" x14ac:dyDescent="0.25">
      <c r="A780">
        <v>779</v>
      </c>
      <c r="B780">
        <v>0</v>
      </c>
      <c r="C780" t="str">
        <f>IF(Titanic_Dataset[[#This Row],[Survived]]=1,"Survived","Died")</f>
        <v>Died</v>
      </c>
      <c r="D780">
        <v>3</v>
      </c>
      <c r="E780" t="str">
        <f>IF(Titanic_Dataset[[#This Row],[Pclass]]=1,"1st",IF(Titanic_Dataset[[#This Row],[Pclass]]=2,"2nd",IF(Titanic_Dataset[[#This Row],[Pclass]]=3,"3rd")))</f>
        <v>3rd</v>
      </c>
      <c r="F780" s="1" t="s">
        <v>1539</v>
      </c>
      <c r="G780" s="1" t="str">
        <f>TRIM(MID(Titanic_Dataset[[#This Row],[Name]],
FIND(",",Titanic_Dataset[[#This Row],[Name]])+2,
FIND(".",Titanic_Dataset[[#This Row],[Name]],FIND(",",Titanic_Dataset[[#This Row],[Name]]))-FIND(",",Titanic_Dataset[[#This Row],[Name]])-1))</f>
        <v>Mr.</v>
      </c>
      <c r="H780" s="1" t="s">
        <v>13</v>
      </c>
      <c r="I780">
        <v>28</v>
      </c>
      <c r="J78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80">
        <v>0</v>
      </c>
      <c r="L780">
        <v>0</v>
      </c>
      <c r="M780">
        <f>Titanic_Dataset[[#This Row],[Parch]]+Titanic_Dataset[[#This Row],[SibSp]]</f>
        <v>0</v>
      </c>
      <c r="N780" s="1" t="s">
        <v>1540</v>
      </c>
      <c r="O780">
        <v>7.7374999999999998</v>
      </c>
      <c r="P780" t="e">
        <f>IF(Titanic_Dataset[[#This Row],[Survived]]=1,Titanic_Dataset[[#This Row],[Fare]],NA())</f>
        <v>#N/A</v>
      </c>
      <c r="Q780">
        <f>IF(Titanic_Dataset[[#This Row],[Survived]]=0,Titanic_Dataset[[#This Row],[Fare]],NA())</f>
        <v>7.7374999999999998</v>
      </c>
      <c r="R780" t="str">
        <f>VLOOKUP(Titanic_Dataset[[#This Row],[Fare]],Table2[],2,TRUE)</f>
        <v>low</v>
      </c>
      <c r="S780" s="1" t="s">
        <v>15</v>
      </c>
      <c r="T780" s="1" t="s">
        <v>31</v>
      </c>
      <c r="U780" s="1"/>
      <c r="V780" s="1"/>
      <c r="W780" s="1"/>
    </row>
    <row r="781" spans="1:23" x14ac:dyDescent="0.25">
      <c r="A781">
        <v>780</v>
      </c>
      <c r="B781">
        <v>1</v>
      </c>
      <c r="C781" t="str">
        <f>IF(Titanic_Dataset[[#This Row],[Survived]]=1,"Survived","Died")</f>
        <v>Survived</v>
      </c>
      <c r="D781">
        <v>1</v>
      </c>
      <c r="E781" t="str">
        <f>IF(Titanic_Dataset[[#This Row],[Pclass]]=1,"1st",IF(Titanic_Dataset[[#This Row],[Pclass]]=2,"2nd",IF(Titanic_Dataset[[#This Row],[Pclass]]=3,"3rd")))</f>
        <v>1st</v>
      </c>
      <c r="F781" s="1" t="s">
        <v>1541</v>
      </c>
      <c r="G781" s="1" t="str">
        <f>TRIM(MID(Titanic_Dataset[[#This Row],[Name]],
FIND(",",Titanic_Dataset[[#This Row],[Name]])+2,
FIND(".",Titanic_Dataset[[#This Row],[Name]],FIND(",",Titanic_Dataset[[#This Row],[Name]]))-FIND(",",Titanic_Dataset[[#This Row],[Name]])-1))</f>
        <v>Mrs.</v>
      </c>
      <c r="H781" s="1" t="s">
        <v>18</v>
      </c>
      <c r="I781">
        <v>43</v>
      </c>
      <c r="J781" t="str">
        <f>IF(Titanic_Dataset[[#This Row],[Age]]&lt;12,"0-11",
IF(Titanic_Dataset[[#This Row],[Age]]&lt;20,"12-19",
IF(Titanic_Dataset[[#This Row],[Age]]&lt;30,"20-29",
IF(Titanic_Dataset[[#This Row],[Age]]&lt;40,"30-39",
IF(Titanic_Dataset[[#This Row],[Age]]&lt;50,"40-49",
IF(Titanic_Dataset[[#This Row],[Age]]&lt;60,"50-59",
IF(Titanic_Dataset[[#This Row],[Age]]&lt;70,"60-69",)))))))</f>
        <v>40-49</v>
      </c>
      <c r="K781">
        <v>0</v>
      </c>
      <c r="L781">
        <v>1</v>
      </c>
      <c r="M781">
        <f>Titanic_Dataset[[#This Row],[Parch]]+Titanic_Dataset[[#This Row],[SibSp]]</f>
        <v>1</v>
      </c>
      <c r="N781" s="1" t="s">
        <v>1374</v>
      </c>
      <c r="O781">
        <v>211.33750000000001</v>
      </c>
      <c r="P781">
        <f>IF(Titanic_Dataset[[#This Row],[Survived]]=1,Titanic_Dataset[[#This Row],[Fare]],NA())</f>
        <v>211.33750000000001</v>
      </c>
      <c r="Q781" t="e">
        <f>IF(Titanic_Dataset[[#This Row],[Survived]]=0,Titanic_Dataset[[#This Row],[Fare]],NA())</f>
        <v>#N/A</v>
      </c>
      <c r="R781" t="str">
        <f>VLOOKUP(Titanic_Dataset[[#This Row],[Fare]],Table2[],2,TRUE)</f>
        <v>very hiegh</v>
      </c>
      <c r="S781" s="1" t="s">
        <v>1542</v>
      </c>
      <c r="T781" s="1" t="s">
        <v>16</v>
      </c>
      <c r="U781" s="1"/>
      <c r="V781" s="1"/>
      <c r="W781" s="1"/>
    </row>
    <row r="782" spans="1:23" x14ac:dyDescent="0.25">
      <c r="A782">
        <v>781</v>
      </c>
      <c r="B782">
        <v>1</v>
      </c>
      <c r="C782" t="str">
        <f>IF(Titanic_Dataset[[#This Row],[Survived]]=1,"Survived","Died")</f>
        <v>Survived</v>
      </c>
      <c r="D782">
        <v>3</v>
      </c>
      <c r="E782" t="str">
        <f>IF(Titanic_Dataset[[#This Row],[Pclass]]=1,"1st",IF(Titanic_Dataset[[#This Row],[Pclass]]=2,"2nd",IF(Titanic_Dataset[[#This Row],[Pclass]]=3,"3rd")))</f>
        <v>3rd</v>
      </c>
      <c r="F782" s="1" t="s">
        <v>1543</v>
      </c>
      <c r="G782" s="1" t="str">
        <f>TRIM(MID(Titanic_Dataset[[#This Row],[Name]],
FIND(",",Titanic_Dataset[[#This Row],[Name]])+2,
FIND(".",Titanic_Dataset[[#This Row],[Name]],FIND(",",Titanic_Dataset[[#This Row],[Name]]))-FIND(",",Titanic_Dataset[[#This Row],[Name]])-1))</f>
        <v>Miss.</v>
      </c>
      <c r="H782" s="1" t="s">
        <v>18</v>
      </c>
      <c r="I782">
        <v>13</v>
      </c>
      <c r="J782" t="str">
        <f>IF(Titanic_Dataset[[#This Row],[Age]]&lt;12,"0-11",
IF(Titanic_Dataset[[#This Row],[Age]]&lt;20,"12-19",
IF(Titanic_Dataset[[#This Row],[Age]]&lt;30,"20-29",
IF(Titanic_Dataset[[#This Row],[Age]]&lt;40,"30-39",
IF(Titanic_Dataset[[#This Row],[Age]]&lt;50,"40-49",
IF(Titanic_Dataset[[#This Row],[Age]]&lt;60,"50-59",
IF(Titanic_Dataset[[#This Row],[Age]]&lt;70,"60-69",)))))))</f>
        <v>12-19</v>
      </c>
      <c r="K782">
        <v>0</v>
      </c>
      <c r="L782">
        <v>0</v>
      </c>
      <c r="M782">
        <f>Titanic_Dataset[[#This Row],[Parch]]+Titanic_Dataset[[#This Row],[SibSp]]</f>
        <v>0</v>
      </c>
      <c r="N782" s="1" t="s">
        <v>1544</v>
      </c>
      <c r="O782">
        <v>7.2291999999999996</v>
      </c>
      <c r="P782">
        <f>IF(Titanic_Dataset[[#This Row],[Survived]]=1,Titanic_Dataset[[#This Row],[Fare]],NA())</f>
        <v>7.2291999999999996</v>
      </c>
      <c r="Q782" t="e">
        <f>IF(Titanic_Dataset[[#This Row],[Survived]]=0,Titanic_Dataset[[#This Row],[Fare]],NA())</f>
        <v>#N/A</v>
      </c>
      <c r="R782" t="str">
        <f>VLOOKUP(Titanic_Dataset[[#This Row],[Fare]],Table2[],2,TRUE)</f>
        <v>low</v>
      </c>
      <c r="S782" s="1" t="s">
        <v>15</v>
      </c>
      <c r="T782" s="1" t="s">
        <v>21</v>
      </c>
      <c r="U782" s="1"/>
      <c r="V782" s="1"/>
      <c r="W782" s="1"/>
    </row>
    <row r="783" spans="1:23" x14ac:dyDescent="0.25">
      <c r="A783">
        <v>782</v>
      </c>
      <c r="B783">
        <v>1</v>
      </c>
      <c r="C783" t="str">
        <f>IF(Titanic_Dataset[[#This Row],[Survived]]=1,"Survived","Died")</f>
        <v>Survived</v>
      </c>
      <c r="D783">
        <v>1</v>
      </c>
      <c r="E783" t="str">
        <f>IF(Titanic_Dataset[[#This Row],[Pclass]]=1,"1st",IF(Titanic_Dataset[[#This Row],[Pclass]]=2,"2nd",IF(Titanic_Dataset[[#This Row],[Pclass]]=3,"3rd")))</f>
        <v>1st</v>
      </c>
      <c r="F783" s="1" t="s">
        <v>1545</v>
      </c>
      <c r="G783" s="1" t="str">
        <f>TRIM(MID(Titanic_Dataset[[#This Row],[Name]],
FIND(",",Titanic_Dataset[[#This Row],[Name]])+2,
FIND(".",Titanic_Dataset[[#This Row],[Name]],FIND(",",Titanic_Dataset[[#This Row],[Name]]))-FIND(",",Titanic_Dataset[[#This Row],[Name]])-1))</f>
        <v>Mrs.</v>
      </c>
      <c r="H783" s="1" t="s">
        <v>18</v>
      </c>
      <c r="I783">
        <v>17</v>
      </c>
      <c r="J783" t="str">
        <f>IF(Titanic_Dataset[[#This Row],[Age]]&lt;12,"0-11",
IF(Titanic_Dataset[[#This Row],[Age]]&lt;20,"12-19",
IF(Titanic_Dataset[[#This Row],[Age]]&lt;30,"20-29",
IF(Titanic_Dataset[[#This Row],[Age]]&lt;40,"30-39",
IF(Titanic_Dataset[[#This Row],[Age]]&lt;50,"40-49",
IF(Titanic_Dataset[[#This Row],[Age]]&lt;60,"50-59",
IF(Titanic_Dataset[[#This Row],[Age]]&lt;70,"60-69",)))))))</f>
        <v>12-19</v>
      </c>
      <c r="K783">
        <v>1</v>
      </c>
      <c r="L783">
        <v>0</v>
      </c>
      <c r="M783">
        <f>Titanic_Dataset[[#This Row],[Parch]]+Titanic_Dataset[[#This Row],[SibSp]]</f>
        <v>1</v>
      </c>
      <c r="N783" s="1" t="s">
        <v>1377</v>
      </c>
      <c r="O783">
        <v>57</v>
      </c>
      <c r="P783">
        <f>IF(Titanic_Dataset[[#This Row],[Survived]]=1,Titanic_Dataset[[#This Row],[Fare]],NA())</f>
        <v>57</v>
      </c>
      <c r="Q783" t="e">
        <f>IF(Titanic_Dataset[[#This Row],[Survived]]=0,Titanic_Dataset[[#This Row],[Fare]],NA())</f>
        <v>#N/A</v>
      </c>
      <c r="R783" t="str">
        <f>VLOOKUP(Titanic_Dataset[[#This Row],[Fare]],Table2[],2,TRUE)</f>
        <v>very hiegh</v>
      </c>
      <c r="S783" s="1" t="s">
        <v>1378</v>
      </c>
      <c r="T783" s="1" t="s">
        <v>16</v>
      </c>
      <c r="U783" s="1"/>
      <c r="V783" s="1"/>
      <c r="W783" s="1"/>
    </row>
    <row r="784" spans="1:23" x14ac:dyDescent="0.25">
      <c r="A784">
        <v>783</v>
      </c>
      <c r="B784">
        <v>0</v>
      </c>
      <c r="C784" t="str">
        <f>IF(Titanic_Dataset[[#This Row],[Survived]]=1,"Survived","Died")</f>
        <v>Died</v>
      </c>
      <c r="D784">
        <v>1</v>
      </c>
      <c r="E784" t="str">
        <f>IF(Titanic_Dataset[[#This Row],[Pclass]]=1,"1st",IF(Titanic_Dataset[[#This Row],[Pclass]]=2,"2nd",IF(Titanic_Dataset[[#This Row],[Pclass]]=3,"3rd")))</f>
        <v>1st</v>
      </c>
      <c r="F784" s="1" t="s">
        <v>1546</v>
      </c>
      <c r="G784" s="1" t="str">
        <f>TRIM(MID(Titanic_Dataset[[#This Row],[Name]],
FIND(",",Titanic_Dataset[[#This Row],[Name]])+2,
FIND(".",Titanic_Dataset[[#This Row],[Name]],FIND(",",Titanic_Dataset[[#This Row],[Name]]))-FIND(",",Titanic_Dataset[[#This Row],[Name]])-1))</f>
        <v>Mr.</v>
      </c>
      <c r="H784" s="1" t="s">
        <v>13</v>
      </c>
      <c r="I784">
        <v>29</v>
      </c>
      <c r="J78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84">
        <v>0</v>
      </c>
      <c r="L784">
        <v>0</v>
      </c>
      <c r="M784">
        <f>Titanic_Dataset[[#This Row],[Parch]]+Titanic_Dataset[[#This Row],[SibSp]]</f>
        <v>0</v>
      </c>
      <c r="N784" s="1" t="s">
        <v>1547</v>
      </c>
      <c r="O784">
        <v>30</v>
      </c>
      <c r="P784" t="e">
        <f>IF(Titanic_Dataset[[#This Row],[Survived]]=1,Titanic_Dataset[[#This Row],[Fare]],NA())</f>
        <v>#N/A</v>
      </c>
      <c r="Q784">
        <f>IF(Titanic_Dataset[[#This Row],[Survived]]=0,Titanic_Dataset[[#This Row],[Fare]],NA())</f>
        <v>30</v>
      </c>
      <c r="R784" t="str">
        <f>VLOOKUP(Titanic_Dataset[[#This Row],[Fare]],Table2[],2,TRUE)</f>
        <v>very hiegh</v>
      </c>
      <c r="S784" s="1" t="s">
        <v>1548</v>
      </c>
      <c r="T784" s="1" t="s">
        <v>16</v>
      </c>
      <c r="U784" s="1"/>
      <c r="V784" s="1"/>
      <c r="W784" s="1"/>
    </row>
    <row r="785" spans="1:23" x14ac:dyDescent="0.25">
      <c r="A785">
        <v>784</v>
      </c>
      <c r="B785">
        <v>0</v>
      </c>
      <c r="C785" t="str">
        <f>IF(Titanic_Dataset[[#This Row],[Survived]]=1,"Survived","Died")</f>
        <v>Died</v>
      </c>
      <c r="D785">
        <v>3</v>
      </c>
      <c r="E785" t="str">
        <f>IF(Titanic_Dataset[[#This Row],[Pclass]]=1,"1st",IF(Titanic_Dataset[[#This Row],[Pclass]]=2,"2nd",IF(Titanic_Dataset[[#This Row],[Pclass]]=3,"3rd")))</f>
        <v>3rd</v>
      </c>
      <c r="F785" s="1" t="s">
        <v>1549</v>
      </c>
      <c r="G785" s="1" t="str">
        <f>TRIM(MID(Titanic_Dataset[[#This Row],[Name]],
FIND(",",Titanic_Dataset[[#This Row],[Name]])+2,
FIND(".",Titanic_Dataset[[#This Row],[Name]],FIND(",",Titanic_Dataset[[#This Row],[Name]]))-FIND(",",Titanic_Dataset[[#This Row],[Name]])-1))</f>
        <v>Mr.</v>
      </c>
      <c r="H785" s="1" t="s">
        <v>13</v>
      </c>
      <c r="I785">
        <v>28</v>
      </c>
      <c r="J78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85">
        <v>1</v>
      </c>
      <c r="L785">
        <v>2</v>
      </c>
      <c r="M785">
        <f>Titanic_Dataset[[#This Row],[Parch]]+Titanic_Dataset[[#This Row],[SibSp]]</f>
        <v>3</v>
      </c>
      <c r="N785" s="1" t="s">
        <v>1550</v>
      </c>
      <c r="O785">
        <v>23.45</v>
      </c>
      <c r="P785" t="e">
        <f>IF(Titanic_Dataset[[#This Row],[Survived]]=1,Titanic_Dataset[[#This Row],[Fare]],NA())</f>
        <v>#N/A</v>
      </c>
      <c r="Q785">
        <f>IF(Titanic_Dataset[[#This Row],[Survived]]=0,Titanic_Dataset[[#This Row],[Fare]],NA())</f>
        <v>23.45</v>
      </c>
      <c r="R785" t="str">
        <f>VLOOKUP(Titanic_Dataset[[#This Row],[Fare]],Table2[],2,TRUE)</f>
        <v>high</v>
      </c>
      <c r="S785" s="1" t="s">
        <v>15</v>
      </c>
      <c r="T785" s="1" t="s">
        <v>16</v>
      </c>
      <c r="U785" s="1"/>
      <c r="V785" s="1"/>
      <c r="W785" s="1"/>
    </row>
    <row r="786" spans="1:23" x14ac:dyDescent="0.25">
      <c r="A786">
        <v>785</v>
      </c>
      <c r="B786">
        <v>0</v>
      </c>
      <c r="C786" t="str">
        <f>IF(Titanic_Dataset[[#This Row],[Survived]]=1,"Survived","Died")</f>
        <v>Died</v>
      </c>
      <c r="D786">
        <v>3</v>
      </c>
      <c r="E786" t="str">
        <f>IF(Titanic_Dataset[[#This Row],[Pclass]]=1,"1st",IF(Titanic_Dataset[[#This Row],[Pclass]]=2,"2nd",IF(Titanic_Dataset[[#This Row],[Pclass]]=3,"3rd")))</f>
        <v>3rd</v>
      </c>
      <c r="F786" s="1" t="s">
        <v>1551</v>
      </c>
      <c r="G786" s="1" t="str">
        <f>TRIM(MID(Titanic_Dataset[[#This Row],[Name]],
FIND(",",Titanic_Dataset[[#This Row],[Name]])+2,
FIND(".",Titanic_Dataset[[#This Row],[Name]],FIND(",",Titanic_Dataset[[#This Row],[Name]]))-FIND(",",Titanic_Dataset[[#This Row],[Name]])-1))</f>
        <v>Mr.</v>
      </c>
      <c r="H786" s="1" t="s">
        <v>13</v>
      </c>
      <c r="I786">
        <v>25</v>
      </c>
      <c r="J78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86">
        <v>0</v>
      </c>
      <c r="L786">
        <v>0</v>
      </c>
      <c r="M786">
        <f>Titanic_Dataset[[#This Row],[Parch]]+Titanic_Dataset[[#This Row],[SibSp]]</f>
        <v>0</v>
      </c>
      <c r="N786" s="1" t="s">
        <v>1552</v>
      </c>
      <c r="O786">
        <v>7.05</v>
      </c>
      <c r="P786" t="e">
        <f>IF(Titanic_Dataset[[#This Row],[Survived]]=1,Titanic_Dataset[[#This Row],[Fare]],NA())</f>
        <v>#N/A</v>
      </c>
      <c r="Q786">
        <f>IF(Titanic_Dataset[[#This Row],[Survived]]=0,Titanic_Dataset[[#This Row],[Fare]],NA())</f>
        <v>7.05</v>
      </c>
      <c r="R786" t="str">
        <f>VLOOKUP(Titanic_Dataset[[#This Row],[Fare]],Table2[],2,TRUE)</f>
        <v>low</v>
      </c>
      <c r="S786" s="1" t="s">
        <v>15</v>
      </c>
      <c r="T786" s="1" t="s">
        <v>16</v>
      </c>
      <c r="U786" s="1"/>
      <c r="V786" s="1"/>
      <c r="W786" s="1"/>
    </row>
    <row r="787" spans="1:23" x14ac:dyDescent="0.25">
      <c r="A787">
        <v>786</v>
      </c>
      <c r="B787">
        <v>0</v>
      </c>
      <c r="C787" t="str">
        <f>IF(Titanic_Dataset[[#This Row],[Survived]]=1,"Survived","Died")</f>
        <v>Died</v>
      </c>
      <c r="D787">
        <v>3</v>
      </c>
      <c r="E787" t="str">
        <f>IF(Titanic_Dataset[[#This Row],[Pclass]]=1,"1st",IF(Titanic_Dataset[[#This Row],[Pclass]]=2,"2nd",IF(Titanic_Dataset[[#This Row],[Pclass]]=3,"3rd")))</f>
        <v>3rd</v>
      </c>
      <c r="F787" s="1" t="s">
        <v>1553</v>
      </c>
      <c r="G787" s="1" t="str">
        <f>TRIM(MID(Titanic_Dataset[[#This Row],[Name]],
FIND(",",Titanic_Dataset[[#This Row],[Name]])+2,
FIND(".",Titanic_Dataset[[#This Row],[Name]],FIND(",",Titanic_Dataset[[#This Row],[Name]]))-FIND(",",Titanic_Dataset[[#This Row],[Name]])-1))</f>
        <v>Mr.</v>
      </c>
      <c r="H787" s="1" t="s">
        <v>13</v>
      </c>
      <c r="I787">
        <v>25</v>
      </c>
      <c r="J78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87">
        <v>0</v>
      </c>
      <c r="L787">
        <v>0</v>
      </c>
      <c r="M787">
        <f>Titanic_Dataset[[#This Row],[Parch]]+Titanic_Dataset[[#This Row],[SibSp]]</f>
        <v>0</v>
      </c>
      <c r="N787" s="1" t="s">
        <v>1554</v>
      </c>
      <c r="O787">
        <v>7.25</v>
      </c>
      <c r="P787" t="e">
        <f>IF(Titanic_Dataset[[#This Row],[Survived]]=1,Titanic_Dataset[[#This Row],[Fare]],NA())</f>
        <v>#N/A</v>
      </c>
      <c r="Q787">
        <f>IF(Titanic_Dataset[[#This Row],[Survived]]=0,Titanic_Dataset[[#This Row],[Fare]],NA())</f>
        <v>7.25</v>
      </c>
      <c r="R787" t="str">
        <f>VLOOKUP(Titanic_Dataset[[#This Row],[Fare]],Table2[],2,TRUE)</f>
        <v>low</v>
      </c>
      <c r="S787" s="1" t="s">
        <v>15</v>
      </c>
      <c r="T787" s="1" t="s">
        <v>16</v>
      </c>
      <c r="U787" s="1"/>
      <c r="V787" s="1"/>
      <c r="W787" s="1"/>
    </row>
    <row r="788" spans="1:23" x14ac:dyDescent="0.25">
      <c r="A788">
        <v>787</v>
      </c>
      <c r="B788">
        <v>1</v>
      </c>
      <c r="C788" t="str">
        <f>IF(Titanic_Dataset[[#This Row],[Survived]]=1,"Survived","Died")</f>
        <v>Survived</v>
      </c>
      <c r="D788">
        <v>3</v>
      </c>
      <c r="E788" t="str">
        <f>IF(Titanic_Dataset[[#This Row],[Pclass]]=1,"1st",IF(Titanic_Dataset[[#This Row],[Pclass]]=2,"2nd",IF(Titanic_Dataset[[#This Row],[Pclass]]=3,"3rd")))</f>
        <v>3rd</v>
      </c>
      <c r="F788" s="1" t="s">
        <v>1555</v>
      </c>
      <c r="G788" s="1" t="str">
        <f>TRIM(MID(Titanic_Dataset[[#This Row],[Name]],
FIND(",",Titanic_Dataset[[#This Row],[Name]])+2,
FIND(".",Titanic_Dataset[[#This Row],[Name]],FIND(",",Titanic_Dataset[[#This Row],[Name]]))-FIND(",",Titanic_Dataset[[#This Row],[Name]])-1))</f>
        <v>Miss.</v>
      </c>
      <c r="H788" s="1" t="s">
        <v>18</v>
      </c>
      <c r="I788">
        <v>18</v>
      </c>
      <c r="J788" t="str">
        <f>IF(Titanic_Dataset[[#This Row],[Age]]&lt;12,"0-11",
IF(Titanic_Dataset[[#This Row],[Age]]&lt;20,"12-19",
IF(Titanic_Dataset[[#This Row],[Age]]&lt;30,"20-29",
IF(Titanic_Dataset[[#This Row],[Age]]&lt;40,"30-39",
IF(Titanic_Dataset[[#This Row],[Age]]&lt;50,"40-49",
IF(Titanic_Dataset[[#This Row],[Age]]&lt;60,"50-59",
IF(Titanic_Dataset[[#This Row],[Age]]&lt;70,"60-69",)))))))</f>
        <v>12-19</v>
      </c>
      <c r="K788">
        <v>0</v>
      </c>
      <c r="L788">
        <v>0</v>
      </c>
      <c r="M788">
        <f>Titanic_Dataset[[#This Row],[Parch]]+Titanic_Dataset[[#This Row],[SibSp]]</f>
        <v>0</v>
      </c>
      <c r="N788" s="1" t="s">
        <v>1556</v>
      </c>
      <c r="O788">
        <v>7.4958</v>
      </c>
      <c r="P788">
        <f>IF(Titanic_Dataset[[#This Row],[Survived]]=1,Titanic_Dataset[[#This Row],[Fare]],NA())</f>
        <v>7.4958</v>
      </c>
      <c r="Q788" t="e">
        <f>IF(Titanic_Dataset[[#This Row],[Survived]]=0,Titanic_Dataset[[#This Row],[Fare]],NA())</f>
        <v>#N/A</v>
      </c>
      <c r="R788" t="str">
        <f>VLOOKUP(Titanic_Dataset[[#This Row],[Fare]],Table2[],2,TRUE)</f>
        <v>low</v>
      </c>
      <c r="S788" s="1" t="s">
        <v>15</v>
      </c>
      <c r="T788" s="1" t="s">
        <v>16</v>
      </c>
      <c r="U788" s="1"/>
      <c r="V788" s="1"/>
      <c r="W788" s="1"/>
    </row>
    <row r="789" spans="1:23" x14ac:dyDescent="0.25">
      <c r="A789">
        <v>788</v>
      </c>
      <c r="B789">
        <v>0</v>
      </c>
      <c r="C789" t="str">
        <f>IF(Titanic_Dataset[[#This Row],[Survived]]=1,"Survived","Died")</f>
        <v>Died</v>
      </c>
      <c r="D789">
        <v>3</v>
      </c>
      <c r="E789" t="str">
        <f>IF(Titanic_Dataset[[#This Row],[Pclass]]=1,"1st",IF(Titanic_Dataset[[#This Row],[Pclass]]=2,"2nd",IF(Titanic_Dataset[[#This Row],[Pclass]]=3,"3rd")))</f>
        <v>3rd</v>
      </c>
      <c r="F789" s="1" t="s">
        <v>1557</v>
      </c>
      <c r="G789" s="1" t="str">
        <f>TRIM(MID(Titanic_Dataset[[#This Row],[Name]],
FIND(",",Titanic_Dataset[[#This Row],[Name]])+2,
FIND(".",Titanic_Dataset[[#This Row],[Name]],FIND(",",Titanic_Dataset[[#This Row],[Name]]))-FIND(",",Titanic_Dataset[[#This Row],[Name]])-1))</f>
        <v>Master.</v>
      </c>
      <c r="H789" s="1" t="s">
        <v>13</v>
      </c>
      <c r="I789">
        <v>8</v>
      </c>
      <c r="J789" t="str">
        <f>IF(Titanic_Dataset[[#This Row],[Age]]&lt;12,"0-11",
IF(Titanic_Dataset[[#This Row],[Age]]&lt;20,"12-19",
IF(Titanic_Dataset[[#This Row],[Age]]&lt;30,"20-29",
IF(Titanic_Dataset[[#This Row],[Age]]&lt;40,"30-39",
IF(Titanic_Dataset[[#This Row],[Age]]&lt;50,"40-49",
IF(Titanic_Dataset[[#This Row],[Age]]&lt;60,"50-59",
IF(Titanic_Dataset[[#This Row],[Age]]&lt;70,"60-69",)))))))</f>
        <v>0-11</v>
      </c>
      <c r="K789">
        <v>4</v>
      </c>
      <c r="L789">
        <v>1</v>
      </c>
      <c r="M789">
        <f>Titanic_Dataset[[#This Row],[Parch]]+Titanic_Dataset[[#This Row],[SibSp]]</f>
        <v>5</v>
      </c>
      <c r="N789" s="1" t="s">
        <v>56</v>
      </c>
      <c r="O789">
        <v>29.125</v>
      </c>
      <c r="P789" t="e">
        <f>IF(Titanic_Dataset[[#This Row],[Survived]]=1,Titanic_Dataset[[#This Row],[Fare]],NA())</f>
        <v>#N/A</v>
      </c>
      <c r="Q789">
        <f>IF(Titanic_Dataset[[#This Row],[Survived]]=0,Titanic_Dataset[[#This Row],[Fare]],NA())</f>
        <v>29.125</v>
      </c>
      <c r="R789" t="str">
        <f>VLOOKUP(Titanic_Dataset[[#This Row],[Fare]],Table2[],2,TRUE)</f>
        <v>high</v>
      </c>
      <c r="S789" s="1" t="s">
        <v>15</v>
      </c>
      <c r="T789" s="1" t="s">
        <v>31</v>
      </c>
      <c r="U789" s="1"/>
      <c r="V789" s="1"/>
      <c r="W789" s="1"/>
    </row>
    <row r="790" spans="1:23" x14ac:dyDescent="0.25">
      <c r="A790">
        <v>789</v>
      </c>
      <c r="B790">
        <v>1</v>
      </c>
      <c r="C790" t="str">
        <f>IF(Titanic_Dataset[[#This Row],[Survived]]=1,"Survived","Died")</f>
        <v>Survived</v>
      </c>
      <c r="D790">
        <v>3</v>
      </c>
      <c r="E790" t="str">
        <f>IF(Titanic_Dataset[[#This Row],[Pclass]]=1,"1st",IF(Titanic_Dataset[[#This Row],[Pclass]]=2,"2nd",IF(Titanic_Dataset[[#This Row],[Pclass]]=3,"3rd")))</f>
        <v>3rd</v>
      </c>
      <c r="F790" s="1" t="s">
        <v>1558</v>
      </c>
      <c r="G790" s="1" t="str">
        <f>TRIM(MID(Titanic_Dataset[[#This Row],[Name]],
FIND(",",Titanic_Dataset[[#This Row],[Name]])+2,
FIND(".",Titanic_Dataset[[#This Row],[Name]],FIND(",",Titanic_Dataset[[#This Row],[Name]]))-FIND(",",Titanic_Dataset[[#This Row],[Name]])-1))</f>
        <v>Master.</v>
      </c>
      <c r="H790" s="1" t="s">
        <v>13</v>
      </c>
      <c r="I790">
        <v>1</v>
      </c>
      <c r="J790" t="str">
        <f>IF(Titanic_Dataset[[#This Row],[Age]]&lt;12,"0-11",
IF(Titanic_Dataset[[#This Row],[Age]]&lt;20,"12-19",
IF(Titanic_Dataset[[#This Row],[Age]]&lt;30,"20-29",
IF(Titanic_Dataset[[#This Row],[Age]]&lt;40,"30-39",
IF(Titanic_Dataset[[#This Row],[Age]]&lt;50,"40-49",
IF(Titanic_Dataset[[#This Row],[Age]]&lt;60,"50-59",
IF(Titanic_Dataset[[#This Row],[Age]]&lt;70,"60-69",)))))))</f>
        <v>0-11</v>
      </c>
      <c r="K790">
        <v>1</v>
      </c>
      <c r="L790">
        <v>2</v>
      </c>
      <c r="M790">
        <f>Titanic_Dataset[[#This Row],[Parch]]+Titanic_Dataset[[#This Row],[SibSp]]</f>
        <v>3</v>
      </c>
      <c r="N790" s="1" t="s">
        <v>219</v>
      </c>
      <c r="O790">
        <v>20.574999999999999</v>
      </c>
      <c r="P790">
        <f>IF(Titanic_Dataset[[#This Row],[Survived]]=1,Titanic_Dataset[[#This Row],[Fare]],NA())</f>
        <v>20.574999999999999</v>
      </c>
      <c r="Q790" t="e">
        <f>IF(Titanic_Dataset[[#This Row],[Survived]]=0,Titanic_Dataset[[#This Row],[Fare]],NA())</f>
        <v>#N/A</v>
      </c>
      <c r="R790" t="str">
        <f>VLOOKUP(Titanic_Dataset[[#This Row],[Fare]],Table2[],2,TRUE)</f>
        <v>high</v>
      </c>
      <c r="S790" s="1" t="s">
        <v>15</v>
      </c>
      <c r="T790" s="1" t="s">
        <v>16</v>
      </c>
      <c r="U790" s="1"/>
      <c r="V790" s="1"/>
      <c r="W790" s="1"/>
    </row>
    <row r="791" spans="1:23" x14ac:dyDescent="0.25">
      <c r="A791">
        <v>790</v>
      </c>
      <c r="B791">
        <v>0</v>
      </c>
      <c r="C791" t="str">
        <f>IF(Titanic_Dataset[[#This Row],[Survived]]=1,"Survived","Died")</f>
        <v>Died</v>
      </c>
      <c r="D791">
        <v>1</v>
      </c>
      <c r="E791" t="str">
        <f>IF(Titanic_Dataset[[#This Row],[Pclass]]=1,"1st",IF(Titanic_Dataset[[#This Row],[Pclass]]=2,"2nd",IF(Titanic_Dataset[[#This Row],[Pclass]]=3,"3rd")))</f>
        <v>1st</v>
      </c>
      <c r="F791" s="1" t="s">
        <v>1559</v>
      </c>
      <c r="G791" s="1" t="str">
        <f>TRIM(MID(Titanic_Dataset[[#This Row],[Name]],
FIND(",",Titanic_Dataset[[#This Row],[Name]])+2,
FIND(".",Titanic_Dataset[[#This Row],[Name]],FIND(",",Titanic_Dataset[[#This Row],[Name]]))-FIND(",",Titanic_Dataset[[#This Row],[Name]])-1))</f>
        <v>Mr.</v>
      </c>
      <c r="H791" s="1" t="s">
        <v>13</v>
      </c>
      <c r="I791">
        <v>46</v>
      </c>
      <c r="J791" t="str">
        <f>IF(Titanic_Dataset[[#This Row],[Age]]&lt;12,"0-11",
IF(Titanic_Dataset[[#This Row],[Age]]&lt;20,"12-19",
IF(Titanic_Dataset[[#This Row],[Age]]&lt;30,"20-29",
IF(Titanic_Dataset[[#This Row],[Age]]&lt;40,"30-39",
IF(Titanic_Dataset[[#This Row],[Age]]&lt;50,"40-49",
IF(Titanic_Dataset[[#This Row],[Age]]&lt;60,"50-59",
IF(Titanic_Dataset[[#This Row],[Age]]&lt;70,"60-69",)))))))</f>
        <v>40-49</v>
      </c>
      <c r="K791">
        <v>0</v>
      </c>
      <c r="L791">
        <v>0</v>
      </c>
      <c r="M791">
        <f>Titanic_Dataset[[#This Row],[Parch]]+Titanic_Dataset[[#This Row],[SibSp]]</f>
        <v>0</v>
      </c>
      <c r="N791" s="1" t="s">
        <v>312</v>
      </c>
      <c r="O791">
        <v>79.2</v>
      </c>
      <c r="P791" t="e">
        <f>IF(Titanic_Dataset[[#This Row],[Survived]]=1,Titanic_Dataset[[#This Row],[Fare]],NA())</f>
        <v>#N/A</v>
      </c>
      <c r="Q791">
        <f>IF(Titanic_Dataset[[#This Row],[Survived]]=0,Titanic_Dataset[[#This Row],[Fare]],NA())</f>
        <v>79.2</v>
      </c>
      <c r="R791" t="str">
        <f>VLOOKUP(Titanic_Dataset[[#This Row],[Fare]],Table2[],2,TRUE)</f>
        <v>very hiegh</v>
      </c>
      <c r="S791" s="1" t="s">
        <v>1560</v>
      </c>
      <c r="T791" s="1" t="s">
        <v>21</v>
      </c>
      <c r="U791" s="1"/>
      <c r="V791" s="1"/>
      <c r="W791" s="1"/>
    </row>
    <row r="792" spans="1:23" x14ac:dyDescent="0.25">
      <c r="A792">
        <v>791</v>
      </c>
      <c r="B792">
        <v>0</v>
      </c>
      <c r="C792" t="str">
        <f>IF(Titanic_Dataset[[#This Row],[Survived]]=1,"Survived","Died")</f>
        <v>Died</v>
      </c>
      <c r="D792">
        <v>3</v>
      </c>
      <c r="E792" t="str">
        <f>IF(Titanic_Dataset[[#This Row],[Pclass]]=1,"1st",IF(Titanic_Dataset[[#This Row],[Pclass]]=2,"2nd",IF(Titanic_Dataset[[#This Row],[Pclass]]=3,"3rd")))</f>
        <v>3rd</v>
      </c>
      <c r="F792" s="1" t="s">
        <v>1561</v>
      </c>
      <c r="G792" s="1" t="str">
        <f>TRIM(MID(Titanic_Dataset[[#This Row],[Name]],
FIND(",",Titanic_Dataset[[#This Row],[Name]])+2,
FIND(".",Titanic_Dataset[[#This Row],[Name]],FIND(",",Titanic_Dataset[[#This Row],[Name]]))-FIND(",",Titanic_Dataset[[#This Row],[Name]])-1))</f>
        <v>Mr.</v>
      </c>
      <c r="H792" s="1" t="s">
        <v>13</v>
      </c>
      <c r="I792">
        <v>28</v>
      </c>
      <c r="J79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92">
        <v>0</v>
      </c>
      <c r="L792">
        <v>0</v>
      </c>
      <c r="M792">
        <f>Titanic_Dataset[[#This Row],[Parch]]+Titanic_Dataset[[#This Row],[SibSp]]</f>
        <v>0</v>
      </c>
      <c r="N792" s="1" t="s">
        <v>1562</v>
      </c>
      <c r="O792">
        <v>7.75</v>
      </c>
      <c r="P792" t="e">
        <f>IF(Titanic_Dataset[[#This Row],[Survived]]=1,Titanic_Dataset[[#This Row],[Fare]],NA())</f>
        <v>#N/A</v>
      </c>
      <c r="Q792">
        <f>IF(Titanic_Dataset[[#This Row],[Survived]]=0,Titanic_Dataset[[#This Row],[Fare]],NA())</f>
        <v>7.75</v>
      </c>
      <c r="R792" t="str">
        <f>VLOOKUP(Titanic_Dataset[[#This Row],[Fare]],Table2[],2,TRUE)</f>
        <v>low</v>
      </c>
      <c r="S792" s="1" t="s">
        <v>15</v>
      </c>
      <c r="T792" s="1" t="s">
        <v>31</v>
      </c>
      <c r="U792" s="1"/>
      <c r="V792" s="1"/>
      <c r="W792" s="1"/>
    </row>
    <row r="793" spans="1:23" x14ac:dyDescent="0.25">
      <c r="A793">
        <v>792</v>
      </c>
      <c r="B793">
        <v>0</v>
      </c>
      <c r="C793" t="str">
        <f>IF(Titanic_Dataset[[#This Row],[Survived]]=1,"Survived","Died")</f>
        <v>Died</v>
      </c>
      <c r="D793">
        <v>2</v>
      </c>
      <c r="E793" t="str">
        <f>IF(Titanic_Dataset[[#This Row],[Pclass]]=1,"1st",IF(Titanic_Dataset[[#This Row],[Pclass]]=2,"2nd",IF(Titanic_Dataset[[#This Row],[Pclass]]=3,"3rd")))</f>
        <v>2nd</v>
      </c>
      <c r="F793" s="1" t="s">
        <v>1563</v>
      </c>
      <c r="G793" s="1" t="str">
        <f>TRIM(MID(Titanic_Dataset[[#This Row],[Name]],
FIND(",",Titanic_Dataset[[#This Row],[Name]])+2,
FIND(".",Titanic_Dataset[[#This Row],[Name]],FIND(",",Titanic_Dataset[[#This Row],[Name]]))-FIND(",",Titanic_Dataset[[#This Row],[Name]])-1))</f>
        <v>Mr.</v>
      </c>
      <c r="H793" s="1" t="s">
        <v>13</v>
      </c>
      <c r="I793">
        <v>16</v>
      </c>
      <c r="J793" t="str">
        <f>IF(Titanic_Dataset[[#This Row],[Age]]&lt;12,"0-11",
IF(Titanic_Dataset[[#This Row],[Age]]&lt;20,"12-19",
IF(Titanic_Dataset[[#This Row],[Age]]&lt;30,"20-29",
IF(Titanic_Dataset[[#This Row],[Age]]&lt;40,"30-39",
IF(Titanic_Dataset[[#This Row],[Age]]&lt;50,"40-49",
IF(Titanic_Dataset[[#This Row],[Age]]&lt;60,"50-59",
IF(Titanic_Dataset[[#This Row],[Age]]&lt;70,"60-69",)))))))</f>
        <v>12-19</v>
      </c>
      <c r="K793">
        <v>0</v>
      </c>
      <c r="L793">
        <v>0</v>
      </c>
      <c r="M793">
        <f>Titanic_Dataset[[#This Row],[Parch]]+Titanic_Dataset[[#This Row],[SibSp]]</f>
        <v>0</v>
      </c>
      <c r="N793" s="1" t="s">
        <v>64</v>
      </c>
      <c r="O793">
        <v>26</v>
      </c>
      <c r="P793" t="e">
        <f>IF(Titanic_Dataset[[#This Row],[Survived]]=1,Titanic_Dataset[[#This Row],[Fare]],NA())</f>
        <v>#N/A</v>
      </c>
      <c r="Q793">
        <f>IF(Titanic_Dataset[[#This Row],[Survived]]=0,Titanic_Dataset[[#This Row],[Fare]],NA())</f>
        <v>26</v>
      </c>
      <c r="R793" t="str">
        <f>VLOOKUP(Titanic_Dataset[[#This Row],[Fare]],Table2[],2,TRUE)</f>
        <v>high</v>
      </c>
      <c r="S793" s="1" t="s">
        <v>15</v>
      </c>
      <c r="T793" s="1" t="s">
        <v>16</v>
      </c>
      <c r="U793" s="1"/>
      <c r="V793" s="1"/>
      <c r="W793" s="1"/>
    </row>
    <row r="794" spans="1:23" x14ac:dyDescent="0.25">
      <c r="A794">
        <v>793</v>
      </c>
      <c r="B794">
        <v>0</v>
      </c>
      <c r="C794" t="str">
        <f>IF(Titanic_Dataset[[#This Row],[Survived]]=1,"Survived","Died")</f>
        <v>Died</v>
      </c>
      <c r="D794">
        <v>3</v>
      </c>
      <c r="E794" t="str">
        <f>IF(Titanic_Dataset[[#This Row],[Pclass]]=1,"1st",IF(Titanic_Dataset[[#This Row],[Pclass]]=2,"2nd",IF(Titanic_Dataset[[#This Row],[Pclass]]=3,"3rd")))</f>
        <v>3rd</v>
      </c>
      <c r="F794" s="1" t="s">
        <v>1564</v>
      </c>
      <c r="G794" s="1" t="str">
        <f>TRIM(MID(Titanic_Dataset[[#This Row],[Name]],
FIND(",",Titanic_Dataset[[#This Row],[Name]])+2,
FIND(".",Titanic_Dataset[[#This Row],[Name]],FIND(",",Titanic_Dataset[[#This Row],[Name]]))-FIND(",",Titanic_Dataset[[#This Row],[Name]])-1))</f>
        <v>Miss.</v>
      </c>
      <c r="H794" s="1" t="s">
        <v>18</v>
      </c>
      <c r="I794">
        <v>28</v>
      </c>
      <c r="J79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94">
        <v>8</v>
      </c>
      <c r="L794">
        <v>2</v>
      </c>
      <c r="M794">
        <f>Titanic_Dataset[[#This Row],[Parch]]+Titanic_Dataset[[#This Row],[SibSp]]</f>
        <v>10</v>
      </c>
      <c r="N794" s="1" t="s">
        <v>354</v>
      </c>
      <c r="O794">
        <v>69.55</v>
      </c>
      <c r="P794" t="e">
        <f>IF(Titanic_Dataset[[#This Row],[Survived]]=1,Titanic_Dataset[[#This Row],[Fare]],NA())</f>
        <v>#N/A</v>
      </c>
      <c r="Q794">
        <f>IF(Titanic_Dataset[[#This Row],[Survived]]=0,Titanic_Dataset[[#This Row],[Fare]],NA())</f>
        <v>69.55</v>
      </c>
      <c r="R794" t="str">
        <f>VLOOKUP(Titanic_Dataset[[#This Row],[Fare]],Table2[],2,TRUE)</f>
        <v>very hiegh</v>
      </c>
      <c r="S794" s="1" t="s">
        <v>15</v>
      </c>
      <c r="T794" s="1" t="s">
        <v>16</v>
      </c>
      <c r="U794" s="1"/>
      <c r="V794" s="1"/>
      <c r="W794" s="1"/>
    </row>
    <row r="795" spans="1:23" x14ac:dyDescent="0.25">
      <c r="A795">
        <v>794</v>
      </c>
      <c r="B795">
        <v>0</v>
      </c>
      <c r="C795" t="str">
        <f>IF(Titanic_Dataset[[#This Row],[Survived]]=1,"Survived","Died")</f>
        <v>Died</v>
      </c>
      <c r="D795">
        <v>1</v>
      </c>
      <c r="E795" t="str">
        <f>IF(Titanic_Dataset[[#This Row],[Pclass]]=1,"1st",IF(Titanic_Dataset[[#This Row],[Pclass]]=2,"2nd",IF(Titanic_Dataset[[#This Row],[Pclass]]=3,"3rd")))</f>
        <v>1st</v>
      </c>
      <c r="F795" s="1" t="s">
        <v>1565</v>
      </c>
      <c r="G795" s="1" t="str">
        <f>TRIM(MID(Titanic_Dataset[[#This Row],[Name]],
FIND(",",Titanic_Dataset[[#This Row],[Name]])+2,
FIND(".",Titanic_Dataset[[#This Row],[Name]],FIND(",",Titanic_Dataset[[#This Row],[Name]]))-FIND(",",Titanic_Dataset[[#This Row],[Name]])-1))</f>
        <v>Mr.</v>
      </c>
      <c r="H795" s="1" t="s">
        <v>13</v>
      </c>
      <c r="I795">
        <v>28</v>
      </c>
      <c r="J79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95">
        <v>0</v>
      </c>
      <c r="L795">
        <v>0</v>
      </c>
      <c r="M795">
        <f>Titanic_Dataset[[#This Row],[Parch]]+Titanic_Dataset[[#This Row],[SibSp]]</f>
        <v>0</v>
      </c>
      <c r="N795" s="1" t="s">
        <v>1566</v>
      </c>
      <c r="O795">
        <v>30.695799999999998</v>
      </c>
      <c r="P795" t="e">
        <f>IF(Titanic_Dataset[[#This Row],[Survived]]=1,Titanic_Dataset[[#This Row],[Fare]],NA())</f>
        <v>#N/A</v>
      </c>
      <c r="Q795">
        <f>IF(Titanic_Dataset[[#This Row],[Survived]]=0,Titanic_Dataset[[#This Row],[Fare]],NA())</f>
        <v>30.695799999999998</v>
      </c>
      <c r="R795" t="str">
        <f>VLOOKUP(Titanic_Dataset[[#This Row],[Fare]],Table2[],2,TRUE)</f>
        <v>very hiegh</v>
      </c>
      <c r="S795" s="1" t="s">
        <v>15</v>
      </c>
      <c r="T795" s="1" t="s">
        <v>21</v>
      </c>
      <c r="U795" s="1"/>
      <c r="V795" s="1"/>
      <c r="W795" s="1"/>
    </row>
    <row r="796" spans="1:23" x14ac:dyDescent="0.25">
      <c r="A796">
        <v>795</v>
      </c>
      <c r="B796">
        <v>0</v>
      </c>
      <c r="C796" t="str">
        <f>IF(Titanic_Dataset[[#This Row],[Survived]]=1,"Survived","Died")</f>
        <v>Died</v>
      </c>
      <c r="D796">
        <v>3</v>
      </c>
      <c r="E796" t="str">
        <f>IF(Titanic_Dataset[[#This Row],[Pclass]]=1,"1st",IF(Titanic_Dataset[[#This Row],[Pclass]]=2,"2nd",IF(Titanic_Dataset[[#This Row],[Pclass]]=3,"3rd")))</f>
        <v>3rd</v>
      </c>
      <c r="F796" s="1" t="s">
        <v>1567</v>
      </c>
      <c r="G796" s="1" t="str">
        <f>TRIM(MID(Titanic_Dataset[[#This Row],[Name]],
FIND(",",Titanic_Dataset[[#This Row],[Name]])+2,
FIND(".",Titanic_Dataset[[#This Row],[Name]],FIND(",",Titanic_Dataset[[#This Row],[Name]]))-FIND(",",Titanic_Dataset[[#This Row],[Name]])-1))</f>
        <v>Mr.</v>
      </c>
      <c r="H796" s="1" t="s">
        <v>13</v>
      </c>
      <c r="I796">
        <v>25</v>
      </c>
      <c r="J79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796">
        <v>0</v>
      </c>
      <c r="L796">
        <v>0</v>
      </c>
      <c r="M796">
        <f>Titanic_Dataset[[#This Row],[Parch]]+Titanic_Dataset[[#This Row],[SibSp]]</f>
        <v>0</v>
      </c>
      <c r="N796" s="1" t="s">
        <v>1568</v>
      </c>
      <c r="O796">
        <v>7.8958000000000004</v>
      </c>
      <c r="P796" t="e">
        <f>IF(Titanic_Dataset[[#This Row],[Survived]]=1,Titanic_Dataset[[#This Row],[Fare]],NA())</f>
        <v>#N/A</v>
      </c>
      <c r="Q796">
        <f>IF(Titanic_Dataset[[#This Row],[Survived]]=0,Titanic_Dataset[[#This Row],[Fare]],NA())</f>
        <v>7.8958000000000004</v>
      </c>
      <c r="R796" t="str">
        <f>VLOOKUP(Titanic_Dataset[[#This Row],[Fare]],Table2[],2,TRUE)</f>
        <v>low</v>
      </c>
      <c r="S796" s="1" t="s">
        <v>15</v>
      </c>
      <c r="T796" s="1" t="s">
        <v>16</v>
      </c>
      <c r="U796" s="1"/>
      <c r="V796" s="1"/>
      <c r="W796" s="1"/>
    </row>
    <row r="797" spans="1:23" x14ac:dyDescent="0.25">
      <c r="A797">
        <v>796</v>
      </c>
      <c r="B797">
        <v>0</v>
      </c>
      <c r="C797" t="str">
        <f>IF(Titanic_Dataset[[#This Row],[Survived]]=1,"Survived","Died")</f>
        <v>Died</v>
      </c>
      <c r="D797">
        <v>2</v>
      </c>
      <c r="E797" t="str">
        <f>IF(Titanic_Dataset[[#This Row],[Pclass]]=1,"1st",IF(Titanic_Dataset[[#This Row],[Pclass]]=2,"2nd",IF(Titanic_Dataset[[#This Row],[Pclass]]=3,"3rd")))</f>
        <v>2nd</v>
      </c>
      <c r="F797" s="1" t="s">
        <v>1569</v>
      </c>
      <c r="G797" s="1" t="str">
        <f>TRIM(MID(Titanic_Dataset[[#This Row],[Name]],
FIND(",",Titanic_Dataset[[#This Row],[Name]])+2,
FIND(".",Titanic_Dataset[[#This Row],[Name]],FIND(",",Titanic_Dataset[[#This Row],[Name]]))-FIND(",",Titanic_Dataset[[#This Row],[Name]])-1))</f>
        <v>Mr.</v>
      </c>
      <c r="H797" s="1" t="s">
        <v>13</v>
      </c>
      <c r="I797">
        <v>39</v>
      </c>
      <c r="J797" t="str">
        <f>IF(Titanic_Dataset[[#This Row],[Age]]&lt;12,"0-11",
IF(Titanic_Dataset[[#This Row],[Age]]&lt;20,"12-19",
IF(Titanic_Dataset[[#This Row],[Age]]&lt;30,"20-29",
IF(Titanic_Dataset[[#This Row],[Age]]&lt;40,"30-39",
IF(Titanic_Dataset[[#This Row],[Age]]&lt;50,"40-49",
IF(Titanic_Dataset[[#This Row],[Age]]&lt;60,"50-59",
IF(Titanic_Dataset[[#This Row],[Age]]&lt;70,"60-69",)))))))</f>
        <v>30-39</v>
      </c>
      <c r="K797">
        <v>0</v>
      </c>
      <c r="L797">
        <v>0</v>
      </c>
      <c r="M797">
        <f>Titanic_Dataset[[#This Row],[Parch]]+Titanic_Dataset[[#This Row],[SibSp]]</f>
        <v>0</v>
      </c>
      <c r="N797" s="1" t="s">
        <v>1570</v>
      </c>
      <c r="O797">
        <v>13</v>
      </c>
      <c r="P797" t="e">
        <f>IF(Titanic_Dataset[[#This Row],[Survived]]=1,Titanic_Dataset[[#This Row],[Fare]],NA())</f>
        <v>#N/A</v>
      </c>
      <c r="Q797">
        <f>IF(Titanic_Dataset[[#This Row],[Survived]]=0,Titanic_Dataset[[#This Row],[Fare]],NA())</f>
        <v>13</v>
      </c>
      <c r="R797" t="str">
        <f>VLOOKUP(Titanic_Dataset[[#This Row],[Fare]],Table2[],2,TRUE)</f>
        <v>medium</v>
      </c>
      <c r="S797" s="1" t="s">
        <v>15</v>
      </c>
      <c r="T797" s="1" t="s">
        <v>16</v>
      </c>
      <c r="U797" s="1"/>
      <c r="V797" s="1"/>
      <c r="W797" s="1"/>
    </row>
    <row r="798" spans="1:23" x14ac:dyDescent="0.25">
      <c r="A798">
        <v>797</v>
      </c>
      <c r="B798">
        <v>1</v>
      </c>
      <c r="C798" t="str">
        <f>IF(Titanic_Dataset[[#This Row],[Survived]]=1,"Survived","Died")</f>
        <v>Survived</v>
      </c>
      <c r="D798">
        <v>1</v>
      </c>
      <c r="E798" t="str">
        <f>IF(Titanic_Dataset[[#This Row],[Pclass]]=1,"1st",IF(Titanic_Dataset[[#This Row],[Pclass]]=2,"2nd",IF(Titanic_Dataset[[#This Row],[Pclass]]=3,"3rd")))</f>
        <v>1st</v>
      </c>
      <c r="F798" s="1" t="s">
        <v>1571</v>
      </c>
      <c r="G798" s="1" t="str">
        <f>TRIM(MID(Titanic_Dataset[[#This Row],[Name]],
FIND(",",Titanic_Dataset[[#This Row],[Name]])+2,
FIND(".",Titanic_Dataset[[#This Row],[Name]],FIND(",",Titanic_Dataset[[#This Row],[Name]]))-FIND(",",Titanic_Dataset[[#This Row],[Name]])-1))</f>
        <v>Dr.</v>
      </c>
      <c r="H798" s="1" t="s">
        <v>18</v>
      </c>
      <c r="I798">
        <v>49</v>
      </c>
      <c r="J798" t="str">
        <f>IF(Titanic_Dataset[[#This Row],[Age]]&lt;12,"0-11",
IF(Titanic_Dataset[[#This Row],[Age]]&lt;20,"12-19",
IF(Titanic_Dataset[[#This Row],[Age]]&lt;30,"20-29",
IF(Titanic_Dataset[[#This Row],[Age]]&lt;40,"30-39",
IF(Titanic_Dataset[[#This Row],[Age]]&lt;50,"40-49",
IF(Titanic_Dataset[[#This Row],[Age]]&lt;60,"50-59",
IF(Titanic_Dataset[[#This Row],[Age]]&lt;70,"60-69",)))))))</f>
        <v>40-49</v>
      </c>
      <c r="K798">
        <v>0</v>
      </c>
      <c r="L798">
        <v>0</v>
      </c>
      <c r="M798">
        <f>Titanic_Dataset[[#This Row],[Parch]]+Titanic_Dataset[[#This Row],[SibSp]]</f>
        <v>0</v>
      </c>
      <c r="N798" s="1" t="s">
        <v>1572</v>
      </c>
      <c r="O798">
        <v>25.929200000000002</v>
      </c>
      <c r="P798">
        <f>IF(Titanic_Dataset[[#This Row],[Survived]]=1,Titanic_Dataset[[#This Row],[Fare]],NA())</f>
        <v>25.929200000000002</v>
      </c>
      <c r="Q798" t="e">
        <f>IF(Titanic_Dataset[[#This Row],[Survived]]=0,Titanic_Dataset[[#This Row],[Fare]],NA())</f>
        <v>#N/A</v>
      </c>
      <c r="R798" t="str">
        <f>VLOOKUP(Titanic_Dataset[[#This Row],[Fare]],Table2[],2,TRUE)</f>
        <v>high</v>
      </c>
      <c r="S798" s="1" t="s">
        <v>1573</v>
      </c>
      <c r="T798" s="1" t="s">
        <v>16</v>
      </c>
      <c r="U798" s="1"/>
      <c r="V798" s="1"/>
      <c r="W798" s="1"/>
    </row>
    <row r="799" spans="1:23" x14ac:dyDescent="0.25">
      <c r="A799">
        <v>798</v>
      </c>
      <c r="B799">
        <v>1</v>
      </c>
      <c r="C799" t="str">
        <f>IF(Titanic_Dataset[[#This Row],[Survived]]=1,"Survived","Died")</f>
        <v>Survived</v>
      </c>
      <c r="D799">
        <v>3</v>
      </c>
      <c r="E799" t="str">
        <f>IF(Titanic_Dataset[[#This Row],[Pclass]]=1,"1st",IF(Titanic_Dataset[[#This Row],[Pclass]]=2,"2nd",IF(Titanic_Dataset[[#This Row],[Pclass]]=3,"3rd")))</f>
        <v>3rd</v>
      </c>
      <c r="F799" s="1" t="s">
        <v>1574</v>
      </c>
      <c r="G799" s="1" t="str">
        <f>TRIM(MID(Titanic_Dataset[[#This Row],[Name]],
FIND(",",Titanic_Dataset[[#This Row],[Name]])+2,
FIND(".",Titanic_Dataset[[#This Row],[Name]],FIND(",",Titanic_Dataset[[#This Row],[Name]]))-FIND(",",Titanic_Dataset[[#This Row],[Name]])-1))</f>
        <v>Mrs.</v>
      </c>
      <c r="H799" s="1" t="s">
        <v>18</v>
      </c>
      <c r="I799">
        <v>31</v>
      </c>
      <c r="J799" t="str">
        <f>IF(Titanic_Dataset[[#This Row],[Age]]&lt;12,"0-11",
IF(Titanic_Dataset[[#This Row],[Age]]&lt;20,"12-19",
IF(Titanic_Dataset[[#This Row],[Age]]&lt;30,"20-29",
IF(Titanic_Dataset[[#This Row],[Age]]&lt;40,"30-39",
IF(Titanic_Dataset[[#This Row],[Age]]&lt;50,"40-49",
IF(Titanic_Dataset[[#This Row],[Age]]&lt;60,"50-59",
IF(Titanic_Dataset[[#This Row],[Age]]&lt;70,"60-69",)))))))</f>
        <v>30-39</v>
      </c>
      <c r="K799">
        <v>0</v>
      </c>
      <c r="L799">
        <v>0</v>
      </c>
      <c r="M799">
        <f>Titanic_Dataset[[#This Row],[Parch]]+Titanic_Dataset[[#This Row],[SibSp]]</f>
        <v>0</v>
      </c>
      <c r="N799" s="1" t="s">
        <v>1575</v>
      </c>
      <c r="O799">
        <v>8.6832999999999991</v>
      </c>
      <c r="P799">
        <f>IF(Titanic_Dataset[[#This Row],[Survived]]=1,Titanic_Dataset[[#This Row],[Fare]],NA())</f>
        <v>8.6832999999999991</v>
      </c>
      <c r="Q799" t="e">
        <f>IF(Titanic_Dataset[[#This Row],[Survived]]=0,Titanic_Dataset[[#This Row],[Fare]],NA())</f>
        <v>#N/A</v>
      </c>
      <c r="R799" t="str">
        <f>VLOOKUP(Titanic_Dataset[[#This Row],[Fare]],Table2[],2,TRUE)</f>
        <v>medium</v>
      </c>
      <c r="S799" s="1" t="s">
        <v>15</v>
      </c>
      <c r="T799" s="1" t="s">
        <v>16</v>
      </c>
      <c r="U799" s="1"/>
      <c r="V799" s="1"/>
      <c r="W799" s="1"/>
    </row>
    <row r="800" spans="1:23" x14ac:dyDescent="0.25">
      <c r="A800">
        <v>799</v>
      </c>
      <c r="B800">
        <v>0</v>
      </c>
      <c r="C800" t="str">
        <f>IF(Titanic_Dataset[[#This Row],[Survived]]=1,"Survived","Died")</f>
        <v>Died</v>
      </c>
      <c r="D800">
        <v>3</v>
      </c>
      <c r="E800" t="str">
        <f>IF(Titanic_Dataset[[#This Row],[Pclass]]=1,"1st",IF(Titanic_Dataset[[#This Row],[Pclass]]=2,"2nd",IF(Titanic_Dataset[[#This Row],[Pclass]]=3,"3rd")))</f>
        <v>3rd</v>
      </c>
      <c r="F800" s="1" t="s">
        <v>1576</v>
      </c>
      <c r="G800" s="1" t="str">
        <f>TRIM(MID(Titanic_Dataset[[#This Row],[Name]],
FIND(",",Titanic_Dataset[[#This Row],[Name]])+2,
FIND(".",Titanic_Dataset[[#This Row],[Name]],FIND(",",Titanic_Dataset[[#This Row],[Name]]))-FIND(",",Titanic_Dataset[[#This Row],[Name]])-1))</f>
        <v>Mr.</v>
      </c>
      <c r="H800" s="1" t="s">
        <v>13</v>
      </c>
      <c r="I800">
        <v>30</v>
      </c>
      <c r="J800" t="str">
        <f>IF(Titanic_Dataset[[#This Row],[Age]]&lt;12,"0-11",
IF(Titanic_Dataset[[#This Row],[Age]]&lt;20,"12-19",
IF(Titanic_Dataset[[#This Row],[Age]]&lt;30,"20-29",
IF(Titanic_Dataset[[#This Row],[Age]]&lt;40,"30-39",
IF(Titanic_Dataset[[#This Row],[Age]]&lt;50,"40-49",
IF(Titanic_Dataset[[#This Row],[Age]]&lt;60,"50-59",
IF(Titanic_Dataset[[#This Row],[Age]]&lt;70,"60-69",)))))))</f>
        <v>30-39</v>
      </c>
      <c r="K800">
        <v>0</v>
      </c>
      <c r="L800">
        <v>0</v>
      </c>
      <c r="M800">
        <f>Titanic_Dataset[[#This Row],[Parch]]+Titanic_Dataset[[#This Row],[SibSp]]</f>
        <v>0</v>
      </c>
      <c r="N800" s="1" t="s">
        <v>1577</v>
      </c>
      <c r="O800">
        <v>7.2291999999999996</v>
      </c>
      <c r="P800" t="e">
        <f>IF(Titanic_Dataset[[#This Row],[Survived]]=1,Titanic_Dataset[[#This Row],[Fare]],NA())</f>
        <v>#N/A</v>
      </c>
      <c r="Q800">
        <f>IF(Titanic_Dataset[[#This Row],[Survived]]=0,Titanic_Dataset[[#This Row],[Fare]],NA())</f>
        <v>7.2291999999999996</v>
      </c>
      <c r="R800" t="str">
        <f>VLOOKUP(Titanic_Dataset[[#This Row],[Fare]],Table2[],2,TRUE)</f>
        <v>low</v>
      </c>
      <c r="S800" s="1" t="s">
        <v>15</v>
      </c>
      <c r="T800" s="1" t="s">
        <v>21</v>
      </c>
      <c r="U800" s="1"/>
      <c r="V800" s="1"/>
      <c r="W800" s="1"/>
    </row>
    <row r="801" spans="1:23" x14ac:dyDescent="0.25">
      <c r="A801">
        <v>800</v>
      </c>
      <c r="B801">
        <v>0</v>
      </c>
      <c r="C801" t="str">
        <f>IF(Titanic_Dataset[[#This Row],[Survived]]=1,"Survived","Died")</f>
        <v>Died</v>
      </c>
      <c r="D801">
        <v>3</v>
      </c>
      <c r="E801" t="str">
        <f>IF(Titanic_Dataset[[#This Row],[Pclass]]=1,"1st",IF(Titanic_Dataset[[#This Row],[Pclass]]=2,"2nd",IF(Titanic_Dataset[[#This Row],[Pclass]]=3,"3rd")))</f>
        <v>3rd</v>
      </c>
      <c r="F801" s="1" t="s">
        <v>1578</v>
      </c>
      <c r="G801" s="1" t="str">
        <f>TRIM(MID(Titanic_Dataset[[#This Row],[Name]],
FIND(",",Titanic_Dataset[[#This Row],[Name]])+2,
FIND(".",Titanic_Dataset[[#This Row],[Name]],FIND(",",Titanic_Dataset[[#This Row],[Name]]))-FIND(",",Titanic_Dataset[[#This Row],[Name]])-1))</f>
        <v>Mrs.</v>
      </c>
      <c r="H801" s="1" t="s">
        <v>18</v>
      </c>
      <c r="I801">
        <v>30</v>
      </c>
      <c r="J801" t="str">
        <f>IF(Titanic_Dataset[[#This Row],[Age]]&lt;12,"0-11",
IF(Titanic_Dataset[[#This Row],[Age]]&lt;20,"12-19",
IF(Titanic_Dataset[[#This Row],[Age]]&lt;30,"20-29",
IF(Titanic_Dataset[[#This Row],[Age]]&lt;40,"30-39",
IF(Titanic_Dataset[[#This Row],[Age]]&lt;50,"40-49",
IF(Titanic_Dataset[[#This Row],[Age]]&lt;60,"50-59",
IF(Titanic_Dataset[[#This Row],[Age]]&lt;70,"60-69",)))))))</f>
        <v>30-39</v>
      </c>
      <c r="K801">
        <v>1</v>
      </c>
      <c r="L801">
        <v>1</v>
      </c>
      <c r="M801">
        <f>Titanic_Dataset[[#This Row],[Parch]]+Titanic_Dataset[[#This Row],[SibSp]]</f>
        <v>2</v>
      </c>
      <c r="N801" s="1" t="s">
        <v>868</v>
      </c>
      <c r="O801">
        <v>24.15</v>
      </c>
      <c r="P801" t="e">
        <f>IF(Titanic_Dataset[[#This Row],[Survived]]=1,Titanic_Dataset[[#This Row],[Fare]],NA())</f>
        <v>#N/A</v>
      </c>
      <c r="Q801">
        <f>IF(Titanic_Dataset[[#This Row],[Survived]]=0,Titanic_Dataset[[#This Row],[Fare]],NA())</f>
        <v>24.15</v>
      </c>
      <c r="R801" t="str">
        <f>VLOOKUP(Titanic_Dataset[[#This Row],[Fare]],Table2[],2,TRUE)</f>
        <v>high</v>
      </c>
      <c r="S801" s="1" t="s">
        <v>15</v>
      </c>
      <c r="T801" s="1" t="s">
        <v>16</v>
      </c>
      <c r="U801" s="1"/>
      <c r="V801" s="1"/>
      <c r="W801" s="1"/>
    </row>
    <row r="802" spans="1:23" x14ac:dyDescent="0.25">
      <c r="A802">
        <v>801</v>
      </c>
      <c r="B802">
        <v>0</v>
      </c>
      <c r="C802" t="str">
        <f>IF(Titanic_Dataset[[#This Row],[Survived]]=1,"Survived","Died")</f>
        <v>Died</v>
      </c>
      <c r="D802">
        <v>2</v>
      </c>
      <c r="E802" t="str">
        <f>IF(Titanic_Dataset[[#This Row],[Pclass]]=1,"1st",IF(Titanic_Dataset[[#This Row],[Pclass]]=2,"2nd",IF(Titanic_Dataset[[#This Row],[Pclass]]=3,"3rd")))</f>
        <v>2nd</v>
      </c>
      <c r="F802" s="1" t="s">
        <v>1579</v>
      </c>
      <c r="G802" s="1" t="str">
        <f>TRIM(MID(Titanic_Dataset[[#This Row],[Name]],
FIND(",",Titanic_Dataset[[#This Row],[Name]])+2,
FIND(".",Titanic_Dataset[[#This Row],[Name]],FIND(",",Titanic_Dataset[[#This Row],[Name]]))-FIND(",",Titanic_Dataset[[#This Row],[Name]])-1))</f>
        <v>Mr.</v>
      </c>
      <c r="H802" s="1" t="s">
        <v>13</v>
      </c>
      <c r="I802">
        <v>34</v>
      </c>
      <c r="J802" t="str">
        <f>IF(Titanic_Dataset[[#This Row],[Age]]&lt;12,"0-11",
IF(Titanic_Dataset[[#This Row],[Age]]&lt;20,"12-19",
IF(Titanic_Dataset[[#This Row],[Age]]&lt;30,"20-29",
IF(Titanic_Dataset[[#This Row],[Age]]&lt;40,"30-39",
IF(Titanic_Dataset[[#This Row],[Age]]&lt;50,"40-49",
IF(Titanic_Dataset[[#This Row],[Age]]&lt;60,"50-59",
IF(Titanic_Dataset[[#This Row],[Age]]&lt;70,"60-69",)))))))</f>
        <v>30-39</v>
      </c>
      <c r="K802">
        <v>0</v>
      </c>
      <c r="L802">
        <v>0</v>
      </c>
      <c r="M802">
        <f>Titanic_Dataset[[#This Row],[Parch]]+Titanic_Dataset[[#This Row],[SibSp]]</f>
        <v>0</v>
      </c>
      <c r="N802" s="1" t="s">
        <v>1422</v>
      </c>
      <c r="O802">
        <v>13</v>
      </c>
      <c r="P802" t="e">
        <f>IF(Titanic_Dataset[[#This Row],[Survived]]=1,Titanic_Dataset[[#This Row],[Fare]],NA())</f>
        <v>#N/A</v>
      </c>
      <c r="Q802">
        <f>IF(Titanic_Dataset[[#This Row],[Survived]]=0,Titanic_Dataset[[#This Row],[Fare]],NA())</f>
        <v>13</v>
      </c>
      <c r="R802" t="str">
        <f>VLOOKUP(Titanic_Dataset[[#This Row],[Fare]],Table2[],2,TRUE)</f>
        <v>medium</v>
      </c>
      <c r="S802" s="1" t="s">
        <v>15</v>
      </c>
      <c r="T802" s="1" t="s">
        <v>16</v>
      </c>
      <c r="U802" s="1"/>
      <c r="V802" s="1"/>
      <c r="W802" s="1"/>
    </row>
    <row r="803" spans="1:23" x14ac:dyDescent="0.25">
      <c r="A803">
        <v>802</v>
      </c>
      <c r="B803">
        <v>1</v>
      </c>
      <c r="C803" t="str">
        <f>IF(Titanic_Dataset[[#This Row],[Survived]]=1,"Survived","Died")</f>
        <v>Survived</v>
      </c>
      <c r="D803">
        <v>2</v>
      </c>
      <c r="E803" t="str">
        <f>IF(Titanic_Dataset[[#This Row],[Pclass]]=1,"1st",IF(Titanic_Dataset[[#This Row],[Pclass]]=2,"2nd",IF(Titanic_Dataset[[#This Row],[Pclass]]=3,"3rd")))</f>
        <v>2nd</v>
      </c>
      <c r="F803" s="1" t="s">
        <v>1580</v>
      </c>
      <c r="G803" s="1" t="str">
        <f>TRIM(MID(Titanic_Dataset[[#This Row],[Name]],
FIND(",",Titanic_Dataset[[#This Row],[Name]])+2,
FIND(".",Titanic_Dataset[[#This Row],[Name]],FIND(",",Titanic_Dataset[[#This Row],[Name]]))-FIND(",",Titanic_Dataset[[#This Row],[Name]])-1))</f>
        <v>Mrs.</v>
      </c>
      <c r="H803" s="1" t="s">
        <v>18</v>
      </c>
      <c r="I803">
        <v>31</v>
      </c>
      <c r="J803" t="str">
        <f>IF(Titanic_Dataset[[#This Row],[Age]]&lt;12,"0-11",
IF(Titanic_Dataset[[#This Row],[Age]]&lt;20,"12-19",
IF(Titanic_Dataset[[#This Row],[Age]]&lt;30,"20-29",
IF(Titanic_Dataset[[#This Row],[Age]]&lt;40,"30-39",
IF(Titanic_Dataset[[#This Row],[Age]]&lt;50,"40-49",
IF(Titanic_Dataset[[#This Row],[Age]]&lt;60,"50-59",
IF(Titanic_Dataset[[#This Row],[Age]]&lt;70,"60-69",)))))))</f>
        <v>30-39</v>
      </c>
      <c r="K803">
        <v>1</v>
      </c>
      <c r="L803">
        <v>1</v>
      </c>
      <c r="M803">
        <f>Titanic_Dataset[[#This Row],[Parch]]+Titanic_Dataset[[#This Row],[SibSp]]</f>
        <v>2</v>
      </c>
      <c r="N803" s="1" t="s">
        <v>508</v>
      </c>
      <c r="O803">
        <v>26.25</v>
      </c>
      <c r="P803">
        <f>IF(Titanic_Dataset[[#This Row],[Survived]]=1,Titanic_Dataset[[#This Row],[Fare]],NA())</f>
        <v>26.25</v>
      </c>
      <c r="Q803" t="e">
        <f>IF(Titanic_Dataset[[#This Row],[Survived]]=0,Titanic_Dataset[[#This Row],[Fare]],NA())</f>
        <v>#N/A</v>
      </c>
      <c r="R803" t="str">
        <f>VLOOKUP(Titanic_Dataset[[#This Row],[Fare]],Table2[],2,TRUE)</f>
        <v>high</v>
      </c>
      <c r="S803" s="1" t="s">
        <v>15</v>
      </c>
      <c r="T803" s="1" t="s">
        <v>16</v>
      </c>
      <c r="U803" s="1"/>
      <c r="V803" s="1"/>
      <c r="W803" s="1"/>
    </row>
    <row r="804" spans="1:23" x14ac:dyDescent="0.25">
      <c r="A804">
        <v>803</v>
      </c>
      <c r="B804">
        <v>1</v>
      </c>
      <c r="C804" t="str">
        <f>IF(Titanic_Dataset[[#This Row],[Survived]]=1,"Survived","Died")</f>
        <v>Survived</v>
      </c>
      <c r="D804">
        <v>1</v>
      </c>
      <c r="E804" t="str">
        <f>IF(Titanic_Dataset[[#This Row],[Pclass]]=1,"1st",IF(Titanic_Dataset[[#This Row],[Pclass]]=2,"2nd",IF(Titanic_Dataset[[#This Row],[Pclass]]=3,"3rd")))</f>
        <v>1st</v>
      </c>
      <c r="F804" s="1" t="s">
        <v>1581</v>
      </c>
      <c r="G804" s="1" t="str">
        <f>TRIM(MID(Titanic_Dataset[[#This Row],[Name]],
FIND(",",Titanic_Dataset[[#This Row],[Name]])+2,
FIND(".",Titanic_Dataset[[#This Row],[Name]],FIND(",",Titanic_Dataset[[#This Row],[Name]]))-FIND(",",Titanic_Dataset[[#This Row],[Name]])-1))</f>
        <v>Master.</v>
      </c>
      <c r="H804" s="1" t="s">
        <v>13</v>
      </c>
      <c r="I804">
        <v>11</v>
      </c>
      <c r="J804" t="str">
        <f>IF(Titanic_Dataset[[#This Row],[Age]]&lt;12,"0-11",
IF(Titanic_Dataset[[#This Row],[Age]]&lt;20,"12-19",
IF(Titanic_Dataset[[#This Row],[Age]]&lt;30,"20-29",
IF(Titanic_Dataset[[#This Row],[Age]]&lt;40,"30-39",
IF(Titanic_Dataset[[#This Row],[Age]]&lt;50,"40-49",
IF(Titanic_Dataset[[#This Row],[Age]]&lt;60,"50-59",
IF(Titanic_Dataset[[#This Row],[Age]]&lt;70,"60-69",)))))))</f>
        <v>0-11</v>
      </c>
      <c r="K804">
        <v>1</v>
      </c>
      <c r="L804">
        <v>2</v>
      </c>
      <c r="M804">
        <f>Titanic_Dataset[[#This Row],[Parch]]+Titanic_Dataset[[#This Row],[SibSp]]</f>
        <v>3</v>
      </c>
      <c r="N804" s="1" t="s">
        <v>815</v>
      </c>
      <c r="O804">
        <v>120</v>
      </c>
      <c r="P804">
        <f>IF(Titanic_Dataset[[#This Row],[Survived]]=1,Titanic_Dataset[[#This Row],[Fare]],NA())</f>
        <v>120</v>
      </c>
      <c r="Q804" t="e">
        <f>IF(Titanic_Dataset[[#This Row],[Survived]]=0,Titanic_Dataset[[#This Row],[Fare]],NA())</f>
        <v>#N/A</v>
      </c>
      <c r="R804" t="str">
        <f>VLOOKUP(Titanic_Dataset[[#This Row],[Fare]],Table2[],2,TRUE)</f>
        <v>very hiegh</v>
      </c>
      <c r="S804" s="1" t="s">
        <v>816</v>
      </c>
      <c r="T804" s="1" t="s">
        <v>16</v>
      </c>
      <c r="U804" s="1"/>
      <c r="V804" s="1"/>
      <c r="W804" s="1"/>
    </row>
    <row r="805" spans="1:23" x14ac:dyDescent="0.25">
      <c r="A805">
        <v>804</v>
      </c>
      <c r="B805">
        <v>1</v>
      </c>
      <c r="C805" t="str">
        <f>IF(Titanic_Dataset[[#This Row],[Survived]]=1,"Survived","Died")</f>
        <v>Survived</v>
      </c>
      <c r="D805">
        <v>3</v>
      </c>
      <c r="E805" t="str">
        <f>IF(Titanic_Dataset[[#This Row],[Pclass]]=1,"1st",IF(Titanic_Dataset[[#This Row],[Pclass]]=2,"2nd",IF(Titanic_Dataset[[#This Row],[Pclass]]=3,"3rd")))</f>
        <v>3rd</v>
      </c>
      <c r="F805" s="1" t="s">
        <v>1582</v>
      </c>
      <c r="G805" s="1" t="str">
        <f>TRIM(MID(Titanic_Dataset[[#This Row],[Name]],
FIND(",",Titanic_Dataset[[#This Row],[Name]])+2,
FIND(".",Titanic_Dataset[[#This Row],[Name]],FIND(",",Titanic_Dataset[[#This Row],[Name]]))-FIND(",",Titanic_Dataset[[#This Row],[Name]])-1))</f>
        <v>Master.</v>
      </c>
      <c r="H805" s="1" t="s">
        <v>13</v>
      </c>
      <c r="I805">
        <v>0.42</v>
      </c>
      <c r="J805" t="str">
        <f>IF(Titanic_Dataset[[#This Row],[Age]]&lt;12,"0-11",
IF(Titanic_Dataset[[#This Row],[Age]]&lt;20,"12-19",
IF(Titanic_Dataset[[#This Row],[Age]]&lt;30,"20-29",
IF(Titanic_Dataset[[#This Row],[Age]]&lt;40,"30-39",
IF(Titanic_Dataset[[#This Row],[Age]]&lt;50,"40-49",
IF(Titanic_Dataset[[#This Row],[Age]]&lt;60,"50-59",
IF(Titanic_Dataset[[#This Row],[Age]]&lt;70,"60-69",)))))))</f>
        <v>0-11</v>
      </c>
      <c r="K805">
        <v>0</v>
      </c>
      <c r="L805">
        <v>1</v>
      </c>
      <c r="M805">
        <f>Titanic_Dataset[[#This Row],[Parch]]+Titanic_Dataset[[#This Row],[SibSp]]</f>
        <v>1</v>
      </c>
      <c r="N805" s="1" t="s">
        <v>1583</v>
      </c>
      <c r="O805">
        <v>8.5167000000000002</v>
      </c>
      <c r="P805">
        <f>IF(Titanic_Dataset[[#This Row],[Survived]]=1,Titanic_Dataset[[#This Row],[Fare]],NA())</f>
        <v>8.5167000000000002</v>
      </c>
      <c r="Q805" t="e">
        <f>IF(Titanic_Dataset[[#This Row],[Survived]]=0,Titanic_Dataset[[#This Row],[Fare]],NA())</f>
        <v>#N/A</v>
      </c>
      <c r="R805" t="str">
        <f>VLOOKUP(Titanic_Dataset[[#This Row],[Fare]],Table2[],2,TRUE)</f>
        <v>medium</v>
      </c>
      <c r="S805" s="1" t="s">
        <v>15</v>
      </c>
      <c r="T805" s="1" t="s">
        <v>21</v>
      </c>
      <c r="U805" s="1"/>
      <c r="V805" s="1"/>
      <c r="W805" s="1"/>
    </row>
    <row r="806" spans="1:23" x14ac:dyDescent="0.25">
      <c r="A806">
        <v>805</v>
      </c>
      <c r="B806">
        <v>1</v>
      </c>
      <c r="C806" t="str">
        <f>IF(Titanic_Dataset[[#This Row],[Survived]]=1,"Survived","Died")</f>
        <v>Survived</v>
      </c>
      <c r="D806">
        <v>3</v>
      </c>
      <c r="E806" t="str">
        <f>IF(Titanic_Dataset[[#This Row],[Pclass]]=1,"1st",IF(Titanic_Dataset[[#This Row],[Pclass]]=2,"2nd",IF(Titanic_Dataset[[#This Row],[Pclass]]=3,"3rd")))</f>
        <v>3rd</v>
      </c>
      <c r="F806" s="1" t="s">
        <v>1584</v>
      </c>
      <c r="G806" s="1" t="str">
        <f>TRIM(MID(Titanic_Dataset[[#This Row],[Name]],
FIND(",",Titanic_Dataset[[#This Row],[Name]])+2,
FIND(".",Titanic_Dataset[[#This Row],[Name]],FIND(",",Titanic_Dataset[[#This Row],[Name]]))-FIND(",",Titanic_Dataset[[#This Row],[Name]])-1))</f>
        <v>Mr.</v>
      </c>
      <c r="H806" s="1" t="s">
        <v>13</v>
      </c>
      <c r="I806">
        <v>27</v>
      </c>
      <c r="J80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06">
        <v>0</v>
      </c>
      <c r="L806">
        <v>0</v>
      </c>
      <c r="M806">
        <f>Titanic_Dataset[[#This Row],[Parch]]+Titanic_Dataset[[#This Row],[SibSp]]</f>
        <v>0</v>
      </c>
      <c r="N806" s="1" t="s">
        <v>1585</v>
      </c>
      <c r="O806">
        <v>6.9749999999999996</v>
      </c>
      <c r="P806">
        <f>IF(Titanic_Dataset[[#This Row],[Survived]]=1,Titanic_Dataset[[#This Row],[Fare]],NA())</f>
        <v>6.9749999999999996</v>
      </c>
      <c r="Q806" t="e">
        <f>IF(Titanic_Dataset[[#This Row],[Survived]]=0,Titanic_Dataset[[#This Row],[Fare]],NA())</f>
        <v>#N/A</v>
      </c>
      <c r="R806" t="str">
        <f>VLOOKUP(Titanic_Dataset[[#This Row],[Fare]],Table2[],2,TRUE)</f>
        <v>low</v>
      </c>
      <c r="S806" s="1" t="s">
        <v>15</v>
      </c>
      <c r="T806" s="1" t="s">
        <v>16</v>
      </c>
      <c r="U806" s="1"/>
      <c r="V806" s="1"/>
      <c r="W806" s="1"/>
    </row>
    <row r="807" spans="1:23" x14ac:dyDescent="0.25">
      <c r="A807">
        <v>806</v>
      </c>
      <c r="B807">
        <v>0</v>
      </c>
      <c r="C807" t="str">
        <f>IF(Titanic_Dataset[[#This Row],[Survived]]=1,"Survived","Died")</f>
        <v>Died</v>
      </c>
      <c r="D807">
        <v>3</v>
      </c>
      <c r="E807" t="str">
        <f>IF(Titanic_Dataset[[#This Row],[Pclass]]=1,"1st",IF(Titanic_Dataset[[#This Row],[Pclass]]=2,"2nd",IF(Titanic_Dataset[[#This Row],[Pclass]]=3,"3rd")))</f>
        <v>3rd</v>
      </c>
      <c r="F807" s="1" t="s">
        <v>1586</v>
      </c>
      <c r="G807" s="1" t="str">
        <f>TRIM(MID(Titanic_Dataset[[#This Row],[Name]],
FIND(",",Titanic_Dataset[[#This Row],[Name]])+2,
FIND(".",Titanic_Dataset[[#This Row],[Name]],FIND(",",Titanic_Dataset[[#This Row],[Name]]))-FIND(",",Titanic_Dataset[[#This Row],[Name]])-1))</f>
        <v>Mr.</v>
      </c>
      <c r="H807" s="1" t="s">
        <v>13</v>
      </c>
      <c r="I807">
        <v>31</v>
      </c>
      <c r="J807" t="str">
        <f>IF(Titanic_Dataset[[#This Row],[Age]]&lt;12,"0-11",
IF(Titanic_Dataset[[#This Row],[Age]]&lt;20,"12-19",
IF(Titanic_Dataset[[#This Row],[Age]]&lt;30,"20-29",
IF(Titanic_Dataset[[#This Row],[Age]]&lt;40,"30-39",
IF(Titanic_Dataset[[#This Row],[Age]]&lt;50,"40-49",
IF(Titanic_Dataset[[#This Row],[Age]]&lt;60,"50-59",
IF(Titanic_Dataset[[#This Row],[Age]]&lt;70,"60-69",)))))))</f>
        <v>30-39</v>
      </c>
      <c r="K807">
        <v>0</v>
      </c>
      <c r="L807">
        <v>0</v>
      </c>
      <c r="M807">
        <f>Titanic_Dataset[[#This Row],[Parch]]+Titanic_Dataset[[#This Row],[SibSp]]</f>
        <v>0</v>
      </c>
      <c r="N807" s="1" t="s">
        <v>1587</v>
      </c>
      <c r="O807">
        <v>7.7750000000000004</v>
      </c>
      <c r="P807" t="e">
        <f>IF(Titanic_Dataset[[#This Row],[Survived]]=1,Titanic_Dataset[[#This Row],[Fare]],NA())</f>
        <v>#N/A</v>
      </c>
      <c r="Q807">
        <f>IF(Titanic_Dataset[[#This Row],[Survived]]=0,Titanic_Dataset[[#This Row],[Fare]],NA())</f>
        <v>7.7750000000000004</v>
      </c>
      <c r="R807" t="str">
        <f>VLOOKUP(Titanic_Dataset[[#This Row],[Fare]],Table2[],2,TRUE)</f>
        <v>low</v>
      </c>
      <c r="S807" s="1" t="s">
        <v>15</v>
      </c>
      <c r="T807" s="1" t="s">
        <v>16</v>
      </c>
      <c r="U807" s="1"/>
      <c r="V807" s="1"/>
      <c r="W807" s="1"/>
    </row>
    <row r="808" spans="1:23" x14ac:dyDescent="0.25">
      <c r="A808">
        <v>807</v>
      </c>
      <c r="B808">
        <v>0</v>
      </c>
      <c r="C808" t="str">
        <f>IF(Titanic_Dataset[[#This Row],[Survived]]=1,"Survived","Died")</f>
        <v>Died</v>
      </c>
      <c r="D808">
        <v>1</v>
      </c>
      <c r="E808" t="str">
        <f>IF(Titanic_Dataset[[#This Row],[Pclass]]=1,"1st",IF(Titanic_Dataset[[#This Row],[Pclass]]=2,"2nd",IF(Titanic_Dataset[[#This Row],[Pclass]]=3,"3rd")))</f>
        <v>1st</v>
      </c>
      <c r="F808" s="1" t="s">
        <v>1588</v>
      </c>
      <c r="G808" s="1" t="str">
        <f>TRIM(MID(Titanic_Dataset[[#This Row],[Name]],
FIND(",",Titanic_Dataset[[#This Row],[Name]])+2,
FIND(".",Titanic_Dataset[[#This Row],[Name]],FIND(",",Titanic_Dataset[[#This Row],[Name]]))-FIND(",",Titanic_Dataset[[#This Row],[Name]])-1))</f>
        <v>Mr.</v>
      </c>
      <c r="H808" s="1" t="s">
        <v>13</v>
      </c>
      <c r="I808">
        <v>39</v>
      </c>
      <c r="J808" t="str">
        <f>IF(Titanic_Dataset[[#This Row],[Age]]&lt;12,"0-11",
IF(Titanic_Dataset[[#This Row],[Age]]&lt;20,"12-19",
IF(Titanic_Dataset[[#This Row],[Age]]&lt;30,"20-29",
IF(Titanic_Dataset[[#This Row],[Age]]&lt;40,"30-39",
IF(Titanic_Dataset[[#This Row],[Age]]&lt;50,"40-49",
IF(Titanic_Dataset[[#This Row],[Age]]&lt;60,"50-59",
IF(Titanic_Dataset[[#This Row],[Age]]&lt;70,"60-69",)))))))</f>
        <v>30-39</v>
      </c>
      <c r="K808">
        <v>0</v>
      </c>
      <c r="L808">
        <v>0</v>
      </c>
      <c r="M808">
        <f>Titanic_Dataset[[#This Row],[Parch]]+Titanic_Dataset[[#This Row],[SibSp]]</f>
        <v>0</v>
      </c>
      <c r="N808" s="1" t="s">
        <v>1589</v>
      </c>
      <c r="O808">
        <v>0</v>
      </c>
      <c r="P808" t="e">
        <f>IF(Titanic_Dataset[[#This Row],[Survived]]=1,Titanic_Dataset[[#This Row],[Fare]],NA())</f>
        <v>#N/A</v>
      </c>
      <c r="Q808">
        <f>IF(Titanic_Dataset[[#This Row],[Survived]]=0,Titanic_Dataset[[#This Row],[Fare]],NA())</f>
        <v>0</v>
      </c>
      <c r="R808" t="str">
        <f>VLOOKUP(Titanic_Dataset[[#This Row],[Fare]],Table2[],2,TRUE)</f>
        <v>low</v>
      </c>
      <c r="S808" s="1" t="s">
        <v>1590</v>
      </c>
      <c r="T808" s="1" t="s">
        <v>16</v>
      </c>
      <c r="U808" s="1"/>
      <c r="V808" s="1"/>
      <c r="W808" s="1"/>
    </row>
    <row r="809" spans="1:23" x14ac:dyDescent="0.25">
      <c r="A809">
        <v>808</v>
      </c>
      <c r="B809">
        <v>0</v>
      </c>
      <c r="C809" t="str">
        <f>IF(Titanic_Dataset[[#This Row],[Survived]]=1,"Survived","Died")</f>
        <v>Died</v>
      </c>
      <c r="D809">
        <v>3</v>
      </c>
      <c r="E809" t="str">
        <f>IF(Titanic_Dataset[[#This Row],[Pclass]]=1,"1st",IF(Titanic_Dataset[[#This Row],[Pclass]]=2,"2nd",IF(Titanic_Dataset[[#This Row],[Pclass]]=3,"3rd")))</f>
        <v>3rd</v>
      </c>
      <c r="F809" s="1" t="s">
        <v>1591</v>
      </c>
      <c r="G809" s="1" t="str">
        <f>TRIM(MID(Titanic_Dataset[[#This Row],[Name]],
FIND(",",Titanic_Dataset[[#This Row],[Name]])+2,
FIND(".",Titanic_Dataset[[#This Row],[Name]],FIND(",",Titanic_Dataset[[#This Row],[Name]]))-FIND(",",Titanic_Dataset[[#This Row],[Name]])-1))</f>
        <v>Miss.</v>
      </c>
      <c r="H809" s="1" t="s">
        <v>18</v>
      </c>
      <c r="I809">
        <v>18</v>
      </c>
      <c r="J809" t="str">
        <f>IF(Titanic_Dataset[[#This Row],[Age]]&lt;12,"0-11",
IF(Titanic_Dataset[[#This Row],[Age]]&lt;20,"12-19",
IF(Titanic_Dataset[[#This Row],[Age]]&lt;30,"20-29",
IF(Titanic_Dataset[[#This Row],[Age]]&lt;40,"30-39",
IF(Titanic_Dataset[[#This Row],[Age]]&lt;50,"40-49",
IF(Titanic_Dataset[[#This Row],[Age]]&lt;60,"50-59",
IF(Titanic_Dataset[[#This Row],[Age]]&lt;70,"60-69",)))))))</f>
        <v>12-19</v>
      </c>
      <c r="K809">
        <v>0</v>
      </c>
      <c r="L809">
        <v>0</v>
      </c>
      <c r="M809">
        <f>Titanic_Dataset[[#This Row],[Parch]]+Titanic_Dataset[[#This Row],[SibSp]]</f>
        <v>0</v>
      </c>
      <c r="N809" s="1" t="s">
        <v>1592</v>
      </c>
      <c r="O809">
        <v>7.7750000000000004</v>
      </c>
      <c r="P809" t="e">
        <f>IF(Titanic_Dataset[[#This Row],[Survived]]=1,Titanic_Dataset[[#This Row],[Fare]],NA())</f>
        <v>#N/A</v>
      </c>
      <c r="Q809">
        <f>IF(Titanic_Dataset[[#This Row],[Survived]]=0,Titanic_Dataset[[#This Row],[Fare]],NA())</f>
        <v>7.7750000000000004</v>
      </c>
      <c r="R809" t="str">
        <f>VLOOKUP(Titanic_Dataset[[#This Row],[Fare]],Table2[],2,TRUE)</f>
        <v>low</v>
      </c>
      <c r="S809" s="1" t="s">
        <v>15</v>
      </c>
      <c r="T809" s="1" t="s">
        <v>16</v>
      </c>
      <c r="U809" s="1"/>
      <c r="V809" s="1"/>
      <c r="W809" s="1"/>
    </row>
    <row r="810" spans="1:23" x14ac:dyDescent="0.25">
      <c r="A810">
        <v>809</v>
      </c>
      <c r="B810">
        <v>0</v>
      </c>
      <c r="C810" t="str">
        <f>IF(Titanic_Dataset[[#This Row],[Survived]]=1,"Survived","Died")</f>
        <v>Died</v>
      </c>
      <c r="D810">
        <v>2</v>
      </c>
      <c r="E810" t="str">
        <f>IF(Titanic_Dataset[[#This Row],[Pclass]]=1,"1st",IF(Titanic_Dataset[[#This Row],[Pclass]]=2,"2nd",IF(Titanic_Dataset[[#This Row],[Pclass]]=3,"3rd")))</f>
        <v>2nd</v>
      </c>
      <c r="F810" s="1" t="s">
        <v>1593</v>
      </c>
      <c r="G810" s="1" t="str">
        <f>TRIM(MID(Titanic_Dataset[[#This Row],[Name]],
FIND(",",Titanic_Dataset[[#This Row],[Name]])+2,
FIND(".",Titanic_Dataset[[#This Row],[Name]],FIND(",",Titanic_Dataset[[#This Row],[Name]]))-FIND(",",Titanic_Dataset[[#This Row],[Name]])-1))</f>
        <v>Mr.</v>
      </c>
      <c r="H810" s="1" t="s">
        <v>13</v>
      </c>
      <c r="I810">
        <v>39</v>
      </c>
      <c r="J810" t="str">
        <f>IF(Titanic_Dataset[[#This Row],[Age]]&lt;12,"0-11",
IF(Titanic_Dataset[[#This Row],[Age]]&lt;20,"12-19",
IF(Titanic_Dataset[[#This Row],[Age]]&lt;30,"20-29",
IF(Titanic_Dataset[[#This Row],[Age]]&lt;40,"30-39",
IF(Titanic_Dataset[[#This Row],[Age]]&lt;50,"40-49",
IF(Titanic_Dataset[[#This Row],[Age]]&lt;60,"50-59",
IF(Titanic_Dataset[[#This Row],[Age]]&lt;70,"60-69",)))))))</f>
        <v>30-39</v>
      </c>
      <c r="K810">
        <v>0</v>
      </c>
      <c r="L810">
        <v>0</v>
      </c>
      <c r="M810">
        <f>Titanic_Dataset[[#This Row],[Parch]]+Titanic_Dataset[[#This Row],[SibSp]]</f>
        <v>0</v>
      </c>
      <c r="N810" s="1" t="s">
        <v>1594</v>
      </c>
      <c r="O810">
        <v>13</v>
      </c>
      <c r="P810" t="e">
        <f>IF(Titanic_Dataset[[#This Row],[Survived]]=1,Titanic_Dataset[[#This Row],[Fare]],NA())</f>
        <v>#N/A</v>
      </c>
      <c r="Q810">
        <f>IF(Titanic_Dataset[[#This Row],[Survived]]=0,Titanic_Dataset[[#This Row],[Fare]],NA())</f>
        <v>13</v>
      </c>
      <c r="R810" t="str">
        <f>VLOOKUP(Titanic_Dataset[[#This Row],[Fare]],Table2[],2,TRUE)</f>
        <v>medium</v>
      </c>
      <c r="S810" s="1" t="s">
        <v>15</v>
      </c>
      <c r="T810" s="1" t="s">
        <v>16</v>
      </c>
      <c r="U810" s="1"/>
      <c r="V810" s="1"/>
      <c r="W810" s="1"/>
    </row>
    <row r="811" spans="1:23" x14ac:dyDescent="0.25">
      <c r="A811">
        <v>810</v>
      </c>
      <c r="B811">
        <v>1</v>
      </c>
      <c r="C811" t="str">
        <f>IF(Titanic_Dataset[[#This Row],[Survived]]=1,"Survived","Died")</f>
        <v>Survived</v>
      </c>
      <c r="D811">
        <v>1</v>
      </c>
      <c r="E811" t="str">
        <f>IF(Titanic_Dataset[[#This Row],[Pclass]]=1,"1st",IF(Titanic_Dataset[[#This Row],[Pclass]]=2,"2nd",IF(Titanic_Dataset[[#This Row],[Pclass]]=3,"3rd")))</f>
        <v>1st</v>
      </c>
      <c r="F811" s="1" t="s">
        <v>1595</v>
      </c>
      <c r="G811" s="1" t="str">
        <f>TRIM(MID(Titanic_Dataset[[#This Row],[Name]],
FIND(",",Titanic_Dataset[[#This Row],[Name]])+2,
FIND(".",Titanic_Dataset[[#This Row],[Name]],FIND(",",Titanic_Dataset[[#This Row],[Name]]))-FIND(",",Titanic_Dataset[[#This Row],[Name]])-1))</f>
        <v>Mrs.</v>
      </c>
      <c r="H811" s="1" t="s">
        <v>18</v>
      </c>
      <c r="I811">
        <v>33</v>
      </c>
      <c r="J811" t="str">
        <f>IF(Titanic_Dataset[[#This Row],[Age]]&lt;12,"0-11",
IF(Titanic_Dataset[[#This Row],[Age]]&lt;20,"12-19",
IF(Titanic_Dataset[[#This Row],[Age]]&lt;30,"20-29",
IF(Titanic_Dataset[[#This Row],[Age]]&lt;40,"30-39",
IF(Titanic_Dataset[[#This Row],[Age]]&lt;50,"40-49",
IF(Titanic_Dataset[[#This Row],[Age]]&lt;60,"50-59",
IF(Titanic_Dataset[[#This Row],[Age]]&lt;70,"60-69",)))))))</f>
        <v>30-39</v>
      </c>
      <c r="K811">
        <v>1</v>
      </c>
      <c r="L811">
        <v>0</v>
      </c>
      <c r="M811">
        <f>Titanic_Dataset[[#This Row],[Parch]]+Titanic_Dataset[[#This Row],[SibSp]]</f>
        <v>1</v>
      </c>
      <c r="N811" s="1" t="s">
        <v>1441</v>
      </c>
      <c r="O811">
        <v>53.1</v>
      </c>
      <c r="P811">
        <f>IF(Titanic_Dataset[[#This Row],[Survived]]=1,Titanic_Dataset[[#This Row],[Fare]],NA())</f>
        <v>53.1</v>
      </c>
      <c r="Q811" t="e">
        <f>IF(Titanic_Dataset[[#This Row],[Survived]]=0,Titanic_Dataset[[#This Row],[Fare]],NA())</f>
        <v>#N/A</v>
      </c>
      <c r="R811" t="str">
        <f>VLOOKUP(Titanic_Dataset[[#This Row],[Fare]],Table2[],2,TRUE)</f>
        <v>very hiegh</v>
      </c>
      <c r="S811" s="1" t="s">
        <v>1442</v>
      </c>
      <c r="T811" s="1" t="s">
        <v>16</v>
      </c>
      <c r="U811" s="1"/>
      <c r="V811" s="1"/>
      <c r="W811" s="1"/>
    </row>
    <row r="812" spans="1:23" x14ac:dyDescent="0.25">
      <c r="A812">
        <v>811</v>
      </c>
      <c r="B812">
        <v>0</v>
      </c>
      <c r="C812" t="str">
        <f>IF(Titanic_Dataset[[#This Row],[Survived]]=1,"Survived","Died")</f>
        <v>Died</v>
      </c>
      <c r="D812">
        <v>3</v>
      </c>
      <c r="E812" t="str">
        <f>IF(Titanic_Dataset[[#This Row],[Pclass]]=1,"1st",IF(Titanic_Dataset[[#This Row],[Pclass]]=2,"2nd",IF(Titanic_Dataset[[#This Row],[Pclass]]=3,"3rd")))</f>
        <v>3rd</v>
      </c>
      <c r="F812" s="1" t="s">
        <v>1596</v>
      </c>
      <c r="G812" s="1" t="str">
        <f>TRIM(MID(Titanic_Dataset[[#This Row],[Name]],
FIND(",",Titanic_Dataset[[#This Row],[Name]])+2,
FIND(".",Titanic_Dataset[[#This Row],[Name]],FIND(",",Titanic_Dataset[[#This Row],[Name]]))-FIND(",",Titanic_Dataset[[#This Row],[Name]])-1))</f>
        <v>Mr.</v>
      </c>
      <c r="H812" s="1" t="s">
        <v>13</v>
      </c>
      <c r="I812">
        <v>26</v>
      </c>
      <c r="J81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12">
        <v>0</v>
      </c>
      <c r="L812">
        <v>0</v>
      </c>
      <c r="M812">
        <f>Titanic_Dataset[[#This Row],[Parch]]+Titanic_Dataset[[#This Row],[SibSp]]</f>
        <v>0</v>
      </c>
      <c r="N812" s="1" t="s">
        <v>1597</v>
      </c>
      <c r="O812">
        <v>7.8875000000000002</v>
      </c>
      <c r="P812" t="e">
        <f>IF(Titanic_Dataset[[#This Row],[Survived]]=1,Titanic_Dataset[[#This Row],[Fare]],NA())</f>
        <v>#N/A</v>
      </c>
      <c r="Q812">
        <f>IF(Titanic_Dataset[[#This Row],[Survived]]=0,Titanic_Dataset[[#This Row],[Fare]],NA())</f>
        <v>7.8875000000000002</v>
      </c>
      <c r="R812" t="str">
        <f>VLOOKUP(Titanic_Dataset[[#This Row],[Fare]],Table2[],2,TRUE)</f>
        <v>low</v>
      </c>
      <c r="S812" s="1" t="s">
        <v>15</v>
      </c>
      <c r="T812" s="1" t="s">
        <v>16</v>
      </c>
      <c r="U812" s="1"/>
      <c r="V812" s="1"/>
      <c r="W812" s="1"/>
    </row>
    <row r="813" spans="1:23" x14ac:dyDescent="0.25">
      <c r="A813">
        <v>812</v>
      </c>
      <c r="B813">
        <v>0</v>
      </c>
      <c r="C813" t="str">
        <f>IF(Titanic_Dataset[[#This Row],[Survived]]=1,"Survived","Died")</f>
        <v>Died</v>
      </c>
      <c r="D813">
        <v>3</v>
      </c>
      <c r="E813" t="str">
        <f>IF(Titanic_Dataset[[#This Row],[Pclass]]=1,"1st",IF(Titanic_Dataset[[#This Row],[Pclass]]=2,"2nd",IF(Titanic_Dataset[[#This Row],[Pclass]]=3,"3rd")))</f>
        <v>3rd</v>
      </c>
      <c r="F813" s="1" t="s">
        <v>1598</v>
      </c>
      <c r="G813" s="1" t="str">
        <f>TRIM(MID(Titanic_Dataset[[#This Row],[Name]],
FIND(",",Titanic_Dataset[[#This Row],[Name]])+2,
FIND(".",Titanic_Dataset[[#This Row],[Name]],FIND(",",Titanic_Dataset[[#This Row],[Name]]))-FIND(",",Titanic_Dataset[[#This Row],[Name]])-1))</f>
        <v>Mr.</v>
      </c>
      <c r="H813" s="1" t="s">
        <v>13</v>
      </c>
      <c r="I813">
        <v>39</v>
      </c>
      <c r="J813" t="str">
        <f>IF(Titanic_Dataset[[#This Row],[Age]]&lt;12,"0-11",
IF(Titanic_Dataset[[#This Row],[Age]]&lt;20,"12-19",
IF(Titanic_Dataset[[#This Row],[Age]]&lt;30,"20-29",
IF(Titanic_Dataset[[#This Row],[Age]]&lt;40,"30-39",
IF(Titanic_Dataset[[#This Row],[Age]]&lt;50,"40-49",
IF(Titanic_Dataset[[#This Row],[Age]]&lt;60,"50-59",
IF(Titanic_Dataset[[#This Row],[Age]]&lt;70,"60-69",)))))))</f>
        <v>30-39</v>
      </c>
      <c r="K813">
        <v>0</v>
      </c>
      <c r="L813">
        <v>0</v>
      </c>
      <c r="M813">
        <f>Titanic_Dataset[[#This Row],[Parch]]+Titanic_Dataset[[#This Row],[SibSp]]</f>
        <v>0</v>
      </c>
      <c r="N813" s="1" t="s">
        <v>1149</v>
      </c>
      <c r="O813">
        <v>24.15</v>
      </c>
      <c r="P813" t="e">
        <f>IF(Titanic_Dataset[[#This Row],[Survived]]=1,Titanic_Dataset[[#This Row],[Fare]],NA())</f>
        <v>#N/A</v>
      </c>
      <c r="Q813">
        <f>IF(Titanic_Dataset[[#This Row],[Survived]]=0,Titanic_Dataset[[#This Row],[Fare]],NA())</f>
        <v>24.15</v>
      </c>
      <c r="R813" t="str">
        <f>VLOOKUP(Titanic_Dataset[[#This Row],[Fare]],Table2[],2,TRUE)</f>
        <v>high</v>
      </c>
      <c r="S813" s="1" t="s">
        <v>15</v>
      </c>
      <c r="T813" s="1" t="s">
        <v>16</v>
      </c>
      <c r="U813" s="1"/>
      <c r="V813" s="1"/>
      <c r="W813" s="1"/>
    </row>
    <row r="814" spans="1:23" x14ac:dyDescent="0.25">
      <c r="A814">
        <v>813</v>
      </c>
      <c r="B814">
        <v>0</v>
      </c>
      <c r="C814" t="str">
        <f>IF(Titanic_Dataset[[#This Row],[Survived]]=1,"Survived","Died")</f>
        <v>Died</v>
      </c>
      <c r="D814">
        <v>2</v>
      </c>
      <c r="E814" t="str">
        <f>IF(Titanic_Dataset[[#This Row],[Pclass]]=1,"1st",IF(Titanic_Dataset[[#This Row],[Pclass]]=2,"2nd",IF(Titanic_Dataset[[#This Row],[Pclass]]=3,"3rd")))</f>
        <v>2nd</v>
      </c>
      <c r="F814" s="1" t="s">
        <v>1599</v>
      </c>
      <c r="G814" s="1" t="str">
        <f>TRIM(MID(Titanic_Dataset[[#This Row],[Name]],
FIND(",",Titanic_Dataset[[#This Row],[Name]])+2,
FIND(".",Titanic_Dataset[[#This Row],[Name]],FIND(",",Titanic_Dataset[[#This Row],[Name]]))-FIND(",",Titanic_Dataset[[#This Row],[Name]])-1))</f>
        <v>Mr.</v>
      </c>
      <c r="H814" s="1" t="s">
        <v>13</v>
      </c>
      <c r="I814">
        <v>35</v>
      </c>
      <c r="J814" t="str">
        <f>IF(Titanic_Dataset[[#This Row],[Age]]&lt;12,"0-11",
IF(Titanic_Dataset[[#This Row],[Age]]&lt;20,"12-19",
IF(Titanic_Dataset[[#This Row],[Age]]&lt;30,"20-29",
IF(Titanic_Dataset[[#This Row],[Age]]&lt;40,"30-39",
IF(Titanic_Dataset[[#This Row],[Age]]&lt;50,"40-49",
IF(Titanic_Dataset[[#This Row],[Age]]&lt;60,"50-59",
IF(Titanic_Dataset[[#This Row],[Age]]&lt;70,"60-69",)))))))</f>
        <v>30-39</v>
      </c>
      <c r="K814">
        <v>0</v>
      </c>
      <c r="L814">
        <v>0</v>
      </c>
      <c r="M814">
        <f>Titanic_Dataset[[#This Row],[Parch]]+Titanic_Dataset[[#This Row],[SibSp]]</f>
        <v>0</v>
      </c>
      <c r="N814" s="1" t="s">
        <v>1600</v>
      </c>
      <c r="O814">
        <v>10.5</v>
      </c>
      <c r="P814" t="e">
        <f>IF(Titanic_Dataset[[#This Row],[Survived]]=1,Titanic_Dataset[[#This Row],[Fare]],NA())</f>
        <v>#N/A</v>
      </c>
      <c r="Q814">
        <f>IF(Titanic_Dataset[[#This Row],[Survived]]=0,Titanic_Dataset[[#This Row],[Fare]],NA())</f>
        <v>10.5</v>
      </c>
      <c r="R814" t="str">
        <f>VLOOKUP(Titanic_Dataset[[#This Row],[Fare]],Table2[],2,TRUE)</f>
        <v>medium</v>
      </c>
      <c r="S814" s="1" t="s">
        <v>15</v>
      </c>
      <c r="T814" s="1" t="s">
        <v>16</v>
      </c>
      <c r="U814" s="1"/>
      <c r="V814" s="1"/>
      <c r="W814" s="1"/>
    </row>
    <row r="815" spans="1:23" x14ac:dyDescent="0.25">
      <c r="A815">
        <v>814</v>
      </c>
      <c r="B815">
        <v>0</v>
      </c>
      <c r="C815" t="str">
        <f>IF(Titanic_Dataset[[#This Row],[Survived]]=1,"Survived","Died")</f>
        <v>Died</v>
      </c>
      <c r="D815">
        <v>3</v>
      </c>
      <c r="E815" t="str">
        <f>IF(Titanic_Dataset[[#This Row],[Pclass]]=1,"1st",IF(Titanic_Dataset[[#This Row],[Pclass]]=2,"2nd",IF(Titanic_Dataset[[#This Row],[Pclass]]=3,"3rd")))</f>
        <v>3rd</v>
      </c>
      <c r="F815" s="1" t="s">
        <v>1601</v>
      </c>
      <c r="G815" s="1" t="str">
        <f>TRIM(MID(Titanic_Dataset[[#This Row],[Name]],
FIND(",",Titanic_Dataset[[#This Row],[Name]])+2,
FIND(".",Titanic_Dataset[[#This Row],[Name]],FIND(",",Titanic_Dataset[[#This Row],[Name]]))-FIND(",",Titanic_Dataset[[#This Row],[Name]])-1))</f>
        <v>Miss.</v>
      </c>
      <c r="H815" s="1" t="s">
        <v>18</v>
      </c>
      <c r="I815">
        <v>6</v>
      </c>
      <c r="J815" t="str">
        <f>IF(Titanic_Dataset[[#This Row],[Age]]&lt;12,"0-11",
IF(Titanic_Dataset[[#This Row],[Age]]&lt;20,"12-19",
IF(Titanic_Dataset[[#This Row],[Age]]&lt;30,"20-29",
IF(Titanic_Dataset[[#This Row],[Age]]&lt;40,"30-39",
IF(Titanic_Dataset[[#This Row],[Age]]&lt;50,"40-49",
IF(Titanic_Dataset[[#This Row],[Age]]&lt;60,"50-59",
IF(Titanic_Dataset[[#This Row],[Age]]&lt;70,"60-69",)))))))</f>
        <v>0-11</v>
      </c>
      <c r="K815">
        <v>4</v>
      </c>
      <c r="L815">
        <v>2</v>
      </c>
      <c r="M815">
        <f>Titanic_Dataset[[#This Row],[Parch]]+Titanic_Dataset[[#This Row],[SibSp]]</f>
        <v>6</v>
      </c>
      <c r="N815" s="1" t="s">
        <v>50</v>
      </c>
      <c r="O815">
        <v>31.274999999999999</v>
      </c>
      <c r="P815" t="e">
        <f>IF(Titanic_Dataset[[#This Row],[Survived]]=1,Titanic_Dataset[[#This Row],[Fare]],NA())</f>
        <v>#N/A</v>
      </c>
      <c r="Q815">
        <f>IF(Titanic_Dataset[[#This Row],[Survived]]=0,Titanic_Dataset[[#This Row],[Fare]],NA())</f>
        <v>31.274999999999999</v>
      </c>
      <c r="R815" t="str">
        <f>VLOOKUP(Titanic_Dataset[[#This Row],[Fare]],Table2[],2,TRUE)</f>
        <v>very hiegh</v>
      </c>
      <c r="S815" s="1" t="s">
        <v>15</v>
      </c>
      <c r="T815" s="1" t="s">
        <v>16</v>
      </c>
      <c r="U815" s="1"/>
      <c r="V815" s="1"/>
      <c r="W815" s="1"/>
    </row>
    <row r="816" spans="1:23" x14ac:dyDescent="0.25">
      <c r="A816">
        <v>815</v>
      </c>
      <c r="B816">
        <v>0</v>
      </c>
      <c r="C816" t="str">
        <f>IF(Titanic_Dataset[[#This Row],[Survived]]=1,"Survived","Died")</f>
        <v>Died</v>
      </c>
      <c r="D816">
        <v>3</v>
      </c>
      <c r="E816" t="str">
        <f>IF(Titanic_Dataset[[#This Row],[Pclass]]=1,"1st",IF(Titanic_Dataset[[#This Row],[Pclass]]=2,"2nd",IF(Titanic_Dataset[[#This Row],[Pclass]]=3,"3rd")))</f>
        <v>3rd</v>
      </c>
      <c r="F816" s="1" t="s">
        <v>1602</v>
      </c>
      <c r="G816" s="1" t="str">
        <f>TRIM(MID(Titanic_Dataset[[#This Row],[Name]],
FIND(",",Titanic_Dataset[[#This Row],[Name]])+2,
FIND(".",Titanic_Dataset[[#This Row],[Name]],FIND(",",Titanic_Dataset[[#This Row],[Name]]))-FIND(",",Titanic_Dataset[[#This Row],[Name]])-1))</f>
        <v>Mr.</v>
      </c>
      <c r="H816" s="1" t="s">
        <v>13</v>
      </c>
      <c r="I816">
        <v>30.5</v>
      </c>
      <c r="J816" t="str">
        <f>IF(Titanic_Dataset[[#This Row],[Age]]&lt;12,"0-11",
IF(Titanic_Dataset[[#This Row],[Age]]&lt;20,"12-19",
IF(Titanic_Dataset[[#This Row],[Age]]&lt;30,"20-29",
IF(Titanic_Dataset[[#This Row],[Age]]&lt;40,"30-39",
IF(Titanic_Dataset[[#This Row],[Age]]&lt;50,"40-49",
IF(Titanic_Dataset[[#This Row],[Age]]&lt;60,"50-59",
IF(Titanic_Dataset[[#This Row],[Age]]&lt;70,"60-69",)))))))</f>
        <v>30-39</v>
      </c>
      <c r="K816">
        <v>0</v>
      </c>
      <c r="L816">
        <v>0</v>
      </c>
      <c r="M816">
        <f>Titanic_Dataset[[#This Row],[Parch]]+Titanic_Dataset[[#This Row],[SibSp]]</f>
        <v>0</v>
      </c>
      <c r="N816" s="1" t="s">
        <v>1603</v>
      </c>
      <c r="O816">
        <v>8.0500000000000007</v>
      </c>
      <c r="P816" t="e">
        <f>IF(Titanic_Dataset[[#This Row],[Survived]]=1,Titanic_Dataset[[#This Row],[Fare]],NA())</f>
        <v>#N/A</v>
      </c>
      <c r="Q816">
        <f>IF(Titanic_Dataset[[#This Row],[Survived]]=0,Titanic_Dataset[[#This Row],[Fare]],NA())</f>
        <v>8.0500000000000007</v>
      </c>
      <c r="R816" t="str">
        <f>VLOOKUP(Titanic_Dataset[[#This Row],[Fare]],Table2[],2,TRUE)</f>
        <v>medium</v>
      </c>
      <c r="S816" s="1" t="s">
        <v>15</v>
      </c>
      <c r="T816" s="1" t="s">
        <v>16</v>
      </c>
      <c r="U816" s="1"/>
      <c r="V816" s="1"/>
      <c r="W816" s="1"/>
    </row>
    <row r="817" spans="1:23" x14ac:dyDescent="0.25">
      <c r="A817">
        <v>816</v>
      </c>
      <c r="B817">
        <v>0</v>
      </c>
      <c r="C817" t="str">
        <f>IF(Titanic_Dataset[[#This Row],[Survived]]=1,"Survived","Died")</f>
        <v>Died</v>
      </c>
      <c r="D817">
        <v>1</v>
      </c>
      <c r="E817" t="str">
        <f>IF(Titanic_Dataset[[#This Row],[Pclass]]=1,"1st",IF(Titanic_Dataset[[#This Row],[Pclass]]=2,"2nd",IF(Titanic_Dataset[[#This Row],[Pclass]]=3,"3rd")))</f>
        <v>1st</v>
      </c>
      <c r="F817" s="1" t="s">
        <v>1604</v>
      </c>
      <c r="G817" s="1" t="str">
        <f>TRIM(MID(Titanic_Dataset[[#This Row],[Name]],
FIND(",",Titanic_Dataset[[#This Row],[Name]])+2,
FIND(".",Titanic_Dataset[[#This Row],[Name]],FIND(",",Titanic_Dataset[[#This Row],[Name]]))-FIND(",",Titanic_Dataset[[#This Row],[Name]])-1))</f>
        <v>Mr.</v>
      </c>
      <c r="H817" s="1" t="s">
        <v>13</v>
      </c>
      <c r="I817">
        <v>28</v>
      </c>
      <c r="J81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17">
        <v>0</v>
      </c>
      <c r="L817">
        <v>0</v>
      </c>
      <c r="M817">
        <f>Titanic_Dataset[[#This Row],[Parch]]+Titanic_Dataset[[#This Row],[SibSp]]</f>
        <v>0</v>
      </c>
      <c r="N817" s="1" t="s">
        <v>1605</v>
      </c>
      <c r="O817">
        <v>0</v>
      </c>
      <c r="P817" t="e">
        <f>IF(Titanic_Dataset[[#This Row],[Survived]]=1,Titanic_Dataset[[#This Row],[Fare]],NA())</f>
        <v>#N/A</v>
      </c>
      <c r="Q817">
        <f>IF(Titanic_Dataset[[#This Row],[Survived]]=0,Titanic_Dataset[[#This Row],[Fare]],NA())</f>
        <v>0</v>
      </c>
      <c r="R817" t="str">
        <f>VLOOKUP(Titanic_Dataset[[#This Row],[Fare]],Table2[],2,TRUE)</f>
        <v>low</v>
      </c>
      <c r="S817" s="1" t="s">
        <v>1606</v>
      </c>
      <c r="T817" s="1" t="s">
        <v>16</v>
      </c>
      <c r="U817" s="1"/>
      <c r="V817" s="1"/>
      <c r="W817" s="1"/>
    </row>
    <row r="818" spans="1:23" x14ac:dyDescent="0.25">
      <c r="A818">
        <v>817</v>
      </c>
      <c r="B818">
        <v>0</v>
      </c>
      <c r="C818" t="str">
        <f>IF(Titanic_Dataset[[#This Row],[Survived]]=1,"Survived","Died")</f>
        <v>Died</v>
      </c>
      <c r="D818">
        <v>3</v>
      </c>
      <c r="E818" t="str">
        <f>IF(Titanic_Dataset[[#This Row],[Pclass]]=1,"1st",IF(Titanic_Dataset[[#This Row],[Pclass]]=2,"2nd",IF(Titanic_Dataset[[#This Row],[Pclass]]=3,"3rd")))</f>
        <v>3rd</v>
      </c>
      <c r="F818" s="1" t="s">
        <v>1607</v>
      </c>
      <c r="G818" s="1" t="str">
        <f>TRIM(MID(Titanic_Dataset[[#This Row],[Name]],
FIND(",",Titanic_Dataset[[#This Row],[Name]])+2,
FIND(".",Titanic_Dataset[[#This Row],[Name]],FIND(",",Titanic_Dataset[[#This Row],[Name]]))-FIND(",",Titanic_Dataset[[#This Row],[Name]])-1))</f>
        <v>Miss.</v>
      </c>
      <c r="H818" s="1" t="s">
        <v>18</v>
      </c>
      <c r="I818">
        <v>23</v>
      </c>
      <c r="J81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18">
        <v>0</v>
      </c>
      <c r="L818">
        <v>0</v>
      </c>
      <c r="M818">
        <f>Titanic_Dataset[[#This Row],[Parch]]+Titanic_Dataset[[#This Row],[SibSp]]</f>
        <v>0</v>
      </c>
      <c r="N818" s="1" t="s">
        <v>1608</v>
      </c>
      <c r="O818">
        <v>7.9249999999999998</v>
      </c>
      <c r="P818" t="e">
        <f>IF(Titanic_Dataset[[#This Row],[Survived]]=1,Titanic_Dataset[[#This Row],[Fare]],NA())</f>
        <v>#N/A</v>
      </c>
      <c r="Q818">
        <f>IF(Titanic_Dataset[[#This Row],[Survived]]=0,Titanic_Dataset[[#This Row],[Fare]],NA())</f>
        <v>7.9249999999999998</v>
      </c>
      <c r="R818" t="str">
        <f>VLOOKUP(Titanic_Dataset[[#This Row],[Fare]],Table2[],2,TRUE)</f>
        <v>low</v>
      </c>
      <c r="S818" s="1" t="s">
        <v>15</v>
      </c>
      <c r="T818" s="1" t="s">
        <v>16</v>
      </c>
      <c r="U818" s="1"/>
      <c r="V818" s="1"/>
      <c r="W818" s="1"/>
    </row>
    <row r="819" spans="1:23" x14ac:dyDescent="0.25">
      <c r="A819">
        <v>818</v>
      </c>
      <c r="B819">
        <v>0</v>
      </c>
      <c r="C819" t="str">
        <f>IF(Titanic_Dataset[[#This Row],[Survived]]=1,"Survived","Died")</f>
        <v>Died</v>
      </c>
      <c r="D819">
        <v>2</v>
      </c>
      <c r="E819" t="str">
        <f>IF(Titanic_Dataset[[#This Row],[Pclass]]=1,"1st",IF(Titanic_Dataset[[#This Row],[Pclass]]=2,"2nd",IF(Titanic_Dataset[[#This Row],[Pclass]]=3,"3rd")))</f>
        <v>2nd</v>
      </c>
      <c r="F819" s="1" t="s">
        <v>1609</v>
      </c>
      <c r="G819" s="1" t="str">
        <f>TRIM(MID(Titanic_Dataset[[#This Row],[Name]],
FIND(",",Titanic_Dataset[[#This Row],[Name]])+2,
FIND(".",Titanic_Dataset[[#This Row],[Name]],FIND(",",Titanic_Dataset[[#This Row],[Name]]))-FIND(",",Titanic_Dataset[[#This Row],[Name]])-1))</f>
        <v>Mr.</v>
      </c>
      <c r="H819" s="1" t="s">
        <v>13</v>
      </c>
      <c r="I819">
        <v>31</v>
      </c>
      <c r="J819" t="str">
        <f>IF(Titanic_Dataset[[#This Row],[Age]]&lt;12,"0-11",
IF(Titanic_Dataset[[#This Row],[Age]]&lt;20,"12-19",
IF(Titanic_Dataset[[#This Row],[Age]]&lt;30,"20-29",
IF(Titanic_Dataset[[#This Row],[Age]]&lt;40,"30-39",
IF(Titanic_Dataset[[#This Row],[Age]]&lt;50,"40-49",
IF(Titanic_Dataset[[#This Row],[Age]]&lt;60,"50-59",
IF(Titanic_Dataset[[#This Row],[Age]]&lt;70,"60-69",)))))))</f>
        <v>30-39</v>
      </c>
      <c r="K819">
        <v>1</v>
      </c>
      <c r="L819">
        <v>1</v>
      </c>
      <c r="M819">
        <f>Titanic_Dataset[[#This Row],[Parch]]+Titanic_Dataset[[#This Row],[SibSp]]</f>
        <v>2</v>
      </c>
      <c r="N819" s="1" t="s">
        <v>1610</v>
      </c>
      <c r="O819">
        <v>37.004199999999997</v>
      </c>
      <c r="P819" t="e">
        <f>IF(Titanic_Dataset[[#This Row],[Survived]]=1,Titanic_Dataset[[#This Row],[Fare]],NA())</f>
        <v>#N/A</v>
      </c>
      <c r="Q819">
        <f>IF(Titanic_Dataset[[#This Row],[Survived]]=0,Titanic_Dataset[[#This Row],[Fare]],NA())</f>
        <v>37.004199999999997</v>
      </c>
      <c r="R819" t="str">
        <f>VLOOKUP(Titanic_Dataset[[#This Row],[Fare]],Table2[],2,TRUE)</f>
        <v>very hiegh</v>
      </c>
      <c r="S819" s="1" t="s">
        <v>15</v>
      </c>
      <c r="T819" s="1" t="s">
        <v>21</v>
      </c>
      <c r="U819" s="1"/>
      <c r="V819" s="1"/>
      <c r="W819" s="1"/>
    </row>
    <row r="820" spans="1:23" x14ac:dyDescent="0.25">
      <c r="A820">
        <v>819</v>
      </c>
      <c r="B820">
        <v>0</v>
      </c>
      <c r="C820" t="str">
        <f>IF(Titanic_Dataset[[#This Row],[Survived]]=1,"Survived","Died")</f>
        <v>Died</v>
      </c>
      <c r="D820">
        <v>3</v>
      </c>
      <c r="E820" t="str">
        <f>IF(Titanic_Dataset[[#This Row],[Pclass]]=1,"1st",IF(Titanic_Dataset[[#This Row],[Pclass]]=2,"2nd",IF(Titanic_Dataset[[#This Row],[Pclass]]=3,"3rd")))</f>
        <v>3rd</v>
      </c>
      <c r="F820" s="1" t="s">
        <v>1611</v>
      </c>
      <c r="G820" s="1" t="str">
        <f>TRIM(MID(Titanic_Dataset[[#This Row],[Name]],
FIND(",",Titanic_Dataset[[#This Row],[Name]])+2,
FIND(".",Titanic_Dataset[[#This Row],[Name]],FIND(",",Titanic_Dataset[[#This Row],[Name]]))-FIND(",",Titanic_Dataset[[#This Row],[Name]])-1))</f>
        <v>Mr.</v>
      </c>
      <c r="H820" s="1" t="s">
        <v>13</v>
      </c>
      <c r="I820">
        <v>43</v>
      </c>
      <c r="J820" t="str">
        <f>IF(Titanic_Dataset[[#This Row],[Age]]&lt;12,"0-11",
IF(Titanic_Dataset[[#This Row],[Age]]&lt;20,"12-19",
IF(Titanic_Dataset[[#This Row],[Age]]&lt;30,"20-29",
IF(Titanic_Dataset[[#This Row],[Age]]&lt;40,"30-39",
IF(Titanic_Dataset[[#This Row],[Age]]&lt;50,"40-49",
IF(Titanic_Dataset[[#This Row],[Age]]&lt;60,"50-59",
IF(Titanic_Dataset[[#This Row],[Age]]&lt;70,"60-69",)))))))</f>
        <v>40-49</v>
      </c>
      <c r="K820">
        <v>0</v>
      </c>
      <c r="L820">
        <v>0</v>
      </c>
      <c r="M820">
        <f>Titanic_Dataset[[#This Row],[Parch]]+Titanic_Dataset[[#This Row],[SibSp]]</f>
        <v>0</v>
      </c>
      <c r="N820" s="1" t="s">
        <v>1612</v>
      </c>
      <c r="O820">
        <v>6.45</v>
      </c>
      <c r="P820" t="e">
        <f>IF(Titanic_Dataset[[#This Row],[Survived]]=1,Titanic_Dataset[[#This Row],[Fare]],NA())</f>
        <v>#N/A</v>
      </c>
      <c r="Q820">
        <f>IF(Titanic_Dataset[[#This Row],[Survived]]=0,Titanic_Dataset[[#This Row],[Fare]],NA())</f>
        <v>6.45</v>
      </c>
      <c r="R820" t="str">
        <f>VLOOKUP(Titanic_Dataset[[#This Row],[Fare]],Table2[],2,TRUE)</f>
        <v>low</v>
      </c>
      <c r="S820" s="1" t="s">
        <v>15</v>
      </c>
      <c r="T820" s="1" t="s">
        <v>16</v>
      </c>
      <c r="U820" s="1"/>
      <c r="V820" s="1"/>
      <c r="W820" s="1"/>
    </row>
    <row r="821" spans="1:23" x14ac:dyDescent="0.25">
      <c r="A821">
        <v>820</v>
      </c>
      <c r="B821">
        <v>0</v>
      </c>
      <c r="C821" t="str">
        <f>IF(Titanic_Dataset[[#This Row],[Survived]]=1,"Survived","Died")</f>
        <v>Died</v>
      </c>
      <c r="D821">
        <v>3</v>
      </c>
      <c r="E821" t="str">
        <f>IF(Titanic_Dataset[[#This Row],[Pclass]]=1,"1st",IF(Titanic_Dataset[[#This Row],[Pclass]]=2,"2nd",IF(Titanic_Dataset[[#This Row],[Pclass]]=3,"3rd")))</f>
        <v>3rd</v>
      </c>
      <c r="F821" s="1" t="s">
        <v>1613</v>
      </c>
      <c r="G821" s="1" t="str">
        <f>TRIM(MID(Titanic_Dataset[[#This Row],[Name]],
FIND(",",Titanic_Dataset[[#This Row],[Name]])+2,
FIND(".",Titanic_Dataset[[#This Row],[Name]],FIND(",",Titanic_Dataset[[#This Row],[Name]]))-FIND(",",Titanic_Dataset[[#This Row],[Name]])-1))</f>
        <v>Master.</v>
      </c>
      <c r="H821" s="1" t="s">
        <v>13</v>
      </c>
      <c r="I821">
        <v>10</v>
      </c>
      <c r="J821" t="str">
        <f>IF(Titanic_Dataset[[#This Row],[Age]]&lt;12,"0-11",
IF(Titanic_Dataset[[#This Row],[Age]]&lt;20,"12-19",
IF(Titanic_Dataset[[#This Row],[Age]]&lt;30,"20-29",
IF(Titanic_Dataset[[#This Row],[Age]]&lt;40,"30-39",
IF(Titanic_Dataset[[#This Row],[Age]]&lt;50,"40-49",
IF(Titanic_Dataset[[#This Row],[Age]]&lt;60,"50-59",
IF(Titanic_Dataset[[#This Row],[Age]]&lt;70,"60-69",)))))))</f>
        <v>0-11</v>
      </c>
      <c r="K821">
        <v>3</v>
      </c>
      <c r="L821">
        <v>2</v>
      </c>
      <c r="M821">
        <f>Titanic_Dataset[[#This Row],[Parch]]+Titanic_Dataset[[#This Row],[SibSp]]</f>
        <v>5</v>
      </c>
      <c r="N821" s="1" t="s">
        <v>158</v>
      </c>
      <c r="O821">
        <v>27.9</v>
      </c>
      <c r="P821" t="e">
        <f>IF(Titanic_Dataset[[#This Row],[Survived]]=1,Titanic_Dataset[[#This Row],[Fare]],NA())</f>
        <v>#N/A</v>
      </c>
      <c r="Q821">
        <f>IF(Titanic_Dataset[[#This Row],[Survived]]=0,Titanic_Dataset[[#This Row],[Fare]],NA())</f>
        <v>27.9</v>
      </c>
      <c r="R821" t="str">
        <f>VLOOKUP(Titanic_Dataset[[#This Row],[Fare]],Table2[],2,TRUE)</f>
        <v>high</v>
      </c>
      <c r="S821" s="1" t="s">
        <v>15</v>
      </c>
      <c r="T821" s="1" t="s">
        <v>16</v>
      </c>
      <c r="U821" s="1"/>
      <c r="V821" s="1"/>
      <c r="W821" s="1"/>
    </row>
    <row r="822" spans="1:23" x14ac:dyDescent="0.25">
      <c r="A822">
        <v>821</v>
      </c>
      <c r="B822">
        <v>1</v>
      </c>
      <c r="C822" t="str">
        <f>IF(Titanic_Dataset[[#This Row],[Survived]]=1,"Survived","Died")</f>
        <v>Survived</v>
      </c>
      <c r="D822">
        <v>1</v>
      </c>
      <c r="E822" t="str">
        <f>IF(Titanic_Dataset[[#This Row],[Pclass]]=1,"1st",IF(Titanic_Dataset[[#This Row],[Pclass]]=2,"2nd",IF(Titanic_Dataset[[#This Row],[Pclass]]=3,"3rd")))</f>
        <v>1st</v>
      </c>
      <c r="F822" s="1" t="s">
        <v>1614</v>
      </c>
      <c r="G822" s="1" t="str">
        <f>TRIM(MID(Titanic_Dataset[[#This Row],[Name]],
FIND(",",Titanic_Dataset[[#This Row],[Name]])+2,
FIND(".",Titanic_Dataset[[#This Row],[Name]],FIND(",",Titanic_Dataset[[#This Row],[Name]]))-FIND(",",Titanic_Dataset[[#This Row],[Name]])-1))</f>
        <v>Mrs.</v>
      </c>
      <c r="H822" s="1" t="s">
        <v>18</v>
      </c>
      <c r="I822">
        <v>52</v>
      </c>
      <c r="J822" t="str">
        <f>IF(Titanic_Dataset[[#This Row],[Age]]&lt;12,"0-11",
IF(Titanic_Dataset[[#This Row],[Age]]&lt;20,"12-19",
IF(Titanic_Dataset[[#This Row],[Age]]&lt;30,"20-29",
IF(Titanic_Dataset[[#This Row],[Age]]&lt;40,"30-39",
IF(Titanic_Dataset[[#This Row],[Age]]&lt;50,"40-49",
IF(Titanic_Dataset[[#This Row],[Age]]&lt;60,"50-59",
IF(Titanic_Dataset[[#This Row],[Age]]&lt;70,"60-69",)))))))</f>
        <v>50-59</v>
      </c>
      <c r="K822">
        <v>1</v>
      </c>
      <c r="L822">
        <v>1</v>
      </c>
      <c r="M822">
        <f>Titanic_Dataset[[#This Row],[Parch]]+Titanic_Dataset[[#This Row],[SibSp]]</f>
        <v>2</v>
      </c>
      <c r="N822" s="1" t="s">
        <v>1064</v>
      </c>
      <c r="O822">
        <v>93.5</v>
      </c>
      <c r="P822">
        <f>IF(Titanic_Dataset[[#This Row],[Survived]]=1,Titanic_Dataset[[#This Row],[Fare]],NA())</f>
        <v>93.5</v>
      </c>
      <c r="Q822" t="e">
        <f>IF(Titanic_Dataset[[#This Row],[Survived]]=0,Titanic_Dataset[[#This Row],[Fare]],NA())</f>
        <v>#N/A</v>
      </c>
      <c r="R822" t="str">
        <f>VLOOKUP(Titanic_Dataset[[#This Row],[Fare]],Table2[],2,TRUE)</f>
        <v>very hiegh</v>
      </c>
      <c r="S822" s="1" t="s">
        <v>1615</v>
      </c>
      <c r="T822" s="1" t="s">
        <v>16</v>
      </c>
      <c r="U822" s="1"/>
      <c r="V822" s="1"/>
      <c r="W822" s="1"/>
    </row>
    <row r="823" spans="1:23" x14ac:dyDescent="0.25">
      <c r="A823">
        <v>822</v>
      </c>
      <c r="B823">
        <v>1</v>
      </c>
      <c r="C823" t="str">
        <f>IF(Titanic_Dataset[[#This Row],[Survived]]=1,"Survived","Died")</f>
        <v>Survived</v>
      </c>
      <c r="D823">
        <v>3</v>
      </c>
      <c r="E823" t="str">
        <f>IF(Titanic_Dataset[[#This Row],[Pclass]]=1,"1st",IF(Titanic_Dataset[[#This Row],[Pclass]]=2,"2nd",IF(Titanic_Dataset[[#This Row],[Pclass]]=3,"3rd")))</f>
        <v>3rd</v>
      </c>
      <c r="F823" s="1" t="s">
        <v>1616</v>
      </c>
      <c r="G823" s="1" t="str">
        <f>TRIM(MID(Titanic_Dataset[[#This Row],[Name]],
FIND(",",Titanic_Dataset[[#This Row],[Name]])+2,
FIND(".",Titanic_Dataset[[#This Row],[Name]],FIND(",",Titanic_Dataset[[#This Row],[Name]]))-FIND(",",Titanic_Dataset[[#This Row],[Name]])-1))</f>
        <v>Mr.</v>
      </c>
      <c r="H823" s="1" t="s">
        <v>13</v>
      </c>
      <c r="I823">
        <v>27</v>
      </c>
      <c r="J82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23">
        <v>0</v>
      </c>
      <c r="L823">
        <v>0</v>
      </c>
      <c r="M823">
        <f>Titanic_Dataset[[#This Row],[Parch]]+Titanic_Dataset[[#This Row],[SibSp]]</f>
        <v>0</v>
      </c>
      <c r="N823" s="1" t="s">
        <v>1617</v>
      </c>
      <c r="O823">
        <v>8.6624999999999996</v>
      </c>
      <c r="P823">
        <f>IF(Titanic_Dataset[[#This Row],[Survived]]=1,Titanic_Dataset[[#This Row],[Fare]],NA())</f>
        <v>8.6624999999999996</v>
      </c>
      <c r="Q823" t="e">
        <f>IF(Titanic_Dataset[[#This Row],[Survived]]=0,Titanic_Dataset[[#This Row],[Fare]],NA())</f>
        <v>#N/A</v>
      </c>
      <c r="R823" t="str">
        <f>VLOOKUP(Titanic_Dataset[[#This Row],[Fare]],Table2[],2,TRUE)</f>
        <v>medium</v>
      </c>
      <c r="S823" s="1" t="s">
        <v>15</v>
      </c>
      <c r="T823" s="1" t="s">
        <v>16</v>
      </c>
      <c r="U823" s="1"/>
      <c r="V823" s="1"/>
      <c r="W823" s="1"/>
    </row>
    <row r="824" spans="1:23" x14ac:dyDescent="0.25">
      <c r="A824">
        <v>823</v>
      </c>
      <c r="B824">
        <v>0</v>
      </c>
      <c r="C824" t="str">
        <f>IF(Titanic_Dataset[[#This Row],[Survived]]=1,"Survived","Died")</f>
        <v>Died</v>
      </c>
      <c r="D824">
        <v>1</v>
      </c>
      <c r="E824" t="str">
        <f>IF(Titanic_Dataset[[#This Row],[Pclass]]=1,"1st",IF(Titanic_Dataset[[#This Row],[Pclass]]=2,"2nd",IF(Titanic_Dataset[[#This Row],[Pclass]]=3,"3rd")))</f>
        <v>1st</v>
      </c>
      <c r="F824" s="1" t="s">
        <v>1618</v>
      </c>
      <c r="G824" s="1" t="str">
        <f>TRIM(MID(Titanic_Dataset[[#This Row],[Name]],
FIND(",",Titanic_Dataset[[#This Row],[Name]])+2,
FIND(".",Titanic_Dataset[[#This Row],[Name]],FIND(",",Titanic_Dataset[[#This Row],[Name]]))-FIND(",",Titanic_Dataset[[#This Row],[Name]])-1))</f>
        <v>Jonkheer.</v>
      </c>
      <c r="H824" s="1" t="s">
        <v>13</v>
      </c>
      <c r="I824">
        <v>38</v>
      </c>
      <c r="J824" t="str">
        <f>IF(Titanic_Dataset[[#This Row],[Age]]&lt;12,"0-11",
IF(Titanic_Dataset[[#This Row],[Age]]&lt;20,"12-19",
IF(Titanic_Dataset[[#This Row],[Age]]&lt;30,"20-29",
IF(Titanic_Dataset[[#This Row],[Age]]&lt;40,"30-39",
IF(Titanic_Dataset[[#This Row],[Age]]&lt;50,"40-49",
IF(Titanic_Dataset[[#This Row],[Age]]&lt;60,"50-59",
IF(Titanic_Dataset[[#This Row],[Age]]&lt;70,"60-69",)))))))</f>
        <v>30-39</v>
      </c>
      <c r="K824">
        <v>0</v>
      </c>
      <c r="L824">
        <v>0</v>
      </c>
      <c r="M824">
        <f>Titanic_Dataset[[#This Row],[Parch]]+Titanic_Dataset[[#This Row],[SibSp]]</f>
        <v>0</v>
      </c>
      <c r="N824" s="1" t="s">
        <v>1619</v>
      </c>
      <c r="O824">
        <v>0</v>
      </c>
      <c r="P824" t="e">
        <f>IF(Titanic_Dataset[[#This Row],[Survived]]=1,Titanic_Dataset[[#This Row],[Fare]],NA())</f>
        <v>#N/A</v>
      </c>
      <c r="Q824">
        <f>IF(Titanic_Dataset[[#This Row],[Survived]]=0,Titanic_Dataset[[#This Row],[Fare]],NA())</f>
        <v>0</v>
      </c>
      <c r="R824" t="str">
        <f>VLOOKUP(Titanic_Dataset[[#This Row],[Fare]],Table2[],2,TRUE)</f>
        <v>low</v>
      </c>
      <c r="S824" s="1" t="s">
        <v>15</v>
      </c>
      <c r="T824" s="1" t="s">
        <v>16</v>
      </c>
      <c r="U824" s="1"/>
      <c r="V824" s="1"/>
      <c r="W824" s="1"/>
    </row>
    <row r="825" spans="1:23" x14ac:dyDescent="0.25">
      <c r="A825">
        <v>824</v>
      </c>
      <c r="B825">
        <v>1</v>
      </c>
      <c r="C825" t="str">
        <f>IF(Titanic_Dataset[[#This Row],[Survived]]=1,"Survived","Died")</f>
        <v>Survived</v>
      </c>
      <c r="D825">
        <v>3</v>
      </c>
      <c r="E825" t="str">
        <f>IF(Titanic_Dataset[[#This Row],[Pclass]]=1,"1st",IF(Titanic_Dataset[[#This Row],[Pclass]]=2,"2nd",IF(Titanic_Dataset[[#This Row],[Pclass]]=3,"3rd")))</f>
        <v>3rd</v>
      </c>
      <c r="F825" s="1" t="s">
        <v>1620</v>
      </c>
      <c r="G825" s="1" t="str">
        <f>TRIM(MID(Titanic_Dataset[[#This Row],[Name]],
FIND(",",Titanic_Dataset[[#This Row],[Name]])+2,
FIND(".",Titanic_Dataset[[#This Row],[Name]],FIND(",",Titanic_Dataset[[#This Row],[Name]]))-FIND(",",Titanic_Dataset[[#This Row],[Name]])-1))</f>
        <v>Mrs.</v>
      </c>
      <c r="H825" s="1" t="s">
        <v>18</v>
      </c>
      <c r="I825">
        <v>27</v>
      </c>
      <c r="J82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25">
        <v>0</v>
      </c>
      <c r="L825">
        <v>1</v>
      </c>
      <c r="M825">
        <f>Titanic_Dataset[[#This Row],[Parch]]+Titanic_Dataset[[#This Row],[SibSp]]</f>
        <v>1</v>
      </c>
      <c r="N825" s="1" t="s">
        <v>1490</v>
      </c>
      <c r="O825">
        <v>12.475</v>
      </c>
      <c r="P825">
        <f>IF(Titanic_Dataset[[#This Row],[Survived]]=1,Titanic_Dataset[[#This Row],[Fare]],NA())</f>
        <v>12.475</v>
      </c>
      <c r="Q825" t="e">
        <f>IF(Titanic_Dataset[[#This Row],[Survived]]=0,Titanic_Dataset[[#This Row],[Fare]],NA())</f>
        <v>#N/A</v>
      </c>
      <c r="R825" t="str">
        <f>VLOOKUP(Titanic_Dataset[[#This Row],[Fare]],Table2[],2,TRUE)</f>
        <v>medium</v>
      </c>
      <c r="S825" s="1" t="s">
        <v>1491</v>
      </c>
      <c r="T825" s="1" t="s">
        <v>16</v>
      </c>
      <c r="U825" s="1"/>
      <c r="V825" s="1"/>
      <c r="W825" s="1"/>
    </row>
    <row r="826" spans="1:23" x14ac:dyDescent="0.25">
      <c r="A826">
        <v>825</v>
      </c>
      <c r="B826">
        <v>0</v>
      </c>
      <c r="C826" t="str">
        <f>IF(Titanic_Dataset[[#This Row],[Survived]]=1,"Survived","Died")</f>
        <v>Died</v>
      </c>
      <c r="D826">
        <v>3</v>
      </c>
      <c r="E826" t="str">
        <f>IF(Titanic_Dataset[[#This Row],[Pclass]]=1,"1st",IF(Titanic_Dataset[[#This Row],[Pclass]]=2,"2nd",IF(Titanic_Dataset[[#This Row],[Pclass]]=3,"3rd")))</f>
        <v>3rd</v>
      </c>
      <c r="F826" s="1" t="s">
        <v>1621</v>
      </c>
      <c r="G826" s="1" t="str">
        <f>TRIM(MID(Titanic_Dataset[[#This Row],[Name]],
FIND(",",Titanic_Dataset[[#This Row],[Name]])+2,
FIND(".",Titanic_Dataset[[#This Row],[Name]],FIND(",",Titanic_Dataset[[#This Row],[Name]]))-FIND(",",Titanic_Dataset[[#This Row],[Name]])-1))</f>
        <v>Master.</v>
      </c>
      <c r="H826" s="1" t="s">
        <v>13</v>
      </c>
      <c r="I826">
        <v>2</v>
      </c>
      <c r="J826" t="str">
        <f>IF(Titanic_Dataset[[#This Row],[Age]]&lt;12,"0-11",
IF(Titanic_Dataset[[#This Row],[Age]]&lt;20,"12-19",
IF(Titanic_Dataset[[#This Row],[Age]]&lt;30,"20-29",
IF(Titanic_Dataset[[#This Row],[Age]]&lt;40,"30-39",
IF(Titanic_Dataset[[#This Row],[Age]]&lt;50,"40-49",
IF(Titanic_Dataset[[#This Row],[Age]]&lt;60,"50-59",
IF(Titanic_Dataset[[#This Row],[Age]]&lt;70,"60-69",)))))))</f>
        <v>0-11</v>
      </c>
      <c r="K826">
        <v>4</v>
      </c>
      <c r="L826">
        <v>1</v>
      </c>
      <c r="M826">
        <f>Titanic_Dataset[[#This Row],[Parch]]+Titanic_Dataset[[#This Row],[SibSp]]</f>
        <v>5</v>
      </c>
      <c r="N826" s="1" t="s">
        <v>127</v>
      </c>
      <c r="O826">
        <v>39.6875</v>
      </c>
      <c r="P826" t="e">
        <f>IF(Titanic_Dataset[[#This Row],[Survived]]=1,Titanic_Dataset[[#This Row],[Fare]],NA())</f>
        <v>#N/A</v>
      </c>
      <c r="Q826">
        <f>IF(Titanic_Dataset[[#This Row],[Survived]]=0,Titanic_Dataset[[#This Row],[Fare]],NA())</f>
        <v>39.6875</v>
      </c>
      <c r="R826" t="str">
        <f>VLOOKUP(Titanic_Dataset[[#This Row],[Fare]],Table2[],2,TRUE)</f>
        <v>very hiegh</v>
      </c>
      <c r="S826" s="1" t="s">
        <v>15</v>
      </c>
      <c r="T826" s="1" t="s">
        <v>16</v>
      </c>
      <c r="U826" s="1"/>
      <c r="V826" s="1"/>
      <c r="W826" s="1"/>
    </row>
    <row r="827" spans="1:23" x14ac:dyDescent="0.25">
      <c r="A827">
        <v>826</v>
      </c>
      <c r="B827">
        <v>0</v>
      </c>
      <c r="C827" t="str">
        <f>IF(Titanic_Dataset[[#This Row],[Survived]]=1,"Survived","Died")</f>
        <v>Died</v>
      </c>
      <c r="D827">
        <v>3</v>
      </c>
      <c r="E827" t="str">
        <f>IF(Titanic_Dataset[[#This Row],[Pclass]]=1,"1st",IF(Titanic_Dataset[[#This Row],[Pclass]]=2,"2nd",IF(Titanic_Dataset[[#This Row],[Pclass]]=3,"3rd")))</f>
        <v>3rd</v>
      </c>
      <c r="F827" s="1" t="s">
        <v>1622</v>
      </c>
      <c r="G827" s="1" t="str">
        <f>TRIM(MID(Titanic_Dataset[[#This Row],[Name]],
FIND(",",Titanic_Dataset[[#This Row],[Name]])+2,
FIND(".",Titanic_Dataset[[#This Row],[Name]],FIND(",",Titanic_Dataset[[#This Row],[Name]]))-FIND(",",Titanic_Dataset[[#This Row],[Name]])-1))</f>
        <v>Mr.</v>
      </c>
      <c r="H827" s="1" t="s">
        <v>13</v>
      </c>
      <c r="I827">
        <v>28</v>
      </c>
      <c r="J827"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27">
        <v>0</v>
      </c>
      <c r="L827">
        <v>0</v>
      </c>
      <c r="M827">
        <f>Titanic_Dataset[[#This Row],[Parch]]+Titanic_Dataset[[#This Row],[SibSp]]</f>
        <v>0</v>
      </c>
      <c r="N827" s="1" t="s">
        <v>1623</v>
      </c>
      <c r="O827">
        <v>6.95</v>
      </c>
      <c r="P827" t="e">
        <f>IF(Titanic_Dataset[[#This Row],[Survived]]=1,Titanic_Dataset[[#This Row],[Fare]],NA())</f>
        <v>#N/A</v>
      </c>
      <c r="Q827">
        <f>IF(Titanic_Dataset[[#This Row],[Survived]]=0,Titanic_Dataset[[#This Row],[Fare]],NA())</f>
        <v>6.95</v>
      </c>
      <c r="R827" t="str">
        <f>VLOOKUP(Titanic_Dataset[[#This Row],[Fare]],Table2[],2,TRUE)</f>
        <v>low</v>
      </c>
      <c r="S827" s="1" t="s">
        <v>15</v>
      </c>
      <c r="T827" s="1" t="s">
        <v>31</v>
      </c>
      <c r="U827" s="1"/>
      <c r="V827" s="1"/>
      <c r="W827" s="1"/>
    </row>
    <row r="828" spans="1:23" x14ac:dyDescent="0.25">
      <c r="A828">
        <v>827</v>
      </c>
      <c r="B828">
        <v>0</v>
      </c>
      <c r="C828" t="str">
        <f>IF(Titanic_Dataset[[#This Row],[Survived]]=1,"Survived","Died")</f>
        <v>Died</v>
      </c>
      <c r="D828">
        <v>3</v>
      </c>
      <c r="E828" t="str">
        <f>IF(Titanic_Dataset[[#This Row],[Pclass]]=1,"1st",IF(Titanic_Dataset[[#This Row],[Pclass]]=2,"2nd",IF(Titanic_Dataset[[#This Row],[Pclass]]=3,"3rd")))</f>
        <v>3rd</v>
      </c>
      <c r="F828" s="1" t="s">
        <v>1624</v>
      </c>
      <c r="G828" s="1" t="str">
        <f>TRIM(MID(Titanic_Dataset[[#This Row],[Name]],
FIND(",",Titanic_Dataset[[#This Row],[Name]])+2,
FIND(".",Titanic_Dataset[[#This Row],[Name]],FIND(",",Titanic_Dataset[[#This Row],[Name]]))-FIND(",",Titanic_Dataset[[#This Row],[Name]])-1))</f>
        <v>Mr.</v>
      </c>
      <c r="H828" s="1" t="s">
        <v>13</v>
      </c>
      <c r="I828">
        <v>28</v>
      </c>
      <c r="J82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28">
        <v>0</v>
      </c>
      <c r="L828">
        <v>0</v>
      </c>
      <c r="M828">
        <f>Titanic_Dataset[[#This Row],[Parch]]+Titanic_Dataset[[#This Row],[SibSp]]</f>
        <v>0</v>
      </c>
      <c r="N828" s="1" t="s">
        <v>180</v>
      </c>
      <c r="O828">
        <v>56.495800000000003</v>
      </c>
      <c r="P828" t="e">
        <f>IF(Titanic_Dataset[[#This Row],[Survived]]=1,Titanic_Dataset[[#This Row],[Fare]],NA())</f>
        <v>#N/A</v>
      </c>
      <c r="Q828">
        <f>IF(Titanic_Dataset[[#This Row],[Survived]]=0,Titanic_Dataset[[#This Row],[Fare]],NA())</f>
        <v>56.495800000000003</v>
      </c>
      <c r="R828" t="str">
        <f>VLOOKUP(Titanic_Dataset[[#This Row],[Fare]],Table2[],2,TRUE)</f>
        <v>very hiegh</v>
      </c>
      <c r="S828" s="1" t="s">
        <v>15</v>
      </c>
      <c r="T828" s="1" t="s">
        <v>16</v>
      </c>
      <c r="U828" s="1"/>
      <c r="V828" s="1"/>
      <c r="W828" s="1"/>
    </row>
    <row r="829" spans="1:23" x14ac:dyDescent="0.25">
      <c r="A829">
        <v>828</v>
      </c>
      <c r="B829">
        <v>1</v>
      </c>
      <c r="C829" t="str">
        <f>IF(Titanic_Dataset[[#This Row],[Survived]]=1,"Survived","Died")</f>
        <v>Survived</v>
      </c>
      <c r="D829">
        <v>2</v>
      </c>
      <c r="E829" t="str">
        <f>IF(Titanic_Dataset[[#This Row],[Pclass]]=1,"1st",IF(Titanic_Dataset[[#This Row],[Pclass]]=2,"2nd",IF(Titanic_Dataset[[#This Row],[Pclass]]=3,"3rd")))</f>
        <v>2nd</v>
      </c>
      <c r="F829" s="1" t="s">
        <v>1625</v>
      </c>
      <c r="G829" s="1" t="str">
        <f>TRIM(MID(Titanic_Dataset[[#This Row],[Name]],
FIND(",",Titanic_Dataset[[#This Row],[Name]])+2,
FIND(".",Titanic_Dataset[[#This Row],[Name]],FIND(",",Titanic_Dataset[[#This Row],[Name]]))-FIND(",",Titanic_Dataset[[#This Row],[Name]])-1))</f>
        <v>Master.</v>
      </c>
      <c r="H829" s="1" t="s">
        <v>13</v>
      </c>
      <c r="I829">
        <v>1</v>
      </c>
      <c r="J829" t="str">
        <f>IF(Titanic_Dataset[[#This Row],[Age]]&lt;12,"0-11",
IF(Titanic_Dataset[[#This Row],[Age]]&lt;20,"12-19",
IF(Titanic_Dataset[[#This Row],[Age]]&lt;30,"20-29",
IF(Titanic_Dataset[[#This Row],[Age]]&lt;40,"30-39",
IF(Titanic_Dataset[[#This Row],[Age]]&lt;50,"40-49",
IF(Titanic_Dataset[[#This Row],[Age]]&lt;60,"50-59",
IF(Titanic_Dataset[[#This Row],[Age]]&lt;70,"60-69",)))))))</f>
        <v>0-11</v>
      </c>
      <c r="K829">
        <v>0</v>
      </c>
      <c r="L829">
        <v>2</v>
      </c>
      <c r="M829">
        <f>Titanic_Dataset[[#This Row],[Parch]]+Titanic_Dataset[[#This Row],[SibSp]]</f>
        <v>2</v>
      </c>
      <c r="N829" s="1" t="s">
        <v>1610</v>
      </c>
      <c r="O829">
        <v>37.004199999999997</v>
      </c>
      <c r="P829">
        <f>IF(Titanic_Dataset[[#This Row],[Survived]]=1,Titanic_Dataset[[#This Row],[Fare]],NA())</f>
        <v>37.004199999999997</v>
      </c>
      <c r="Q829" t="e">
        <f>IF(Titanic_Dataset[[#This Row],[Survived]]=0,Titanic_Dataset[[#This Row],[Fare]],NA())</f>
        <v>#N/A</v>
      </c>
      <c r="R829" t="str">
        <f>VLOOKUP(Titanic_Dataset[[#This Row],[Fare]],Table2[],2,TRUE)</f>
        <v>very hiegh</v>
      </c>
      <c r="S829" s="1" t="s">
        <v>15</v>
      </c>
      <c r="T829" s="1" t="s">
        <v>21</v>
      </c>
      <c r="U829" s="1"/>
      <c r="V829" s="1"/>
      <c r="W829" s="1"/>
    </row>
    <row r="830" spans="1:23" x14ac:dyDescent="0.25">
      <c r="A830">
        <v>829</v>
      </c>
      <c r="B830">
        <v>1</v>
      </c>
      <c r="C830" t="str">
        <f>IF(Titanic_Dataset[[#This Row],[Survived]]=1,"Survived","Died")</f>
        <v>Survived</v>
      </c>
      <c r="D830">
        <v>3</v>
      </c>
      <c r="E830" t="str">
        <f>IF(Titanic_Dataset[[#This Row],[Pclass]]=1,"1st",IF(Titanic_Dataset[[#This Row],[Pclass]]=2,"2nd",IF(Titanic_Dataset[[#This Row],[Pclass]]=3,"3rd")))</f>
        <v>3rd</v>
      </c>
      <c r="F830" s="1" t="s">
        <v>1626</v>
      </c>
      <c r="G830" s="1" t="str">
        <f>TRIM(MID(Titanic_Dataset[[#This Row],[Name]],
FIND(",",Titanic_Dataset[[#This Row],[Name]])+2,
FIND(".",Titanic_Dataset[[#This Row],[Name]],FIND(",",Titanic_Dataset[[#This Row],[Name]]))-FIND(",",Titanic_Dataset[[#This Row],[Name]])-1))</f>
        <v>Mr.</v>
      </c>
      <c r="H830" s="1" t="s">
        <v>13</v>
      </c>
      <c r="I830">
        <v>28</v>
      </c>
      <c r="J83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30">
        <v>0</v>
      </c>
      <c r="L830">
        <v>0</v>
      </c>
      <c r="M830">
        <f>Titanic_Dataset[[#This Row],[Parch]]+Titanic_Dataset[[#This Row],[SibSp]]</f>
        <v>0</v>
      </c>
      <c r="N830" s="1" t="s">
        <v>1627</v>
      </c>
      <c r="O830">
        <v>7.75</v>
      </c>
      <c r="P830">
        <f>IF(Titanic_Dataset[[#This Row],[Survived]]=1,Titanic_Dataset[[#This Row],[Fare]],NA())</f>
        <v>7.75</v>
      </c>
      <c r="Q830" t="e">
        <f>IF(Titanic_Dataset[[#This Row],[Survived]]=0,Titanic_Dataset[[#This Row],[Fare]],NA())</f>
        <v>#N/A</v>
      </c>
      <c r="R830" t="str">
        <f>VLOOKUP(Titanic_Dataset[[#This Row],[Fare]],Table2[],2,TRUE)</f>
        <v>low</v>
      </c>
      <c r="S830" s="1" t="s">
        <v>15</v>
      </c>
      <c r="T830" s="1" t="s">
        <v>31</v>
      </c>
      <c r="U830" s="1"/>
      <c r="V830" s="1"/>
      <c r="W830" s="1"/>
    </row>
    <row r="831" spans="1:23" x14ac:dyDescent="0.25">
      <c r="A831">
        <v>830</v>
      </c>
      <c r="B831">
        <v>1</v>
      </c>
      <c r="C831" t="str">
        <f>IF(Titanic_Dataset[[#This Row],[Survived]]=1,"Survived","Died")</f>
        <v>Survived</v>
      </c>
      <c r="D831">
        <v>1</v>
      </c>
      <c r="E831" t="str">
        <f>IF(Titanic_Dataset[[#This Row],[Pclass]]=1,"1st",IF(Titanic_Dataset[[#This Row],[Pclass]]=2,"2nd",IF(Titanic_Dataset[[#This Row],[Pclass]]=3,"3rd")))</f>
        <v>1st</v>
      </c>
      <c r="F831" s="1" t="s">
        <v>1628</v>
      </c>
      <c r="G831" s="1" t="str">
        <f>TRIM(MID(Titanic_Dataset[[#This Row],[Name]],
FIND(",",Titanic_Dataset[[#This Row],[Name]])+2,
FIND(".",Titanic_Dataset[[#This Row],[Name]],FIND(",",Titanic_Dataset[[#This Row],[Name]]))-FIND(",",Titanic_Dataset[[#This Row],[Name]])-1))</f>
        <v>Mrs.</v>
      </c>
      <c r="H831" s="1" t="s">
        <v>18</v>
      </c>
      <c r="I831">
        <v>62</v>
      </c>
      <c r="J831" t="str">
        <f>IF(Titanic_Dataset[[#This Row],[Age]]&lt;12,"0-11",
IF(Titanic_Dataset[[#This Row],[Age]]&lt;20,"12-19",
IF(Titanic_Dataset[[#This Row],[Age]]&lt;30,"20-29",
IF(Titanic_Dataset[[#This Row],[Age]]&lt;40,"30-39",
IF(Titanic_Dataset[[#This Row],[Age]]&lt;50,"40-49",
IF(Titanic_Dataset[[#This Row],[Age]]&lt;60,"50-59",
IF(Titanic_Dataset[[#This Row],[Age]]&lt;70,"60-69",)))))))</f>
        <v>60-69</v>
      </c>
      <c r="K831">
        <v>0</v>
      </c>
      <c r="L831">
        <v>0</v>
      </c>
      <c r="M831">
        <f>Titanic_Dataset[[#This Row],[Parch]]+Titanic_Dataset[[#This Row],[SibSp]]</f>
        <v>0</v>
      </c>
      <c r="N831" s="1" t="s">
        <v>152</v>
      </c>
      <c r="O831">
        <v>80</v>
      </c>
      <c r="P831">
        <f>IF(Titanic_Dataset[[#This Row],[Survived]]=1,Titanic_Dataset[[#This Row],[Fare]],NA())</f>
        <v>80</v>
      </c>
      <c r="Q831" t="e">
        <f>IF(Titanic_Dataset[[#This Row],[Survived]]=0,Titanic_Dataset[[#This Row],[Fare]],NA())</f>
        <v>#N/A</v>
      </c>
      <c r="R831" t="str">
        <f>VLOOKUP(Titanic_Dataset[[#This Row],[Fare]],Table2[],2,TRUE)</f>
        <v>very hiegh</v>
      </c>
      <c r="S831" s="1" t="s">
        <v>153</v>
      </c>
      <c r="T831" s="1" t="s">
        <v>1769</v>
      </c>
      <c r="U831" s="1"/>
      <c r="V831" s="1"/>
      <c r="W831" s="1"/>
    </row>
    <row r="832" spans="1:23" x14ac:dyDescent="0.25">
      <c r="A832">
        <v>831</v>
      </c>
      <c r="B832">
        <v>1</v>
      </c>
      <c r="C832" t="str">
        <f>IF(Titanic_Dataset[[#This Row],[Survived]]=1,"Survived","Died")</f>
        <v>Survived</v>
      </c>
      <c r="D832">
        <v>3</v>
      </c>
      <c r="E832" t="str">
        <f>IF(Titanic_Dataset[[#This Row],[Pclass]]=1,"1st",IF(Titanic_Dataset[[#This Row],[Pclass]]=2,"2nd",IF(Titanic_Dataset[[#This Row],[Pclass]]=3,"3rd")))</f>
        <v>3rd</v>
      </c>
      <c r="F832" s="1" t="s">
        <v>1629</v>
      </c>
      <c r="G832" s="1" t="str">
        <f>TRIM(MID(Titanic_Dataset[[#This Row],[Name]],
FIND(",",Titanic_Dataset[[#This Row],[Name]])+2,
FIND(".",Titanic_Dataset[[#This Row],[Name]],FIND(",",Titanic_Dataset[[#This Row],[Name]]))-FIND(",",Titanic_Dataset[[#This Row],[Name]])-1))</f>
        <v>Mrs.</v>
      </c>
      <c r="H832" s="1" t="s">
        <v>18</v>
      </c>
      <c r="I832">
        <v>15</v>
      </c>
      <c r="J832" t="str">
        <f>IF(Titanic_Dataset[[#This Row],[Age]]&lt;12,"0-11",
IF(Titanic_Dataset[[#This Row],[Age]]&lt;20,"12-19",
IF(Titanic_Dataset[[#This Row],[Age]]&lt;30,"20-29",
IF(Titanic_Dataset[[#This Row],[Age]]&lt;40,"30-39",
IF(Titanic_Dataset[[#This Row],[Age]]&lt;50,"40-49",
IF(Titanic_Dataset[[#This Row],[Age]]&lt;60,"50-59",
IF(Titanic_Dataset[[#This Row],[Age]]&lt;70,"60-69",)))))))</f>
        <v>12-19</v>
      </c>
      <c r="K832">
        <v>1</v>
      </c>
      <c r="L832">
        <v>0</v>
      </c>
      <c r="M832">
        <f>Titanic_Dataset[[#This Row],[Parch]]+Titanic_Dataset[[#This Row],[SibSp]]</f>
        <v>1</v>
      </c>
      <c r="N832" s="1" t="s">
        <v>1248</v>
      </c>
      <c r="O832">
        <v>14.4542</v>
      </c>
      <c r="P832">
        <f>IF(Titanic_Dataset[[#This Row],[Survived]]=1,Titanic_Dataset[[#This Row],[Fare]],NA())</f>
        <v>14.4542</v>
      </c>
      <c r="Q832" t="e">
        <f>IF(Titanic_Dataset[[#This Row],[Survived]]=0,Titanic_Dataset[[#This Row],[Fare]],NA())</f>
        <v>#N/A</v>
      </c>
      <c r="R832" t="str">
        <f>VLOOKUP(Titanic_Dataset[[#This Row],[Fare]],Table2[],2,TRUE)</f>
        <v>medium</v>
      </c>
      <c r="S832" s="1" t="s">
        <v>15</v>
      </c>
      <c r="T832" s="1" t="s">
        <v>21</v>
      </c>
      <c r="U832" s="1"/>
      <c r="V832" s="1"/>
      <c r="W832" s="1"/>
    </row>
    <row r="833" spans="1:23" x14ac:dyDescent="0.25">
      <c r="A833">
        <v>832</v>
      </c>
      <c r="B833">
        <v>1</v>
      </c>
      <c r="C833" t="str">
        <f>IF(Titanic_Dataset[[#This Row],[Survived]]=1,"Survived","Died")</f>
        <v>Survived</v>
      </c>
      <c r="D833">
        <v>2</v>
      </c>
      <c r="E833" t="str">
        <f>IF(Titanic_Dataset[[#This Row],[Pclass]]=1,"1st",IF(Titanic_Dataset[[#This Row],[Pclass]]=2,"2nd",IF(Titanic_Dataset[[#This Row],[Pclass]]=3,"3rd")))</f>
        <v>2nd</v>
      </c>
      <c r="F833" s="1" t="s">
        <v>1630</v>
      </c>
      <c r="G833" s="1" t="str">
        <f>TRIM(MID(Titanic_Dataset[[#This Row],[Name]],
FIND(",",Titanic_Dataset[[#This Row],[Name]])+2,
FIND(".",Titanic_Dataset[[#This Row],[Name]],FIND(",",Titanic_Dataset[[#This Row],[Name]]))-FIND(",",Titanic_Dataset[[#This Row],[Name]])-1))</f>
        <v>Master.</v>
      </c>
      <c r="H833" s="1" t="s">
        <v>13</v>
      </c>
      <c r="I833">
        <v>0.83</v>
      </c>
      <c r="J833" t="str">
        <f>IF(Titanic_Dataset[[#This Row],[Age]]&lt;12,"0-11",
IF(Titanic_Dataset[[#This Row],[Age]]&lt;20,"12-19",
IF(Titanic_Dataset[[#This Row],[Age]]&lt;30,"20-29",
IF(Titanic_Dataset[[#This Row],[Age]]&lt;40,"30-39",
IF(Titanic_Dataset[[#This Row],[Age]]&lt;50,"40-49",
IF(Titanic_Dataset[[#This Row],[Age]]&lt;60,"50-59",
IF(Titanic_Dataset[[#This Row],[Age]]&lt;70,"60-69",)))))))</f>
        <v>0-11</v>
      </c>
      <c r="K833">
        <v>1</v>
      </c>
      <c r="L833">
        <v>1</v>
      </c>
      <c r="M833">
        <f>Titanic_Dataset[[#This Row],[Parch]]+Titanic_Dataset[[#This Row],[SibSp]]</f>
        <v>2</v>
      </c>
      <c r="N833" s="1" t="s">
        <v>847</v>
      </c>
      <c r="O833">
        <v>18.75</v>
      </c>
      <c r="P833">
        <f>IF(Titanic_Dataset[[#This Row],[Survived]]=1,Titanic_Dataset[[#This Row],[Fare]],NA())</f>
        <v>18.75</v>
      </c>
      <c r="Q833" t="e">
        <f>IF(Titanic_Dataset[[#This Row],[Survived]]=0,Titanic_Dataset[[#This Row],[Fare]],NA())</f>
        <v>#N/A</v>
      </c>
      <c r="R833" t="str">
        <f>VLOOKUP(Titanic_Dataset[[#This Row],[Fare]],Table2[],2,TRUE)</f>
        <v>high</v>
      </c>
      <c r="S833" s="1" t="s">
        <v>15</v>
      </c>
      <c r="T833" s="1" t="s">
        <v>16</v>
      </c>
      <c r="U833" s="1"/>
      <c r="V833" s="1"/>
      <c r="W833" s="1"/>
    </row>
    <row r="834" spans="1:23" x14ac:dyDescent="0.25">
      <c r="A834">
        <v>833</v>
      </c>
      <c r="B834">
        <v>0</v>
      </c>
      <c r="C834" t="str">
        <f>IF(Titanic_Dataset[[#This Row],[Survived]]=1,"Survived","Died")</f>
        <v>Died</v>
      </c>
      <c r="D834">
        <v>3</v>
      </c>
      <c r="E834" t="str">
        <f>IF(Titanic_Dataset[[#This Row],[Pclass]]=1,"1st",IF(Titanic_Dataset[[#This Row],[Pclass]]=2,"2nd",IF(Titanic_Dataset[[#This Row],[Pclass]]=3,"3rd")))</f>
        <v>3rd</v>
      </c>
      <c r="F834" s="1" t="s">
        <v>1631</v>
      </c>
      <c r="G834" s="1" t="str">
        <f>TRIM(MID(Titanic_Dataset[[#This Row],[Name]],
FIND(",",Titanic_Dataset[[#This Row],[Name]])+2,
FIND(".",Titanic_Dataset[[#This Row],[Name]],FIND(",",Titanic_Dataset[[#This Row],[Name]]))-FIND(",",Titanic_Dataset[[#This Row],[Name]])-1))</f>
        <v>Mr.</v>
      </c>
      <c r="H834" s="1" t="s">
        <v>13</v>
      </c>
      <c r="I834">
        <v>28</v>
      </c>
      <c r="J83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34">
        <v>0</v>
      </c>
      <c r="L834">
        <v>0</v>
      </c>
      <c r="M834">
        <f>Titanic_Dataset[[#This Row],[Parch]]+Titanic_Dataset[[#This Row],[SibSp]]</f>
        <v>0</v>
      </c>
      <c r="N834" s="1" t="s">
        <v>1632</v>
      </c>
      <c r="O834">
        <v>7.2291999999999996</v>
      </c>
      <c r="P834" t="e">
        <f>IF(Titanic_Dataset[[#This Row],[Survived]]=1,Titanic_Dataset[[#This Row],[Fare]],NA())</f>
        <v>#N/A</v>
      </c>
      <c r="Q834">
        <f>IF(Titanic_Dataset[[#This Row],[Survived]]=0,Titanic_Dataset[[#This Row],[Fare]],NA())</f>
        <v>7.2291999999999996</v>
      </c>
      <c r="R834" t="str">
        <f>VLOOKUP(Titanic_Dataset[[#This Row],[Fare]],Table2[],2,TRUE)</f>
        <v>low</v>
      </c>
      <c r="S834" s="1" t="s">
        <v>15</v>
      </c>
      <c r="T834" s="1" t="s">
        <v>21</v>
      </c>
      <c r="U834" s="1"/>
      <c r="V834" s="1"/>
      <c r="W834" s="1"/>
    </row>
    <row r="835" spans="1:23" x14ac:dyDescent="0.25">
      <c r="A835">
        <v>834</v>
      </c>
      <c r="B835">
        <v>0</v>
      </c>
      <c r="C835" t="str">
        <f>IF(Titanic_Dataset[[#This Row],[Survived]]=1,"Survived","Died")</f>
        <v>Died</v>
      </c>
      <c r="D835">
        <v>3</v>
      </c>
      <c r="E835" t="str">
        <f>IF(Titanic_Dataset[[#This Row],[Pclass]]=1,"1st",IF(Titanic_Dataset[[#This Row],[Pclass]]=2,"2nd",IF(Titanic_Dataset[[#This Row],[Pclass]]=3,"3rd")))</f>
        <v>3rd</v>
      </c>
      <c r="F835" s="1" t="s">
        <v>1633</v>
      </c>
      <c r="G835" s="1" t="str">
        <f>TRIM(MID(Titanic_Dataset[[#This Row],[Name]],
FIND(",",Titanic_Dataset[[#This Row],[Name]])+2,
FIND(".",Titanic_Dataset[[#This Row],[Name]],FIND(",",Titanic_Dataset[[#This Row],[Name]]))-FIND(",",Titanic_Dataset[[#This Row],[Name]])-1))</f>
        <v>Mr.</v>
      </c>
      <c r="H835" s="1" t="s">
        <v>13</v>
      </c>
      <c r="I835">
        <v>23</v>
      </c>
      <c r="J83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35">
        <v>0</v>
      </c>
      <c r="L835">
        <v>0</v>
      </c>
      <c r="M835">
        <f>Titanic_Dataset[[#This Row],[Parch]]+Titanic_Dataset[[#This Row],[SibSp]]</f>
        <v>0</v>
      </c>
      <c r="N835" s="1" t="s">
        <v>1634</v>
      </c>
      <c r="O835">
        <v>7.8541999999999996</v>
      </c>
      <c r="P835" t="e">
        <f>IF(Titanic_Dataset[[#This Row],[Survived]]=1,Titanic_Dataset[[#This Row],[Fare]],NA())</f>
        <v>#N/A</v>
      </c>
      <c r="Q835">
        <f>IF(Titanic_Dataset[[#This Row],[Survived]]=0,Titanic_Dataset[[#This Row],[Fare]],NA())</f>
        <v>7.8541999999999996</v>
      </c>
      <c r="R835" t="str">
        <f>VLOOKUP(Titanic_Dataset[[#This Row],[Fare]],Table2[],2,TRUE)</f>
        <v>low</v>
      </c>
      <c r="S835" s="1" t="s">
        <v>15</v>
      </c>
      <c r="T835" s="1" t="s">
        <v>16</v>
      </c>
      <c r="U835" s="1"/>
      <c r="V835" s="1"/>
      <c r="W835" s="1"/>
    </row>
    <row r="836" spans="1:23" x14ac:dyDescent="0.25">
      <c r="A836">
        <v>835</v>
      </c>
      <c r="B836">
        <v>0</v>
      </c>
      <c r="C836" t="str">
        <f>IF(Titanic_Dataset[[#This Row],[Survived]]=1,"Survived","Died")</f>
        <v>Died</v>
      </c>
      <c r="D836">
        <v>3</v>
      </c>
      <c r="E836" t="str">
        <f>IF(Titanic_Dataset[[#This Row],[Pclass]]=1,"1st",IF(Titanic_Dataset[[#This Row],[Pclass]]=2,"2nd",IF(Titanic_Dataset[[#This Row],[Pclass]]=3,"3rd")))</f>
        <v>3rd</v>
      </c>
      <c r="F836" s="1" t="s">
        <v>1635</v>
      </c>
      <c r="G836" s="1" t="str">
        <f>TRIM(MID(Titanic_Dataset[[#This Row],[Name]],
FIND(",",Titanic_Dataset[[#This Row],[Name]])+2,
FIND(".",Titanic_Dataset[[#This Row],[Name]],FIND(",",Titanic_Dataset[[#This Row],[Name]]))-FIND(",",Titanic_Dataset[[#This Row],[Name]])-1))</f>
        <v>Mr.</v>
      </c>
      <c r="H836" s="1" t="s">
        <v>13</v>
      </c>
      <c r="I836">
        <v>18</v>
      </c>
      <c r="J836" t="str">
        <f>IF(Titanic_Dataset[[#This Row],[Age]]&lt;12,"0-11",
IF(Titanic_Dataset[[#This Row],[Age]]&lt;20,"12-19",
IF(Titanic_Dataset[[#This Row],[Age]]&lt;30,"20-29",
IF(Titanic_Dataset[[#This Row],[Age]]&lt;40,"30-39",
IF(Titanic_Dataset[[#This Row],[Age]]&lt;50,"40-49",
IF(Titanic_Dataset[[#This Row],[Age]]&lt;60,"50-59",
IF(Titanic_Dataset[[#This Row],[Age]]&lt;70,"60-69",)))))))</f>
        <v>12-19</v>
      </c>
      <c r="K836">
        <v>0</v>
      </c>
      <c r="L836">
        <v>0</v>
      </c>
      <c r="M836">
        <f>Titanic_Dataset[[#This Row],[Parch]]+Titanic_Dataset[[#This Row],[SibSp]]</f>
        <v>0</v>
      </c>
      <c r="N836" s="1" t="s">
        <v>1636</v>
      </c>
      <c r="O836">
        <v>8.3000000000000007</v>
      </c>
      <c r="P836" t="e">
        <f>IF(Titanic_Dataset[[#This Row],[Survived]]=1,Titanic_Dataset[[#This Row],[Fare]],NA())</f>
        <v>#N/A</v>
      </c>
      <c r="Q836">
        <f>IF(Titanic_Dataset[[#This Row],[Survived]]=0,Titanic_Dataset[[#This Row],[Fare]],NA())</f>
        <v>8.3000000000000007</v>
      </c>
      <c r="R836" t="str">
        <f>VLOOKUP(Titanic_Dataset[[#This Row],[Fare]],Table2[],2,TRUE)</f>
        <v>medium</v>
      </c>
      <c r="S836" s="1" t="s">
        <v>15</v>
      </c>
      <c r="T836" s="1" t="s">
        <v>16</v>
      </c>
      <c r="U836" s="1"/>
      <c r="V836" s="1"/>
      <c r="W836" s="1"/>
    </row>
    <row r="837" spans="1:23" x14ac:dyDescent="0.25">
      <c r="A837">
        <v>836</v>
      </c>
      <c r="B837">
        <v>1</v>
      </c>
      <c r="C837" t="str">
        <f>IF(Titanic_Dataset[[#This Row],[Survived]]=1,"Survived","Died")</f>
        <v>Survived</v>
      </c>
      <c r="D837">
        <v>1</v>
      </c>
      <c r="E837" t="str">
        <f>IF(Titanic_Dataset[[#This Row],[Pclass]]=1,"1st",IF(Titanic_Dataset[[#This Row],[Pclass]]=2,"2nd",IF(Titanic_Dataset[[#This Row],[Pclass]]=3,"3rd")))</f>
        <v>1st</v>
      </c>
      <c r="F837" s="1" t="s">
        <v>1637</v>
      </c>
      <c r="G837" s="1" t="str">
        <f>TRIM(MID(Titanic_Dataset[[#This Row],[Name]],
FIND(",",Titanic_Dataset[[#This Row],[Name]])+2,
FIND(".",Titanic_Dataset[[#This Row],[Name]],FIND(",",Titanic_Dataset[[#This Row],[Name]]))-FIND(",",Titanic_Dataset[[#This Row],[Name]])-1))</f>
        <v>Miss.</v>
      </c>
      <c r="H837" s="1" t="s">
        <v>18</v>
      </c>
      <c r="I837">
        <v>39</v>
      </c>
      <c r="J837" t="str">
        <f>IF(Titanic_Dataset[[#This Row],[Age]]&lt;12,"0-11",
IF(Titanic_Dataset[[#This Row],[Age]]&lt;20,"12-19",
IF(Titanic_Dataset[[#This Row],[Age]]&lt;30,"20-29",
IF(Titanic_Dataset[[#This Row],[Age]]&lt;40,"30-39",
IF(Titanic_Dataset[[#This Row],[Age]]&lt;50,"40-49",
IF(Titanic_Dataset[[#This Row],[Age]]&lt;60,"50-59",
IF(Titanic_Dataset[[#This Row],[Age]]&lt;70,"60-69",)))))))</f>
        <v>30-39</v>
      </c>
      <c r="K837">
        <v>1</v>
      </c>
      <c r="L837">
        <v>1</v>
      </c>
      <c r="M837">
        <f>Titanic_Dataset[[#This Row],[Parch]]+Titanic_Dataset[[#This Row],[SibSp]]</f>
        <v>2</v>
      </c>
      <c r="N837" s="1" t="s">
        <v>1638</v>
      </c>
      <c r="O837">
        <v>83.158299999999997</v>
      </c>
      <c r="P837">
        <f>IF(Titanic_Dataset[[#This Row],[Survived]]=1,Titanic_Dataset[[#This Row],[Fare]],NA())</f>
        <v>83.158299999999997</v>
      </c>
      <c r="Q837" t="e">
        <f>IF(Titanic_Dataset[[#This Row],[Survived]]=0,Titanic_Dataset[[#This Row],[Fare]],NA())</f>
        <v>#N/A</v>
      </c>
      <c r="R837" t="str">
        <f>VLOOKUP(Titanic_Dataset[[#This Row],[Fare]],Table2[],2,TRUE)</f>
        <v>very hiegh</v>
      </c>
      <c r="S837" s="1" t="s">
        <v>1639</v>
      </c>
      <c r="T837" s="1" t="s">
        <v>21</v>
      </c>
      <c r="U837" s="1"/>
      <c r="V837" s="1"/>
      <c r="W837" s="1"/>
    </row>
    <row r="838" spans="1:23" x14ac:dyDescent="0.25">
      <c r="A838">
        <v>837</v>
      </c>
      <c r="B838">
        <v>0</v>
      </c>
      <c r="C838" t="str">
        <f>IF(Titanic_Dataset[[#This Row],[Survived]]=1,"Survived","Died")</f>
        <v>Died</v>
      </c>
      <c r="D838">
        <v>3</v>
      </c>
      <c r="E838" t="str">
        <f>IF(Titanic_Dataset[[#This Row],[Pclass]]=1,"1st",IF(Titanic_Dataset[[#This Row],[Pclass]]=2,"2nd",IF(Titanic_Dataset[[#This Row],[Pclass]]=3,"3rd")))</f>
        <v>3rd</v>
      </c>
      <c r="F838" s="1" t="s">
        <v>1640</v>
      </c>
      <c r="G838" s="1" t="str">
        <f>TRIM(MID(Titanic_Dataset[[#This Row],[Name]],
FIND(",",Titanic_Dataset[[#This Row],[Name]])+2,
FIND(".",Titanic_Dataset[[#This Row],[Name]],FIND(",",Titanic_Dataset[[#This Row],[Name]]))-FIND(",",Titanic_Dataset[[#This Row],[Name]])-1))</f>
        <v>Mr.</v>
      </c>
      <c r="H838" s="1" t="s">
        <v>13</v>
      </c>
      <c r="I838">
        <v>21</v>
      </c>
      <c r="J83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38">
        <v>0</v>
      </c>
      <c r="L838">
        <v>0</v>
      </c>
      <c r="M838">
        <f>Titanic_Dataset[[#This Row],[Parch]]+Titanic_Dataset[[#This Row],[SibSp]]</f>
        <v>0</v>
      </c>
      <c r="N838" s="1" t="s">
        <v>1641</v>
      </c>
      <c r="O838">
        <v>8.6624999999999996</v>
      </c>
      <c r="P838" t="e">
        <f>IF(Titanic_Dataset[[#This Row],[Survived]]=1,Titanic_Dataset[[#This Row],[Fare]],NA())</f>
        <v>#N/A</v>
      </c>
      <c r="Q838">
        <f>IF(Titanic_Dataset[[#This Row],[Survived]]=0,Titanic_Dataset[[#This Row],[Fare]],NA())</f>
        <v>8.6624999999999996</v>
      </c>
      <c r="R838" t="str">
        <f>VLOOKUP(Titanic_Dataset[[#This Row],[Fare]],Table2[],2,TRUE)</f>
        <v>medium</v>
      </c>
      <c r="S838" s="1" t="s">
        <v>15</v>
      </c>
      <c r="T838" s="1" t="s">
        <v>16</v>
      </c>
      <c r="U838" s="1"/>
      <c r="V838" s="1"/>
      <c r="W838" s="1"/>
    </row>
    <row r="839" spans="1:23" x14ac:dyDescent="0.25">
      <c r="A839">
        <v>838</v>
      </c>
      <c r="B839">
        <v>0</v>
      </c>
      <c r="C839" t="str">
        <f>IF(Titanic_Dataset[[#This Row],[Survived]]=1,"Survived","Died")</f>
        <v>Died</v>
      </c>
      <c r="D839">
        <v>3</v>
      </c>
      <c r="E839" t="str">
        <f>IF(Titanic_Dataset[[#This Row],[Pclass]]=1,"1st",IF(Titanic_Dataset[[#This Row],[Pclass]]=2,"2nd",IF(Titanic_Dataset[[#This Row],[Pclass]]=3,"3rd")))</f>
        <v>3rd</v>
      </c>
      <c r="F839" s="1" t="s">
        <v>1642</v>
      </c>
      <c r="G839" s="1" t="str">
        <f>TRIM(MID(Titanic_Dataset[[#This Row],[Name]],
FIND(",",Titanic_Dataset[[#This Row],[Name]])+2,
FIND(".",Titanic_Dataset[[#This Row],[Name]],FIND(",",Titanic_Dataset[[#This Row],[Name]]))-FIND(",",Titanic_Dataset[[#This Row],[Name]])-1))</f>
        <v>Mr.</v>
      </c>
      <c r="H839" s="1" t="s">
        <v>13</v>
      </c>
      <c r="I839">
        <v>28</v>
      </c>
      <c r="J839"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39">
        <v>0</v>
      </c>
      <c r="L839">
        <v>0</v>
      </c>
      <c r="M839">
        <f>Titanic_Dataset[[#This Row],[Parch]]+Titanic_Dataset[[#This Row],[SibSp]]</f>
        <v>0</v>
      </c>
      <c r="N839" s="1" t="s">
        <v>1643</v>
      </c>
      <c r="O839">
        <v>8.0500000000000007</v>
      </c>
      <c r="P839" t="e">
        <f>IF(Titanic_Dataset[[#This Row],[Survived]]=1,Titanic_Dataset[[#This Row],[Fare]],NA())</f>
        <v>#N/A</v>
      </c>
      <c r="Q839">
        <f>IF(Titanic_Dataset[[#This Row],[Survived]]=0,Titanic_Dataset[[#This Row],[Fare]],NA())</f>
        <v>8.0500000000000007</v>
      </c>
      <c r="R839" t="str">
        <f>VLOOKUP(Titanic_Dataset[[#This Row],[Fare]],Table2[],2,TRUE)</f>
        <v>medium</v>
      </c>
      <c r="S839" s="1" t="s">
        <v>15</v>
      </c>
      <c r="T839" s="1" t="s">
        <v>16</v>
      </c>
      <c r="U839" s="1"/>
      <c r="V839" s="1"/>
      <c r="W839" s="1"/>
    </row>
    <row r="840" spans="1:23" x14ac:dyDescent="0.25">
      <c r="A840">
        <v>839</v>
      </c>
      <c r="B840">
        <v>1</v>
      </c>
      <c r="C840" t="str">
        <f>IF(Titanic_Dataset[[#This Row],[Survived]]=1,"Survived","Died")</f>
        <v>Survived</v>
      </c>
      <c r="D840">
        <v>3</v>
      </c>
      <c r="E840" t="str">
        <f>IF(Titanic_Dataset[[#This Row],[Pclass]]=1,"1st",IF(Titanic_Dataset[[#This Row],[Pclass]]=2,"2nd",IF(Titanic_Dataset[[#This Row],[Pclass]]=3,"3rd")))</f>
        <v>3rd</v>
      </c>
      <c r="F840" s="1" t="s">
        <v>1644</v>
      </c>
      <c r="G840" s="1" t="str">
        <f>TRIM(MID(Titanic_Dataset[[#This Row],[Name]],
FIND(",",Titanic_Dataset[[#This Row],[Name]])+2,
FIND(".",Titanic_Dataset[[#This Row],[Name]],FIND(",",Titanic_Dataset[[#This Row],[Name]]))-FIND(",",Titanic_Dataset[[#This Row],[Name]])-1))</f>
        <v>Mr.</v>
      </c>
      <c r="H840" s="1" t="s">
        <v>13</v>
      </c>
      <c r="I840">
        <v>32</v>
      </c>
      <c r="J840" t="str">
        <f>IF(Titanic_Dataset[[#This Row],[Age]]&lt;12,"0-11",
IF(Titanic_Dataset[[#This Row],[Age]]&lt;20,"12-19",
IF(Titanic_Dataset[[#This Row],[Age]]&lt;30,"20-29",
IF(Titanic_Dataset[[#This Row],[Age]]&lt;40,"30-39",
IF(Titanic_Dataset[[#This Row],[Age]]&lt;50,"40-49",
IF(Titanic_Dataset[[#This Row],[Age]]&lt;60,"50-59",
IF(Titanic_Dataset[[#This Row],[Age]]&lt;70,"60-69",)))))))</f>
        <v>30-39</v>
      </c>
      <c r="K840">
        <v>0</v>
      </c>
      <c r="L840">
        <v>0</v>
      </c>
      <c r="M840">
        <f>Titanic_Dataset[[#This Row],[Parch]]+Titanic_Dataset[[#This Row],[SibSp]]</f>
        <v>0</v>
      </c>
      <c r="N840" s="1" t="s">
        <v>180</v>
      </c>
      <c r="O840">
        <v>56.495800000000003</v>
      </c>
      <c r="P840">
        <f>IF(Titanic_Dataset[[#This Row],[Survived]]=1,Titanic_Dataset[[#This Row],[Fare]],NA())</f>
        <v>56.495800000000003</v>
      </c>
      <c r="Q840" t="e">
        <f>IF(Titanic_Dataset[[#This Row],[Survived]]=0,Titanic_Dataset[[#This Row],[Fare]],NA())</f>
        <v>#N/A</v>
      </c>
      <c r="R840" t="str">
        <f>VLOOKUP(Titanic_Dataset[[#This Row],[Fare]],Table2[],2,TRUE)</f>
        <v>very hiegh</v>
      </c>
      <c r="S840" s="1" t="s">
        <v>15</v>
      </c>
      <c r="T840" s="1" t="s">
        <v>16</v>
      </c>
      <c r="U840" s="1"/>
      <c r="V840" s="1"/>
      <c r="W840" s="1"/>
    </row>
    <row r="841" spans="1:23" x14ac:dyDescent="0.25">
      <c r="A841">
        <v>840</v>
      </c>
      <c r="B841">
        <v>1</v>
      </c>
      <c r="C841" t="str">
        <f>IF(Titanic_Dataset[[#This Row],[Survived]]=1,"Survived","Died")</f>
        <v>Survived</v>
      </c>
      <c r="D841">
        <v>1</v>
      </c>
      <c r="E841" t="str">
        <f>IF(Titanic_Dataset[[#This Row],[Pclass]]=1,"1st",IF(Titanic_Dataset[[#This Row],[Pclass]]=2,"2nd",IF(Titanic_Dataset[[#This Row],[Pclass]]=3,"3rd")))</f>
        <v>1st</v>
      </c>
      <c r="F841" s="1" t="s">
        <v>1645</v>
      </c>
      <c r="G841" s="1" t="str">
        <f>TRIM(MID(Titanic_Dataset[[#This Row],[Name]],
FIND(",",Titanic_Dataset[[#This Row],[Name]])+2,
FIND(".",Titanic_Dataset[[#This Row],[Name]],FIND(",",Titanic_Dataset[[#This Row],[Name]]))-FIND(",",Titanic_Dataset[[#This Row],[Name]])-1))</f>
        <v>Mr.</v>
      </c>
      <c r="H841" s="1" t="s">
        <v>13</v>
      </c>
      <c r="I841">
        <v>28</v>
      </c>
      <c r="J84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41">
        <v>0</v>
      </c>
      <c r="L841">
        <v>0</v>
      </c>
      <c r="M841">
        <f>Titanic_Dataset[[#This Row],[Parch]]+Titanic_Dataset[[#This Row],[SibSp]]</f>
        <v>0</v>
      </c>
      <c r="N841" s="1" t="s">
        <v>1646</v>
      </c>
      <c r="O841">
        <v>29.7</v>
      </c>
      <c r="P841">
        <f>IF(Titanic_Dataset[[#This Row],[Survived]]=1,Titanic_Dataset[[#This Row],[Fare]],NA())</f>
        <v>29.7</v>
      </c>
      <c r="Q841" t="e">
        <f>IF(Titanic_Dataset[[#This Row],[Survived]]=0,Titanic_Dataset[[#This Row],[Fare]],NA())</f>
        <v>#N/A</v>
      </c>
      <c r="R841" t="str">
        <f>VLOOKUP(Titanic_Dataset[[#This Row],[Fare]],Table2[],2,TRUE)</f>
        <v>high</v>
      </c>
      <c r="S841" s="1" t="s">
        <v>1647</v>
      </c>
      <c r="T841" s="1" t="s">
        <v>21</v>
      </c>
      <c r="U841" s="1"/>
      <c r="V841" s="1"/>
      <c r="W841" s="1"/>
    </row>
    <row r="842" spans="1:23" x14ac:dyDescent="0.25">
      <c r="A842">
        <v>841</v>
      </c>
      <c r="B842">
        <v>0</v>
      </c>
      <c r="C842" t="str">
        <f>IF(Titanic_Dataset[[#This Row],[Survived]]=1,"Survived","Died")</f>
        <v>Died</v>
      </c>
      <c r="D842">
        <v>3</v>
      </c>
      <c r="E842" t="str">
        <f>IF(Titanic_Dataset[[#This Row],[Pclass]]=1,"1st",IF(Titanic_Dataset[[#This Row],[Pclass]]=2,"2nd",IF(Titanic_Dataset[[#This Row],[Pclass]]=3,"3rd")))</f>
        <v>3rd</v>
      </c>
      <c r="F842" s="1" t="s">
        <v>1648</v>
      </c>
      <c r="G842" s="1" t="str">
        <f>TRIM(MID(Titanic_Dataset[[#This Row],[Name]],
FIND(",",Titanic_Dataset[[#This Row],[Name]])+2,
FIND(".",Titanic_Dataset[[#This Row],[Name]],FIND(",",Titanic_Dataset[[#This Row],[Name]]))-FIND(",",Titanic_Dataset[[#This Row],[Name]])-1))</f>
        <v>Mr.</v>
      </c>
      <c r="H842" s="1" t="s">
        <v>13</v>
      </c>
      <c r="I842">
        <v>20</v>
      </c>
      <c r="J84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42">
        <v>0</v>
      </c>
      <c r="L842">
        <v>0</v>
      </c>
      <c r="M842">
        <f>Titanic_Dataset[[#This Row],[Parch]]+Titanic_Dataset[[#This Row],[SibSp]]</f>
        <v>0</v>
      </c>
      <c r="N842" s="1" t="s">
        <v>1649</v>
      </c>
      <c r="O842">
        <v>7.9249999999999998</v>
      </c>
      <c r="P842" t="e">
        <f>IF(Titanic_Dataset[[#This Row],[Survived]]=1,Titanic_Dataset[[#This Row],[Fare]],NA())</f>
        <v>#N/A</v>
      </c>
      <c r="Q842">
        <f>IF(Titanic_Dataset[[#This Row],[Survived]]=0,Titanic_Dataset[[#This Row],[Fare]],NA())</f>
        <v>7.9249999999999998</v>
      </c>
      <c r="R842" t="str">
        <f>VLOOKUP(Titanic_Dataset[[#This Row],[Fare]],Table2[],2,TRUE)</f>
        <v>low</v>
      </c>
      <c r="S842" s="1" t="s">
        <v>15</v>
      </c>
      <c r="T842" s="1" t="s">
        <v>16</v>
      </c>
      <c r="U842" s="1"/>
      <c r="V842" s="1"/>
      <c r="W842" s="1"/>
    </row>
    <row r="843" spans="1:23" x14ac:dyDescent="0.25">
      <c r="A843">
        <v>842</v>
      </c>
      <c r="B843">
        <v>0</v>
      </c>
      <c r="C843" t="str">
        <f>IF(Titanic_Dataset[[#This Row],[Survived]]=1,"Survived","Died")</f>
        <v>Died</v>
      </c>
      <c r="D843">
        <v>2</v>
      </c>
      <c r="E843" t="str">
        <f>IF(Titanic_Dataset[[#This Row],[Pclass]]=1,"1st",IF(Titanic_Dataset[[#This Row],[Pclass]]=2,"2nd",IF(Titanic_Dataset[[#This Row],[Pclass]]=3,"3rd")))</f>
        <v>2nd</v>
      </c>
      <c r="F843" s="1" t="s">
        <v>1650</v>
      </c>
      <c r="G843" s="1" t="str">
        <f>TRIM(MID(Titanic_Dataset[[#This Row],[Name]],
FIND(",",Titanic_Dataset[[#This Row],[Name]])+2,
FIND(".",Titanic_Dataset[[#This Row],[Name]],FIND(",",Titanic_Dataset[[#This Row],[Name]]))-FIND(",",Titanic_Dataset[[#This Row],[Name]])-1))</f>
        <v>Mr.</v>
      </c>
      <c r="H843" s="1" t="s">
        <v>13</v>
      </c>
      <c r="I843">
        <v>16</v>
      </c>
      <c r="J843" t="str">
        <f>IF(Titanic_Dataset[[#This Row],[Age]]&lt;12,"0-11",
IF(Titanic_Dataset[[#This Row],[Age]]&lt;20,"12-19",
IF(Titanic_Dataset[[#This Row],[Age]]&lt;30,"20-29",
IF(Titanic_Dataset[[#This Row],[Age]]&lt;40,"30-39",
IF(Titanic_Dataset[[#This Row],[Age]]&lt;50,"40-49",
IF(Titanic_Dataset[[#This Row],[Age]]&lt;60,"50-59",
IF(Titanic_Dataset[[#This Row],[Age]]&lt;70,"60-69",)))))))</f>
        <v>12-19</v>
      </c>
      <c r="K843">
        <v>0</v>
      </c>
      <c r="L843">
        <v>0</v>
      </c>
      <c r="M843">
        <f>Titanic_Dataset[[#This Row],[Parch]]+Titanic_Dataset[[#This Row],[SibSp]]</f>
        <v>0</v>
      </c>
      <c r="N843" s="1" t="s">
        <v>1527</v>
      </c>
      <c r="O843">
        <v>10.5</v>
      </c>
      <c r="P843" t="e">
        <f>IF(Titanic_Dataset[[#This Row],[Survived]]=1,Titanic_Dataset[[#This Row],[Fare]],NA())</f>
        <v>#N/A</v>
      </c>
      <c r="Q843">
        <f>IF(Titanic_Dataset[[#This Row],[Survived]]=0,Titanic_Dataset[[#This Row],[Fare]],NA())</f>
        <v>10.5</v>
      </c>
      <c r="R843" t="str">
        <f>VLOOKUP(Titanic_Dataset[[#This Row],[Fare]],Table2[],2,TRUE)</f>
        <v>medium</v>
      </c>
      <c r="S843" s="1" t="s">
        <v>15</v>
      </c>
      <c r="T843" s="1" t="s">
        <v>16</v>
      </c>
      <c r="U843" s="1"/>
      <c r="V843" s="1"/>
      <c r="W843" s="1"/>
    </row>
    <row r="844" spans="1:23" x14ac:dyDescent="0.25">
      <c r="A844">
        <v>843</v>
      </c>
      <c r="B844">
        <v>1</v>
      </c>
      <c r="C844" t="str">
        <f>IF(Titanic_Dataset[[#This Row],[Survived]]=1,"Survived","Died")</f>
        <v>Survived</v>
      </c>
      <c r="D844">
        <v>1</v>
      </c>
      <c r="E844" t="str">
        <f>IF(Titanic_Dataset[[#This Row],[Pclass]]=1,"1st",IF(Titanic_Dataset[[#This Row],[Pclass]]=2,"2nd",IF(Titanic_Dataset[[#This Row],[Pclass]]=3,"3rd")))</f>
        <v>1st</v>
      </c>
      <c r="F844" s="1" t="s">
        <v>1651</v>
      </c>
      <c r="G844" s="1" t="str">
        <f>TRIM(MID(Titanic_Dataset[[#This Row],[Name]],
FIND(",",Titanic_Dataset[[#This Row],[Name]])+2,
FIND(".",Titanic_Dataset[[#This Row],[Name]],FIND(",",Titanic_Dataset[[#This Row],[Name]]))-FIND(",",Titanic_Dataset[[#This Row],[Name]])-1))</f>
        <v>Miss.</v>
      </c>
      <c r="H844" s="1" t="s">
        <v>18</v>
      </c>
      <c r="I844">
        <v>30</v>
      </c>
      <c r="J844" t="str">
        <f>IF(Titanic_Dataset[[#This Row],[Age]]&lt;12,"0-11",
IF(Titanic_Dataset[[#This Row],[Age]]&lt;20,"12-19",
IF(Titanic_Dataset[[#This Row],[Age]]&lt;30,"20-29",
IF(Titanic_Dataset[[#This Row],[Age]]&lt;40,"30-39",
IF(Titanic_Dataset[[#This Row],[Age]]&lt;50,"40-49",
IF(Titanic_Dataset[[#This Row],[Age]]&lt;60,"50-59",
IF(Titanic_Dataset[[#This Row],[Age]]&lt;70,"60-69",)))))))</f>
        <v>30-39</v>
      </c>
      <c r="K844">
        <v>0</v>
      </c>
      <c r="L844">
        <v>0</v>
      </c>
      <c r="M844">
        <f>Titanic_Dataset[[#This Row],[Parch]]+Titanic_Dataset[[#This Row],[SibSp]]</f>
        <v>0</v>
      </c>
      <c r="N844" s="1" t="s">
        <v>578</v>
      </c>
      <c r="O844">
        <v>31</v>
      </c>
      <c r="P844">
        <f>IF(Titanic_Dataset[[#This Row],[Survived]]=1,Titanic_Dataset[[#This Row],[Fare]],NA())</f>
        <v>31</v>
      </c>
      <c r="Q844" t="e">
        <f>IF(Titanic_Dataset[[#This Row],[Survived]]=0,Titanic_Dataset[[#This Row],[Fare]],NA())</f>
        <v>#N/A</v>
      </c>
      <c r="R844" t="str">
        <f>VLOOKUP(Titanic_Dataset[[#This Row],[Fare]],Table2[],2,TRUE)</f>
        <v>very hiegh</v>
      </c>
      <c r="S844" s="1" t="s">
        <v>15</v>
      </c>
      <c r="T844" s="1" t="s">
        <v>21</v>
      </c>
      <c r="U844" s="1"/>
      <c r="V844" s="1"/>
      <c r="W844" s="1"/>
    </row>
    <row r="845" spans="1:23" x14ac:dyDescent="0.25">
      <c r="A845">
        <v>844</v>
      </c>
      <c r="B845">
        <v>0</v>
      </c>
      <c r="C845" t="str">
        <f>IF(Titanic_Dataset[[#This Row],[Survived]]=1,"Survived","Died")</f>
        <v>Died</v>
      </c>
      <c r="D845">
        <v>3</v>
      </c>
      <c r="E845" t="str">
        <f>IF(Titanic_Dataset[[#This Row],[Pclass]]=1,"1st",IF(Titanic_Dataset[[#This Row],[Pclass]]=2,"2nd",IF(Titanic_Dataset[[#This Row],[Pclass]]=3,"3rd")))</f>
        <v>3rd</v>
      </c>
      <c r="F845" s="1" t="s">
        <v>1652</v>
      </c>
      <c r="G845" s="1" t="str">
        <f>TRIM(MID(Titanic_Dataset[[#This Row],[Name]],
FIND(",",Titanic_Dataset[[#This Row],[Name]])+2,
FIND(".",Titanic_Dataset[[#This Row],[Name]],FIND(",",Titanic_Dataset[[#This Row],[Name]]))-FIND(",",Titanic_Dataset[[#This Row],[Name]])-1))</f>
        <v>Mr.</v>
      </c>
      <c r="H845" s="1" t="s">
        <v>13</v>
      </c>
      <c r="I845">
        <v>34.5</v>
      </c>
      <c r="J845" t="str">
        <f>IF(Titanic_Dataset[[#This Row],[Age]]&lt;12,"0-11",
IF(Titanic_Dataset[[#This Row],[Age]]&lt;20,"12-19",
IF(Titanic_Dataset[[#This Row],[Age]]&lt;30,"20-29",
IF(Titanic_Dataset[[#This Row],[Age]]&lt;40,"30-39",
IF(Titanic_Dataset[[#This Row],[Age]]&lt;50,"40-49",
IF(Titanic_Dataset[[#This Row],[Age]]&lt;60,"50-59",
IF(Titanic_Dataset[[#This Row],[Age]]&lt;70,"60-69",)))))))</f>
        <v>30-39</v>
      </c>
      <c r="K845">
        <v>0</v>
      </c>
      <c r="L845">
        <v>0</v>
      </c>
      <c r="M845">
        <f>Titanic_Dataset[[#This Row],[Parch]]+Titanic_Dataset[[#This Row],[SibSp]]</f>
        <v>0</v>
      </c>
      <c r="N845" s="1" t="s">
        <v>1653</v>
      </c>
      <c r="O845">
        <v>6.4375</v>
      </c>
      <c r="P845" t="e">
        <f>IF(Titanic_Dataset[[#This Row],[Survived]]=1,Titanic_Dataset[[#This Row],[Fare]],NA())</f>
        <v>#N/A</v>
      </c>
      <c r="Q845">
        <f>IF(Titanic_Dataset[[#This Row],[Survived]]=0,Titanic_Dataset[[#This Row],[Fare]],NA())</f>
        <v>6.4375</v>
      </c>
      <c r="R845" t="str">
        <f>VLOOKUP(Titanic_Dataset[[#This Row],[Fare]],Table2[],2,TRUE)</f>
        <v>low</v>
      </c>
      <c r="S845" s="1" t="s">
        <v>15</v>
      </c>
      <c r="T845" s="1" t="s">
        <v>21</v>
      </c>
      <c r="U845" s="1"/>
      <c r="V845" s="1"/>
      <c r="W845" s="1"/>
    </row>
    <row r="846" spans="1:23" x14ac:dyDescent="0.25">
      <c r="A846">
        <v>845</v>
      </c>
      <c r="B846">
        <v>0</v>
      </c>
      <c r="C846" t="str">
        <f>IF(Titanic_Dataset[[#This Row],[Survived]]=1,"Survived","Died")</f>
        <v>Died</v>
      </c>
      <c r="D846">
        <v>3</v>
      </c>
      <c r="E846" t="str">
        <f>IF(Titanic_Dataset[[#This Row],[Pclass]]=1,"1st",IF(Titanic_Dataset[[#This Row],[Pclass]]=2,"2nd",IF(Titanic_Dataset[[#This Row],[Pclass]]=3,"3rd")))</f>
        <v>3rd</v>
      </c>
      <c r="F846" s="1" t="s">
        <v>1654</v>
      </c>
      <c r="G846" s="1" t="str">
        <f>TRIM(MID(Titanic_Dataset[[#This Row],[Name]],
FIND(",",Titanic_Dataset[[#This Row],[Name]])+2,
FIND(".",Titanic_Dataset[[#This Row],[Name]],FIND(",",Titanic_Dataset[[#This Row],[Name]]))-FIND(",",Titanic_Dataset[[#This Row],[Name]])-1))</f>
        <v>Mr.</v>
      </c>
      <c r="H846" s="1" t="s">
        <v>13</v>
      </c>
      <c r="I846">
        <v>17</v>
      </c>
      <c r="J846" t="str">
        <f>IF(Titanic_Dataset[[#This Row],[Age]]&lt;12,"0-11",
IF(Titanic_Dataset[[#This Row],[Age]]&lt;20,"12-19",
IF(Titanic_Dataset[[#This Row],[Age]]&lt;30,"20-29",
IF(Titanic_Dataset[[#This Row],[Age]]&lt;40,"30-39",
IF(Titanic_Dataset[[#This Row],[Age]]&lt;50,"40-49",
IF(Titanic_Dataset[[#This Row],[Age]]&lt;60,"50-59",
IF(Titanic_Dataset[[#This Row],[Age]]&lt;70,"60-69",)))))))</f>
        <v>12-19</v>
      </c>
      <c r="K846">
        <v>0</v>
      </c>
      <c r="L846">
        <v>0</v>
      </c>
      <c r="M846">
        <f>Titanic_Dataset[[#This Row],[Parch]]+Titanic_Dataset[[#This Row],[SibSp]]</f>
        <v>0</v>
      </c>
      <c r="N846" s="1" t="s">
        <v>1655</v>
      </c>
      <c r="O846">
        <v>8.6624999999999996</v>
      </c>
      <c r="P846" t="e">
        <f>IF(Titanic_Dataset[[#This Row],[Survived]]=1,Titanic_Dataset[[#This Row],[Fare]],NA())</f>
        <v>#N/A</v>
      </c>
      <c r="Q846">
        <f>IF(Titanic_Dataset[[#This Row],[Survived]]=0,Titanic_Dataset[[#This Row],[Fare]],NA())</f>
        <v>8.6624999999999996</v>
      </c>
      <c r="R846" t="str">
        <f>VLOOKUP(Titanic_Dataset[[#This Row],[Fare]],Table2[],2,TRUE)</f>
        <v>medium</v>
      </c>
      <c r="S846" s="1" t="s">
        <v>15</v>
      </c>
      <c r="T846" s="1" t="s">
        <v>16</v>
      </c>
      <c r="U846" s="1"/>
      <c r="V846" s="1"/>
      <c r="W846" s="1"/>
    </row>
    <row r="847" spans="1:23" x14ac:dyDescent="0.25">
      <c r="A847">
        <v>846</v>
      </c>
      <c r="B847">
        <v>0</v>
      </c>
      <c r="C847" t="str">
        <f>IF(Titanic_Dataset[[#This Row],[Survived]]=1,"Survived","Died")</f>
        <v>Died</v>
      </c>
      <c r="D847">
        <v>3</v>
      </c>
      <c r="E847" t="str">
        <f>IF(Titanic_Dataset[[#This Row],[Pclass]]=1,"1st",IF(Titanic_Dataset[[#This Row],[Pclass]]=2,"2nd",IF(Titanic_Dataset[[#This Row],[Pclass]]=3,"3rd")))</f>
        <v>3rd</v>
      </c>
      <c r="F847" s="1" t="s">
        <v>1656</v>
      </c>
      <c r="G847" s="1" t="str">
        <f>TRIM(MID(Titanic_Dataset[[#This Row],[Name]],
FIND(",",Titanic_Dataset[[#This Row],[Name]])+2,
FIND(".",Titanic_Dataset[[#This Row],[Name]],FIND(",",Titanic_Dataset[[#This Row],[Name]]))-FIND(",",Titanic_Dataset[[#This Row],[Name]])-1))</f>
        <v>Mr.</v>
      </c>
      <c r="H847" s="1" t="s">
        <v>13</v>
      </c>
      <c r="I847">
        <v>42</v>
      </c>
      <c r="J847" t="str">
        <f>IF(Titanic_Dataset[[#This Row],[Age]]&lt;12,"0-11",
IF(Titanic_Dataset[[#This Row],[Age]]&lt;20,"12-19",
IF(Titanic_Dataset[[#This Row],[Age]]&lt;30,"20-29",
IF(Titanic_Dataset[[#This Row],[Age]]&lt;40,"30-39",
IF(Titanic_Dataset[[#This Row],[Age]]&lt;50,"40-49",
IF(Titanic_Dataset[[#This Row],[Age]]&lt;60,"50-59",
IF(Titanic_Dataset[[#This Row],[Age]]&lt;70,"60-69",)))))))</f>
        <v>40-49</v>
      </c>
      <c r="K847">
        <v>0</v>
      </c>
      <c r="L847">
        <v>0</v>
      </c>
      <c r="M847">
        <f>Titanic_Dataset[[#This Row],[Parch]]+Titanic_Dataset[[#This Row],[SibSp]]</f>
        <v>0</v>
      </c>
      <c r="N847" s="1" t="s">
        <v>1657</v>
      </c>
      <c r="O847">
        <v>7.55</v>
      </c>
      <c r="P847" t="e">
        <f>IF(Titanic_Dataset[[#This Row],[Survived]]=1,Titanic_Dataset[[#This Row],[Fare]],NA())</f>
        <v>#N/A</v>
      </c>
      <c r="Q847">
        <f>IF(Titanic_Dataset[[#This Row],[Survived]]=0,Titanic_Dataset[[#This Row],[Fare]],NA())</f>
        <v>7.55</v>
      </c>
      <c r="R847" t="str">
        <f>VLOOKUP(Titanic_Dataset[[#This Row],[Fare]],Table2[],2,TRUE)</f>
        <v>low</v>
      </c>
      <c r="S847" s="1" t="s">
        <v>15</v>
      </c>
      <c r="T847" s="1" t="s">
        <v>16</v>
      </c>
      <c r="U847" s="1"/>
      <c r="V847" s="1"/>
      <c r="W847" s="1"/>
    </row>
    <row r="848" spans="1:23" x14ac:dyDescent="0.25">
      <c r="A848">
        <v>847</v>
      </c>
      <c r="B848">
        <v>0</v>
      </c>
      <c r="C848" t="str">
        <f>IF(Titanic_Dataset[[#This Row],[Survived]]=1,"Survived","Died")</f>
        <v>Died</v>
      </c>
      <c r="D848">
        <v>3</v>
      </c>
      <c r="E848" t="str">
        <f>IF(Titanic_Dataset[[#This Row],[Pclass]]=1,"1st",IF(Titanic_Dataset[[#This Row],[Pclass]]=2,"2nd",IF(Titanic_Dataset[[#This Row],[Pclass]]=3,"3rd")))</f>
        <v>3rd</v>
      </c>
      <c r="F848" s="1" t="s">
        <v>1658</v>
      </c>
      <c r="G848" s="1" t="str">
        <f>TRIM(MID(Titanic_Dataset[[#This Row],[Name]],
FIND(",",Titanic_Dataset[[#This Row],[Name]])+2,
FIND(".",Titanic_Dataset[[#This Row],[Name]],FIND(",",Titanic_Dataset[[#This Row],[Name]]))-FIND(",",Titanic_Dataset[[#This Row],[Name]])-1))</f>
        <v>Mr.</v>
      </c>
      <c r="H848" s="1" t="s">
        <v>13</v>
      </c>
      <c r="I848">
        <v>28</v>
      </c>
      <c r="J84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48">
        <v>8</v>
      </c>
      <c r="L848">
        <v>2</v>
      </c>
      <c r="M848">
        <f>Titanic_Dataset[[#This Row],[Parch]]+Titanic_Dataset[[#This Row],[SibSp]]</f>
        <v>10</v>
      </c>
      <c r="N848" s="1" t="s">
        <v>354</v>
      </c>
      <c r="O848">
        <v>69.55</v>
      </c>
      <c r="P848" t="e">
        <f>IF(Titanic_Dataset[[#This Row],[Survived]]=1,Titanic_Dataset[[#This Row],[Fare]],NA())</f>
        <v>#N/A</v>
      </c>
      <c r="Q848">
        <f>IF(Titanic_Dataset[[#This Row],[Survived]]=0,Titanic_Dataset[[#This Row],[Fare]],NA())</f>
        <v>69.55</v>
      </c>
      <c r="R848" t="str">
        <f>VLOOKUP(Titanic_Dataset[[#This Row],[Fare]],Table2[],2,TRUE)</f>
        <v>very hiegh</v>
      </c>
      <c r="S848" s="1" t="s">
        <v>15</v>
      </c>
      <c r="T848" s="1" t="s">
        <v>16</v>
      </c>
      <c r="U848" s="1"/>
      <c r="V848" s="1"/>
      <c r="W848" s="1"/>
    </row>
    <row r="849" spans="1:23" x14ac:dyDescent="0.25">
      <c r="A849">
        <v>848</v>
      </c>
      <c r="B849">
        <v>0</v>
      </c>
      <c r="C849" t="str">
        <f>IF(Titanic_Dataset[[#This Row],[Survived]]=1,"Survived","Died")</f>
        <v>Died</v>
      </c>
      <c r="D849">
        <v>3</v>
      </c>
      <c r="E849" t="str">
        <f>IF(Titanic_Dataset[[#This Row],[Pclass]]=1,"1st",IF(Titanic_Dataset[[#This Row],[Pclass]]=2,"2nd",IF(Titanic_Dataset[[#This Row],[Pclass]]=3,"3rd")))</f>
        <v>3rd</v>
      </c>
      <c r="F849" s="1" t="s">
        <v>1659</v>
      </c>
      <c r="G849" s="1" t="str">
        <f>TRIM(MID(Titanic_Dataset[[#This Row],[Name]],
FIND(",",Titanic_Dataset[[#This Row],[Name]])+2,
FIND(".",Titanic_Dataset[[#This Row],[Name]],FIND(",",Titanic_Dataset[[#This Row],[Name]]))-FIND(",",Titanic_Dataset[[#This Row],[Name]])-1))</f>
        <v>Mr.</v>
      </c>
      <c r="H849" s="1" t="s">
        <v>13</v>
      </c>
      <c r="I849">
        <v>35</v>
      </c>
      <c r="J849" t="str">
        <f>IF(Titanic_Dataset[[#This Row],[Age]]&lt;12,"0-11",
IF(Titanic_Dataset[[#This Row],[Age]]&lt;20,"12-19",
IF(Titanic_Dataset[[#This Row],[Age]]&lt;30,"20-29",
IF(Titanic_Dataset[[#This Row],[Age]]&lt;40,"30-39",
IF(Titanic_Dataset[[#This Row],[Age]]&lt;50,"40-49",
IF(Titanic_Dataset[[#This Row],[Age]]&lt;60,"50-59",
IF(Titanic_Dataset[[#This Row],[Age]]&lt;70,"60-69",)))))))</f>
        <v>30-39</v>
      </c>
      <c r="K849">
        <v>0</v>
      </c>
      <c r="L849">
        <v>0</v>
      </c>
      <c r="M849">
        <f>Titanic_Dataset[[#This Row],[Parch]]+Titanic_Dataset[[#This Row],[SibSp]]</f>
        <v>0</v>
      </c>
      <c r="N849" s="1" t="s">
        <v>1660</v>
      </c>
      <c r="O849">
        <v>7.8958000000000004</v>
      </c>
      <c r="P849" t="e">
        <f>IF(Titanic_Dataset[[#This Row],[Survived]]=1,Titanic_Dataset[[#This Row],[Fare]],NA())</f>
        <v>#N/A</v>
      </c>
      <c r="Q849">
        <f>IF(Titanic_Dataset[[#This Row],[Survived]]=0,Titanic_Dataset[[#This Row],[Fare]],NA())</f>
        <v>7.8958000000000004</v>
      </c>
      <c r="R849" t="str">
        <f>VLOOKUP(Titanic_Dataset[[#This Row],[Fare]],Table2[],2,TRUE)</f>
        <v>low</v>
      </c>
      <c r="S849" s="1" t="s">
        <v>15</v>
      </c>
      <c r="T849" s="1" t="s">
        <v>21</v>
      </c>
      <c r="U849" s="1"/>
      <c r="V849" s="1"/>
      <c r="W849" s="1"/>
    </row>
    <row r="850" spans="1:23" x14ac:dyDescent="0.25">
      <c r="A850">
        <v>849</v>
      </c>
      <c r="B850">
        <v>0</v>
      </c>
      <c r="C850" t="str">
        <f>IF(Titanic_Dataset[[#This Row],[Survived]]=1,"Survived","Died")</f>
        <v>Died</v>
      </c>
      <c r="D850">
        <v>2</v>
      </c>
      <c r="E850" t="str">
        <f>IF(Titanic_Dataset[[#This Row],[Pclass]]=1,"1st",IF(Titanic_Dataset[[#This Row],[Pclass]]=2,"2nd",IF(Titanic_Dataset[[#This Row],[Pclass]]=3,"3rd")))</f>
        <v>2nd</v>
      </c>
      <c r="F850" s="1" t="s">
        <v>1661</v>
      </c>
      <c r="G850" s="1" t="str">
        <f>TRIM(MID(Titanic_Dataset[[#This Row],[Name]],
FIND(",",Titanic_Dataset[[#This Row],[Name]])+2,
FIND(".",Titanic_Dataset[[#This Row],[Name]],FIND(",",Titanic_Dataset[[#This Row],[Name]]))-FIND(",",Titanic_Dataset[[#This Row],[Name]])-1))</f>
        <v>Rev.</v>
      </c>
      <c r="H850" s="1" t="s">
        <v>13</v>
      </c>
      <c r="I850">
        <v>28</v>
      </c>
      <c r="J85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50">
        <v>0</v>
      </c>
      <c r="L850">
        <v>1</v>
      </c>
      <c r="M850">
        <f>Titanic_Dataset[[#This Row],[Parch]]+Titanic_Dataset[[#This Row],[SibSp]]</f>
        <v>1</v>
      </c>
      <c r="N850" s="1" t="s">
        <v>1209</v>
      </c>
      <c r="O850">
        <v>33</v>
      </c>
      <c r="P850" t="e">
        <f>IF(Titanic_Dataset[[#This Row],[Survived]]=1,Titanic_Dataset[[#This Row],[Fare]],NA())</f>
        <v>#N/A</v>
      </c>
      <c r="Q850">
        <f>IF(Titanic_Dataset[[#This Row],[Survived]]=0,Titanic_Dataset[[#This Row],[Fare]],NA())</f>
        <v>33</v>
      </c>
      <c r="R850" t="str">
        <f>VLOOKUP(Titanic_Dataset[[#This Row],[Fare]],Table2[],2,TRUE)</f>
        <v>very hiegh</v>
      </c>
      <c r="S850" s="1" t="s">
        <v>15</v>
      </c>
      <c r="T850" s="1" t="s">
        <v>16</v>
      </c>
      <c r="U850" s="1"/>
      <c r="V850" s="1"/>
      <c r="W850" s="1"/>
    </row>
    <row r="851" spans="1:23" x14ac:dyDescent="0.25">
      <c r="A851">
        <v>850</v>
      </c>
      <c r="B851">
        <v>1</v>
      </c>
      <c r="C851" t="str">
        <f>IF(Titanic_Dataset[[#This Row],[Survived]]=1,"Survived","Died")</f>
        <v>Survived</v>
      </c>
      <c r="D851">
        <v>1</v>
      </c>
      <c r="E851" t="str">
        <f>IF(Titanic_Dataset[[#This Row],[Pclass]]=1,"1st",IF(Titanic_Dataset[[#This Row],[Pclass]]=2,"2nd",IF(Titanic_Dataset[[#This Row],[Pclass]]=3,"3rd")))</f>
        <v>1st</v>
      </c>
      <c r="F851" s="1" t="s">
        <v>1662</v>
      </c>
      <c r="G851" s="1" t="str">
        <f>TRIM(MID(Titanic_Dataset[[#This Row],[Name]],
FIND(",",Titanic_Dataset[[#This Row],[Name]])+2,
FIND(".",Titanic_Dataset[[#This Row],[Name]],FIND(",",Titanic_Dataset[[#This Row],[Name]]))-FIND(",",Titanic_Dataset[[#This Row],[Name]])-1))</f>
        <v>Mrs.</v>
      </c>
      <c r="H851" s="1" t="s">
        <v>18</v>
      </c>
      <c r="I851">
        <v>28</v>
      </c>
      <c r="J85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51">
        <v>1</v>
      </c>
      <c r="L851">
        <v>0</v>
      </c>
      <c r="M851">
        <f>Titanic_Dataset[[#This Row],[Parch]]+Titanic_Dataset[[#This Row],[SibSp]]</f>
        <v>1</v>
      </c>
      <c r="N851" s="1" t="s">
        <v>933</v>
      </c>
      <c r="O851">
        <v>89.104200000000006</v>
      </c>
      <c r="P851">
        <f>IF(Titanic_Dataset[[#This Row],[Survived]]=1,Titanic_Dataset[[#This Row],[Fare]],NA())</f>
        <v>89.104200000000006</v>
      </c>
      <c r="Q851" t="e">
        <f>IF(Titanic_Dataset[[#This Row],[Survived]]=0,Titanic_Dataset[[#This Row],[Fare]],NA())</f>
        <v>#N/A</v>
      </c>
      <c r="R851" t="str">
        <f>VLOOKUP(Titanic_Dataset[[#This Row],[Fare]],Table2[],2,TRUE)</f>
        <v>very hiegh</v>
      </c>
      <c r="S851" s="1" t="s">
        <v>934</v>
      </c>
      <c r="T851" s="1" t="s">
        <v>21</v>
      </c>
      <c r="U851" s="1"/>
      <c r="V851" s="1"/>
      <c r="W851" s="1"/>
    </row>
    <row r="852" spans="1:23" x14ac:dyDescent="0.25">
      <c r="A852">
        <v>851</v>
      </c>
      <c r="B852">
        <v>0</v>
      </c>
      <c r="C852" t="str">
        <f>IF(Titanic_Dataset[[#This Row],[Survived]]=1,"Survived","Died")</f>
        <v>Died</v>
      </c>
      <c r="D852">
        <v>3</v>
      </c>
      <c r="E852" t="str">
        <f>IF(Titanic_Dataset[[#This Row],[Pclass]]=1,"1st",IF(Titanic_Dataset[[#This Row],[Pclass]]=2,"2nd",IF(Titanic_Dataset[[#This Row],[Pclass]]=3,"3rd")))</f>
        <v>3rd</v>
      </c>
      <c r="F852" s="1" t="s">
        <v>1663</v>
      </c>
      <c r="G852" s="1" t="str">
        <f>TRIM(MID(Titanic_Dataset[[#This Row],[Name]],
FIND(",",Titanic_Dataset[[#This Row],[Name]])+2,
FIND(".",Titanic_Dataset[[#This Row],[Name]],FIND(",",Titanic_Dataset[[#This Row],[Name]]))-FIND(",",Titanic_Dataset[[#This Row],[Name]])-1))</f>
        <v>Master.</v>
      </c>
      <c r="H852" s="1" t="s">
        <v>13</v>
      </c>
      <c r="I852">
        <v>4</v>
      </c>
      <c r="J852" t="str">
        <f>IF(Titanic_Dataset[[#This Row],[Age]]&lt;12,"0-11",
IF(Titanic_Dataset[[#This Row],[Age]]&lt;20,"12-19",
IF(Titanic_Dataset[[#This Row],[Age]]&lt;30,"20-29",
IF(Titanic_Dataset[[#This Row],[Age]]&lt;40,"30-39",
IF(Titanic_Dataset[[#This Row],[Age]]&lt;50,"40-49",
IF(Titanic_Dataset[[#This Row],[Age]]&lt;60,"50-59",
IF(Titanic_Dataset[[#This Row],[Age]]&lt;70,"60-69",)))))))</f>
        <v>0-11</v>
      </c>
      <c r="K852">
        <v>4</v>
      </c>
      <c r="L852">
        <v>2</v>
      </c>
      <c r="M852">
        <f>Titanic_Dataset[[#This Row],[Parch]]+Titanic_Dataset[[#This Row],[SibSp]]</f>
        <v>6</v>
      </c>
      <c r="N852" s="1" t="s">
        <v>50</v>
      </c>
      <c r="O852">
        <v>31.274999999999999</v>
      </c>
      <c r="P852" t="e">
        <f>IF(Titanic_Dataset[[#This Row],[Survived]]=1,Titanic_Dataset[[#This Row],[Fare]],NA())</f>
        <v>#N/A</v>
      </c>
      <c r="Q852">
        <f>IF(Titanic_Dataset[[#This Row],[Survived]]=0,Titanic_Dataset[[#This Row],[Fare]],NA())</f>
        <v>31.274999999999999</v>
      </c>
      <c r="R852" t="str">
        <f>VLOOKUP(Titanic_Dataset[[#This Row],[Fare]],Table2[],2,TRUE)</f>
        <v>very hiegh</v>
      </c>
      <c r="S852" s="1" t="s">
        <v>15</v>
      </c>
      <c r="T852" s="1" t="s">
        <v>16</v>
      </c>
      <c r="U852" s="1"/>
      <c r="V852" s="1"/>
      <c r="W852" s="1"/>
    </row>
    <row r="853" spans="1:23" x14ac:dyDescent="0.25">
      <c r="A853">
        <v>852</v>
      </c>
      <c r="B853">
        <v>0</v>
      </c>
      <c r="C853" t="str">
        <f>IF(Titanic_Dataset[[#This Row],[Survived]]=1,"Survived","Died")</f>
        <v>Died</v>
      </c>
      <c r="D853">
        <v>3</v>
      </c>
      <c r="E853" t="str">
        <f>IF(Titanic_Dataset[[#This Row],[Pclass]]=1,"1st",IF(Titanic_Dataset[[#This Row],[Pclass]]=2,"2nd",IF(Titanic_Dataset[[#This Row],[Pclass]]=3,"3rd")))</f>
        <v>3rd</v>
      </c>
      <c r="F853" s="1" t="s">
        <v>1664</v>
      </c>
      <c r="G853" s="1" t="str">
        <f>TRIM(MID(Titanic_Dataset[[#This Row],[Name]],
FIND(",",Titanic_Dataset[[#This Row],[Name]])+2,
FIND(".",Titanic_Dataset[[#This Row],[Name]],FIND(",",Titanic_Dataset[[#This Row],[Name]]))-FIND(",",Titanic_Dataset[[#This Row],[Name]])-1))</f>
        <v>Mr.</v>
      </c>
      <c r="H853" s="1" t="s">
        <v>13</v>
      </c>
      <c r="I853">
        <v>74</v>
      </c>
      <c r="J853">
        <f>IF(Titanic_Dataset[[#This Row],[Age]]&lt;12,"0-11",
IF(Titanic_Dataset[[#This Row],[Age]]&lt;20,"12-19",
IF(Titanic_Dataset[[#This Row],[Age]]&lt;30,"20-29",
IF(Titanic_Dataset[[#This Row],[Age]]&lt;40,"30-39",
IF(Titanic_Dataset[[#This Row],[Age]]&lt;50,"40-49",
IF(Titanic_Dataset[[#This Row],[Age]]&lt;60,"50-59",
IF(Titanic_Dataset[[#This Row],[Age]]&lt;70,"60-69",)))))))</f>
        <v>0</v>
      </c>
      <c r="K853">
        <v>0</v>
      </c>
      <c r="L853">
        <v>0</v>
      </c>
      <c r="M853">
        <f>Titanic_Dataset[[#This Row],[Parch]]+Titanic_Dataset[[#This Row],[SibSp]]</f>
        <v>0</v>
      </c>
      <c r="N853" s="1" t="s">
        <v>1665</v>
      </c>
      <c r="O853">
        <v>7.7750000000000004</v>
      </c>
      <c r="P853" t="e">
        <f>IF(Titanic_Dataset[[#This Row],[Survived]]=1,Titanic_Dataset[[#This Row],[Fare]],NA())</f>
        <v>#N/A</v>
      </c>
      <c r="Q853">
        <f>IF(Titanic_Dataset[[#This Row],[Survived]]=0,Titanic_Dataset[[#This Row],[Fare]],NA())</f>
        <v>7.7750000000000004</v>
      </c>
      <c r="R853" t="str">
        <f>VLOOKUP(Titanic_Dataset[[#This Row],[Fare]],Table2[],2,TRUE)</f>
        <v>low</v>
      </c>
      <c r="S853" s="1" t="s">
        <v>15</v>
      </c>
      <c r="T853" s="1" t="s">
        <v>16</v>
      </c>
      <c r="U853" s="1"/>
      <c r="V853" s="1"/>
      <c r="W853" s="1"/>
    </row>
    <row r="854" spans="1:23" x14ac:dyDescent="0.25">
      <c r="A854">
        <v>853</v>
      </c>
      <c r="B854">
        <v>0</v>
      </c>
      <c r="C854" t="str">
        <f>IF(Titanic_Dataset[[#This Row],[Survived]]=1,"Survived","Died")</f>
        <v>Died</v>
      </c>
      <c r="D854">
        <v>3</v>
      </c>
      <c r="E854" t="str">
        <f>IF(Titanic_Dataset[[#This Row],[Pclass]]=1,"1st",IF(Titanic_Dataset[[#This Row],[Pclass]]=2,"2nd",IF(Titanic_Dataset[[#This Row],[Pclass]]=3,"3rd")))</f>
        <v>3rd</v>
      </c>
      <c r="F854" s="1" t="s">
        <v>1666</v>
      </c>
      <c r="G854" s="1" t="str">
        <f>TRIM(MID(Titanic_Dataset[[#This Row],[Name]],
FIND(",",Titanic_Dataset[[#This Row],[Name]])+2,
FIND(".",Titanic_Dataset[[#This Row],[Name]],FIND(",",Titanic_Dataset[[#This Row],[Name]]))-FIND(",",Titanic_Dataset[[#This Row],[Name]])-1))</f>
        <v>Miss.</v>
      </c>
      <c r="H854" s="1" t="s">
        <v>18</v>
      </c>
      <c r="I854">
        <v>9</v>
      </c>
      <c r="J854" t="str">
        <f>IF(Titanic_Dataset[[#This Row],[Age]]&lt;12,"0-11",
IF(Titanic_Dataset[[#This Row],[Age]]&lt;20,"12-19",
IF(Titanic_Dataset[[#This Row],[Age]]&lt;30,"20-29",
IF(Titanic_Dataset[[#This Row],[Age]]&lt;40,"30-39",
IF(Titanic_Dataset[[#This Row],[Age]]&lt;50,"40-49",
IF(Titanic_Dataset[[#This Row],[Age]]&lt;60,"50-59",
IF(Titanic_Dataset[[#This Row],[Age]]&lt;70,"60-69",)))))))</f>
        <v>0-11</v>
      </c>
      <c r="K854">
        <v>1</v>
      </c>
      <c r="L854">
        <v>1</v>
      </c>
      <c r="M854">
        <f>Titanic_Dataset[[#This Row],[Parch]]+Titanic_Dataset[[#This Row],[SibSp]]</f>
        <v>2</v>
      </c>
      <c r="N854" s="1" t="s">
        <v>315</v>
      </c>
      <c r="O854">
        <v>15.245799999999999</v>
      </c>
      <c r="P854" t="e">
        <f>IF(Titanic_Dataset[[#This Row],[Survived]]=1,Titanic_Dataset[[#This Row],[Fare]],NA())</f>
        <v>#N/A</v>
      </c>
      <c r="Q854">
        <f>IF(Titanic_Dataset[[#This Row],[Survived]]=0,Titanic_Dataset[[#This Row],[Fare]],NA())</f>
        <v>15.245799999999999</v>
      </c>
      <c r="R854" t="str">
        <f>VLOOKUP(Titanic_Dataset[[#This Row],[Fare]],Table2[],2,TRUE)</f>
        <v>high</v>
      </c>
      <c r="S854" s="1" t="s">
        <v>15</v>
      </c>
      <c r="T854" s="1" t="s">
        <v>21</v>
      </c>
      <c r="U854" s="1"/>
      <c r="V854" s="1"/>
      <c r="W854" s="1"/>
    </row>
    <row r="855" spans="1:23" x14ac:dyDescent="0.25">
      <c r="A855">
        <v>854</v>
      </c>
      <c r="B855">
        <v>1</v>
      </c>
      <c r="C855" t="str">
        <f>IF(Titanic_Dataset[[#This Row],[Survived]]=1,"Survived","Died")</f>
        <v>Survived</v>
      </c>
      <c r="D855">
        <v>1</v>
      </c>
      <c r="E855" t="str">
        <f>IF(Titanic_Dataset[[#This Row],[Pclass]]=1,"1st",IF(Titanic_Dataset[[#This Row],[Pclass]]=2,"2nd",IF(Titanic_Dataset[[#This Row],[Pclass]]=3,"3rd")))</f>
        <v>1st</v>
      </c>
      <c r="F855" s="1" t="s">
        <v>1667</v>
      </c>
      <c r="G855" s="1" t="str">
        <f>TRIM(MID(Titanic_Dataset[[#This Row],[Name]],
FIND(",",Titanic_Dataset[[#This Row],[Name]])+2,
FIND(".",Titanic_Dataset[[#This Row],[Name]],FIND(",",Titanic_Dataset[[#This Row],[Name]]))-FIND(",",Titanic_Dataset[[#This Row],[Name]])-1))</f>
        <v>Miss.</v>
      </c>
      <c r="H855" s="1" t="s">
        <v>18</v>
      </c>
      <c r="I855">
        <v>16</v>
      </c>
      <c r="J855" t="str">
        <f>IF(Titanic_Dataset[[#This Row],[Age]]&lt;12,"0-11",
IF(Titanic_Dataset[[#This Row],[Age]]&lt;20,"12-19",
IF(Titanic_Dataset[[#This Row],[Age]]&lt;30,"20-29",
IF(Titanic_Dataset[[#This Row],[Age]]&lt;40,"30-39",
IF(Titanic_Dataset[[#This Row],[Age]]&lt;50,"40-49",
IF(Titanic_Dataset[[#This Row],[Age]]&lt;60,"50-59",
IF(Titanic_Dataset[[#This Row],[Age]]&lt;70,"60-69",)))))))</f>
        <v>12-19</v>
      </c>
      <c r="K855">
        <v>0</v>
      </c>
      <c r="L855">
        <v>1</v>
      </c>
      <c r="M855">
        <f>Titanic_Dataset[[#This Row],[Parch]]+Titanic_Dataset[[#This Row],[SibSp]]</f>
        <v>1</v>
      </c>
      <c r="N855" s="1" t="s">
        <v>1668</v>
      </c>
      <c r="O855">
        <v>39.4</v>
      </c>
      <c r="P855">
        <f>IF(Titanic_Dataset[[#This Row],[Survived]]=1,Titanic_Dataset[[#This Row],[Fare]],NA())</f>
        <v>39.4</v>
      </c>
      <c r="Q855" t="e">
        <f>IF(Titanic_Dataset[[#This Row],[Survived]]=0,Titanic_Dataset[[#This Row],[Fare]],NA())</f>
        <v>#N/A</v>
      </c>
      <c r="R855" t="str">
        <f>VLOOKUP(Titanic_Dataset[[#This Row],[Fare]],Table2[],2,TRUE)</f>
        <v>very hiegh</v>
      </c>
      <c r="S855" s="1" t="s">
        <v>1669</v>
      </c>
      <c r="T855" s="1" t="s">
        <v>16</v>
      </c>
      <c r="U855" s="1"/>
      <c r="V855" s="1"/>
      <c r="W855" s="1"/>
    </row>
    <row r="856" spans="1:23" x14ac:dyDescent="0.25">
      <c r="A856">
        <v>855</v>
      </c>
      <c r="B856">
        <v>0</v>
      </c>
      <c r="C856" t="str">
        <f>IF(Titanic_Dataset[[#This Row],[Survived]]=1,"Survived","Died")</f>
        <v>Died</v>
      </c>
      <c r="D856">
        <v>2</v>
      </c>
      <c r="E856" t="str">
        <f>IF(Titanic_Dataset[[#This Row],[Pclass]]=1,"1st",IF(Titanic_Dataset[[#This Row],[Pclass]]=2,"2nd",IF(Titanic_Dataset[[#This Row],[Pclass]]=3,"3rd")))</f>
        <v>2nd</v>
      </c>
      <c r="F856" s="1" t="s">
        <v>1670</v>
      </c>
      <c r="G856" s="1" t="str">
        <f>TRIM(MID(Titanic_Dataset[[#This Row],[Name]],
FIND(",",Titanic_Dataset[[#This Row],[Name]])+2,
FIND(".",Titanic_Dataset[[#This Row],[Name]],FIND(",",Titanic_Dataset[[#This Row],[Name]]))-FIND(",",Titanic_Dataset[[#This Row],[Name]])-1))</f>
        <v>Mrs.</v>
      </c>
      <c r="H856" s="1" t="s">
        <v>18</v>
      </c>
      <c r="I856">
        <v>44</v>
      </c>
      <c r="J856" t="str">
        <f>IF(Titanic_Dataset[[#This Row],[Age]]&lt;12,"0-11",
IF(Titanic_Dataset[[#This Row],[Age]]&lt;20,"12-19",
IF(Titanic_Dataset[[#This Row],[Age]]&lt;30,"20-29",
IF(Titanic_Dataset[[#This Row],[Age]]&lt;40,"30-39",
IF(Titanic_Dataset[[#This Row],[Age]]&lt;50,"40-49",
IF(Titanic_Dataset[[#This Row],[Age]]&lt;60,"50-59",
IF(Titanic_Dataset[[#This Row],[Age]]&lt;70,"60-69",)))))))</f>
        <v>40-49</v>
      </c>
      <c r="K856">
        <v>1</v>
      </c>
      <c r="L856">
        <v>0</v>
      </c>
      <c r="M856">
        <f>Titanic_Dataset[[#This Row],[Parch]]+Titanic_Dataset[[#This Row],[SibSp]]</f>
        <v>1</v>
      </c>
      <c r="N856" s="1" t="s">
        <v>533</v>
      </c>
      <c r="O856">
        <v>26</v>
      </c>
      <c r="P856" t="e">
        <f>IF(Titanic_Dataset[[#This Row],[Survived]]=1,Titanic_Dataset[[#This Row],[Fare]],NA())</f>
        <v>#N/A</v>
      </c>
      <c r="Q856">
        <f>IF(Titanic_Dataset[[#This Row],[Survived]]=0,Titanic_Dataset[[#This Row],[Fare]],NA())</f>
        <v>26</v>
      </c>
      <c r="R856" t="str">
        <f>VLOOKUP(Titanic_Dataset[[#This Row],[Fare]],Table2[],2,TRUE)</f>
        <v>high</v>
      </c>
      <c r="S856" s="1" t="s">
        <v>15</v>
      </c>
      <c r="T856" s="1" t="s">
        <v>16</v>
      </c>
      <c r="U856" s="1"/>
      <c r="V856" s="1"/>
      <c r="W856" s="1"/>
    </row>
    <row r="857" spans="1:23" x14ac:dyDescent="0.25">
      <c r="A857">
        <v>856</v>
      </c>
      <c r="B857">
        <v>1</v>
      </c>
      <c r="C857" t="str">
        <f>IF(Titanic_Dataset[[#This Row],[Survived]]=1,"Survived","Died")</f>
        <v>Survived</v>
      </c>
      <c r="D857">
        <v>3</v>
      </c>
      <c r="E857" t="str">
        <f>IF(Titanic_Dataset[[#This Row],[Pclass]]=1,"1st",IF(Titanic_Dataset[[#This Row],[Pclass]]=2,"2nd",IF(Titanic_Dataset[[#This Row],[Pclass]]=3,"3rd")))</f>
        <v>3rd</v>
      </c>
      <c r="F857" s="1" t="s">
        <v>1671</v>
      </c>
      <c r="G857" s="1" t="str">
        <f>TRIM(MID(Titanic_Dataset[[#This Row],[Name]],
FIND(",",Titanic_Dataset[[#This Row],[Name]])+2,
FIND(".",Titanic_Dataset[[#This Row],[Name]],FIND(",",Titanic_Dataset[[#This Row],[Name]]))-FIND(",",Titanic_Dataset[[#This Row],[Name]])-1))</f>
        <v>Mrs.</v>
      </c>
      <c r="H857" s="1" t="s">
        <v>18</v>
      </c>
      <c r="I857">
        <v>18</v>
      </c>
      <c r="J857" t="str">
        <f>IF(Titanic_Dataset[[#This Row],[Age]]&lt;12,"0-11",
IF(Titanic_Dataset[[#This Row],[Age]]&lt;20,"12-19",
IF(Titanic_Dataset[[#This Row],[Age]]&lt;30,"20-29",
IF(Titanic_Dataset[[#This Row],[Age]]&lt;40,"30-39",
IF(Titanic_Dataset[[#This Row],[Age]]&lt;50,"40-49",
IF(Titanic_Dataset[[#This Row],[Age]]&lt;60,"50-59",
IF(Titanic_Dataset[[#This Row],[Age]]&lt;70,"60-69",)))))))</f>
        <v>12-19</v>
      </c>
      <c r="K857">
        <v>0</v>
      </c>
      <c r="L857">
        <v>1</v>
      </c>
      <c r="M857">
        <f>Titanic_Dataset[[#This Row],[Parch]]+Titanic_Dataset[[#This Row],[SibSp]]</f>
        <v>1</v>
      </c>
      <c r="N857" s="1" t="s">
        <v>1672</v>
      </c>
      <c r="O857">
        <v>9.35</v>
      </c>
      <c r="P857">
        <f>IF(Titanic_Dataset[[#This Row],[Survived]]=1,Titanic_Dataset[[#This Row],[Fare]],NA())</f>
        <v>9.35</v>
      </c>
      <c r="Q857" t="e">
        <f>IF(Titanic_Dataset[[#This Row],[Survived]]=0,Titanic_Dataset[[#This Row],[Fare]],NA())</f>
        <v>#N/A</v>
      </c>
      <c r="R857" t="str">
        <f>VLOOKUP(Titanic_Dataset[[#This Row],[Fare]],Table2[],2,TRUE)</f>
        <v>medium</v>
      </c>
      <c r="S857" s="1" t="s">
        <v>15</v>
      </c>
      <c r="T857" s="1" t="s">
        <v>16</v>
      </c>
      <c r="U857" s="1"/>
      <c r="V857" s="1"/>
      <c r="W857" s="1"/>
    </row>
    <row r="858" spans="1:23" x14ac:dyDescent="0.25">
      <c r="A858">
        <v>857</v>
      </c>
      <c r="B858">
        <v>1</v>
      </c>
      <c r="C858" t="str">
        <f>IF(Titanic_Dataset[[#This Row],[Survived]]=1,"Survived","Died")</f>
        <v>Survived</v>
      </c>
      <c r="D858">
        <v>1</v>
      </c>
      <c r="E858" t="str">
        <f>IF(Titanic_Dataset[[#This Row],[Pclass]]=1,"1st",IF(Titanic_Dataset[[#This Row],[Pclass]]=2,"2nd",IF(Titanic_Dataset[[#This Row],[Pclass]]=3,"3rd")))</f>
        <v>1st</v>
      </c>
      <c r="F858" s="1" t="s">
        <v>1673</v>
      </c>
      <c r="G858" s="1" t="str">
        <f>TRIM(MID(Titanic_Dataset[[#This Row],[Name]],
FIND(",",Titanic_Dataset[[#This Row],[Name]])+2,
FIND(".",Titanic_Dataset[[#This Row],[Name]],FIND(",",Titanic_Dataset[[#This Row],[Name]]))-FIND(",",Titanic_Dataset[[#This Row],[Name]])-1))</f>
        <v>Mrs.</v>
      </c>
      <c r="H858" s="1" t="s">
        <v>18</v>
      </c>
      <c r="I858">
        <v>45</v>
      </c>
      <c r="J858" t="str">
        <f>IF(Titanic_Dataset[[#This Row],[Age]]&lt;12,"0-11",
IF(Titanic_Dataset[[#This Row],[Age]]&lt;20,"12-19",
IF(Titanic_Dataset[[#This Row],[Age]]&lt;30,"20-29",
IF(Titanic_Dataset[[#This Row],[Age]]&lt;40,"30-39",
IF(Titanic_Dataset[[#This Row],[Age]]&lt;50,"40-49",
IF(Titanic_Dataset[[#This Row],[Age]]&lt;60,"50-59",
IF(Titanic_Dataset[[#This Row],[Age]]&lt;70,"60-69",)))))))</f>
        <v>40-49</v>
      </c>
      <c r="K858">
        <v>1</v>
      </c>
      <c r="L858">
        <v>1</v>
      </c>
      <c r="M858">
        <f>Titanic_Dataset[[#This Row],[Parch]]+Titanic_Dataset[[#This Row],[SibSp]]</f>
        <v>2</v>
      </c>
      <c r="N858" s="1" t="s">
        <v>679</v>
      </c>
      <c r="O858">
        <v>164.86670000000001</v>
      </c>
      <c r="P858">
        <f>IF(Titanic_Dataset[[#This Row],[Survived]]=1,Titanic_Dataset[[#This Row],[Fare]],NA())</f>
        <v>164.86670000000001</v>
      </c>
      <c r="Q858" t="e">
        <f>IF(Titanic_Dataset[[#This Row],[Survived]]=0,Titanic_Dataset[[#This Row],[Fare]],NA())</f>
        <v>#N/A</v>
      </c>
      <c r="R858" t="str">
        <f>VLOOKUP(Titanic_Dataset[[#This Row],[Fare]],Table2[],2,TRUE)</f>
        <v>very hiegh</v>
      </c>
      <c r="S858" s="1" t="s">
        <v>15</v>
      </c>
      <c r="T858" s="1" t="s">
        <v>16</v>
      </c>
      <c r="U858" s="1"/>
      <c r="V858" s="1"/>
      <c r="W858" s="1"/>
    </row>
    <row r="859" spans="1:23" x14ac:dyDescent="0.25">
      <c r="A859">
        <v>858</v>
      </c>
      <c r="B859">
        <v>1</v>
      </c>
      <c r="C859" t="str">
        <f>IF(Titanic_Dataset[[#This Row],[Survived]]=1,"Survived","Died")</f>
        <v>Survived</v>
      </c>
      <c r="D859">
        <v>1</v>
      </c>
      <c r="E859" t="str">
        <f>IF(Titanic_Dataset[[#This Row],[Pclass]]=1,"1st",IF(Titanic_Dataset[[#This Row],[Pclass]]=2,"2nd",IF(Titanic_Dataset[[#This Row],[Pclass]]=3,"3rd")))</f>
        <v>1st</v>
      </c>
      <c r="F859" s="1" t="s">
        <v>1674</v>
      </c>
      <c r="G859" s="1" t="str">
        <f>TRIM(MID(Titanic_Dataset[[#This Row],[Name]],
FIND(",",Titanic_Dataset[[#This Row],[Name]])+2,
FIND(".",Titanic_Dataset[[#This Row],[Name]],FIND(",",Titanic_Dataset[[#This Row],[Name]]))-FIND(",",Titanic_Dataset[[#This Row],[Name]])-1))</f>
        <v>Mr.</v>
      </c>
      <c r="H859" s="1" t="s">
        <v>13</v>
      </c>
      <c r="I859">
        <v>51</v>
      </c>
      <c r="J859" t="str">
        <f>IF(Titanic_Dataset[[#This Row],[Age]]&lt;12,"0-11",
IF(Titanic_Dataset[[#This Row],[Age]]&lt;20,"12-19",
IF(Titanic_Dataset[[#This Row],[Age]]&lt;30,"20-29",
IF(Titanic_Dataset[[#This Row],[Age]]&lt;40,"30-39",
IF(Titanic_Dataset[[#This Row],[Age]]&lt;50,"40-49",
IF(Titanic_Dataset[[#This Row],[Age]]&lt;60,"50-59",
IF(Titanic_Dataset[[#This Row],[Age]]&lt;70,"60-69",)))))))</f>
        <v>50-59</v>
      </c>
      <c r="K859">
        <v>0</v>
      </c>
      <c r="L859">
        <v>0</v>
      </c>
      <c r="M859">
        <f>Titanic_Dataset[[#This Row],[Parch]]+Titanic_Dataset[[#This Row],[SibSp]]</f>
        <v>0</v>
      </c>
      <c r="N859" s="1" t="s">
        <v>1675</v>
      </c>
      <c r="O859">
        <v>26.55</v>
      </c>
      <c r="P859">
        <f>IF(Titanic_Dataset[[#This Row],[Survived]]=1,Titanic_Dataset[[#This Row],[Fare]],NA())</f>
        <v>26.55</v>
      </c>
      <c r="Q859" t="e">
        <f>IF(Titanic_Dataset[[#This Row],[Survived]]=0,Titanic_Dataset[[#This Row],[Fare]],NA())</f>
        <v>#N/A</v>
      </c>
      <c r="R859" t="str">
        <f>VLOOKUP(Titanic_Dataset[[#This Row],[Fare]],Table2[],2,TRUE)</f>
        <v>high</v>
      </c>
      <c r="S859" s="1" t="s">
        <v>1676</v>
      </c>
      <c r="T859" s="1" t="s">
        <v>16</v>
      </c>
      <c r="U859" s="1"/>
      <c r="V859" s="1"/>
      <c r="W859" s="1"/>
    </row>
    <row r="860" spans="1:23" x14ac:dyDescent="0.25">
      <c r="A860">
        <v>859</v>
      </c>
      <c r="B860">
        <v>1</v>
      </c>
      <c r="C860" t="str">
        <f>IF(Titanic_Dataset[[#This Row],[Survived]]=1,"Survived","Died")</f>
        <v>Survived</v>
      </c>
      <c r="D860">
        <v>3</v>
      </c>
      <c r="E860" t="str">
        <f>IF(Titanic_Dataset[[#This Row],[Pclass]]=1,"1st",IF(Titanic_Dataset[[#This Row],[Pclass]]=2,"2nd",IF(Titanic_Dataset[[#This Row],[Pclass]]=3,"3rd")))</f>
        <v>3rd</v>
      </c>
      <c r="F860" s="1" t="s">
        <v>1677</v>
      </c>
      <c r="G860" s="1" t="str">
        <f>TRIM(MID(Titanic_Dataset[[#This Row],[Name]],
FIND(",",Titanic_Dataset[[#This Row],[Name]])+2,
FIND(".",Titanic_Dataset[[#This Row],[Name]],FIND(",",Titanic_Dataset[[#This Row],[Name]]))-FIND(",",Titanic_Dataset[[#This Row],[Name]])-1))</f>
        <v>Mrs.</v>
      </c>
      <c r="H860" s="1" t="s">
        <v>18</v>
      </c>
      <c r="I860">
        <v>24</v>
      </c>
      <c r="J86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60">
        <v>0</v>
      </c>
      <c r="L860">
        <v>3</v>
      </c>
      <c r="M860">
        <f>Titanic_Dataset[[#This Row],[Parch]]+Titanic_Dataset[[#This Row],[SibSp]]</f>
        <v>3</v>
      </c>
      <c r="N860" s="1" t="s">
        <v>922</v>
      </c>
      <c r="O860">
        <v>19.258299999999998</v>
      </c>
      <c r="P860">
        <f>IF(Titanic_Dataset[[#This Row],[Survived]]=1,Titanic_Dataset[[#This Row],[Fare]],NA())</f>
        <v>19.258299999999998</v>
      </c>
      <c r="Q860" t="e">
        <f>IF(Titanic_Dataset[[#This Row],[Survived]]=0,Titanic_Dataset[[#This Row],[Fare]],NA())</f>
        <v>#N/A</v>
      </c>
      <c r="R860" t="str">
        <f>VLOOKUP(Titanic_Dataset[[#This Row],[Fare]],Table2[],2,TRUE)</f>
        <v>high</v>
      </c>
      <c r="S860" s="1" t="s">
        <v>15</v>
      </c>
      <c r="T860" s="1" t="s">
        <v>21</v>
      </c>
      <c r="U860" s="1"/>
      <c r="V860" s="1"/>
      <c r="W860" s="1"/>
    </row>
    <row r="861" spans="1:23" x14ac:dyDescent="0.25">
      <c r="A861">
        <v>860</v>
      </c>
      <c r="B861">
        <v>0</v>
      </c>
      <c r="C861" t="str">
        <f>IF(Titanic_Dataset[[#This Row],[Survived]]=1,"Survived","Died")</f>
        <v>Died</v>
      </c>
      <c r="D861">
        <v>3</v>
      </c>
      <c r="E861" t="str">
        <f>IF(Titanic_Dataset[[#This Row],[Pclass]]=1,"1st",IF(Titanic_Dataset[[#This Row],[Pclass]]=2,"2nd",IF(Titanic_Dataset[[#This Row],[Pclass]]=3,"3rd")))</f>
        <v>3rd</v>
      </c>
      <c r="F861" s="1" t="s">
        <v>1678</v>
      </c>
      <c r="G861" s="1" t="str">
        <f>TRIM(MID(Titanic_Dataset[[#This Row],[Name]],
FIND(",",Titanic_Dataset[[#This Row],[Name]])+2,
FIND(".",Titanic_Dataset[[#This Row],[Name]],FIND(",",Titanic_Dataset[[#This Row],[Name]]))-FIND(",",Titanic_Dataset[[#This Row],[Name]])-1))</f>
        <v>Mr.</v>
      </c>
      <c r="H861" s="1" t="s">
        <v>13</v>
      </c>
      <c r="I861">
        <v>28</v>
      </c>
      <c r="J86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61">
        <v>0</v>
      </c>
      <c r="L861">
        <v>0</v>
      </c>
      <c r="M861">
        <f>Titanic_Dataset[[#This Row],[Parch]]+Titanic_Dataset[[#This Row],[SibSp]]</f>
        <v>0</v>
      </c>
      <c r="N861" s="1" t="s">
        <v>1679</v>
      </c>
      <c r="O861">
        <v>7.2291999999999996</v>
      </c>
      <c r="P861" t="e">
        <f>IF(Titanic_Dataset[[#This Row],[Survived]]=1,Titanic_Dataset[[#This Row],[Fare]],NA())</f>
        <v>#N/A</v>
      </c>
      <c r="Q861">
        <f>IF(Titanic_Dataset[[#This Row],[Survived]]=0,Titanic_Dataset[[#This Row],[Fare]],NA())</f>
        <v>7.2291999999999996</v>
      </c>
      <c r="R861" t="str">
        <f>VLOOKUP(Titanic_Dataset[[#This Row],[Fare]],Table2[],2,TRUE)</f>
        <v>low</v>
      </c>
      <c r="S861" s="1" t="s">
        <v>15</v>
      </c>
      <c r="T861" s="1" t="s">
        <v>21</v>
      </c>
      <c r="U861" s="1"/>
      <c r="V861" s="1"/>
      <c r="W861" s="1"/>
    </row>
    <row r="862" spans="1:23" x14ac:dyDescent="0.25">
      <c r="A862">
        <v>861</v>
      </c>
      <c r="B862">
        <v>0</v>
      </c>
      <c r="C862" t="str">
        <f>IF(Titanic_Dataset[[#This Row],[Survived]]=1,"Survived","Died")</f>
        <v>Died</v>
      </c>
      <c r="D862">
        <v>3</v>
      </c>
      <c r="E862" t="str">
        <f>IF(Titanic_Dataset[[#This Row],[Pclass]]=1,"1st",IF(Titanic_Dataset[[#This Row],[Pclass]]=2,"2nd",IF(Titanic_Dataset[[#This Row],[Pclass]]=3,"3rd")))</f>
        <v>3rd</v>
      </c>
      <c r="F862" s="1" t="s">
        <v>1680</v>
      </c>
      <c r="G862" s="1" t="str">
        <f>TRIM(MID(Titanic_Dataset[[#This Row],[Name]],
FIND(",",Titanic_Dataset[[#This Row],[Name]])+2,
FIND(".",Titanic_Dataset[[#This Row],[Name]],FIND(",",Titanic_Dataset[[#This Row],[Name]]))-FIND(",",Titanic_Dataset[[#This Row],[Name]])-1))</f>
        <v>Mr.</v>
      </c>
      <c r="H862" s="1" t="s">
        <v>13</v>
      </c>
      <c r="I862">
        <v>41</v>
      </c>
      <c r="J862" t="str">
        <f>IF(Titanic_Dataset[[#This Row],[Age]]&lt;12,"0-11",
IF(Titanic_Dataset[[#This Row],[Age]]&lt;20,"12-19",
IF(Titanic_Dataset[[#This Row],[Age]]&lt;30,"20-29",
IF(Titanic_Dataset[[#This Row],[Age]]&lt;40,"30-39",
IF(Titanic_Dataset[[#This Row],[Age]]&lt;50,"40-49",
IF(Titanic_Dataset[[#This Row],[Age]]&lt;60,"50-59",
IF(Titanic_Dataset[[#This Row],[Age]]&lt;70,"60-69",)))))))</f>
        <v>40-49</v>
      </c>
      <c r="K862">
        <v>2</v>
      </c>
      <c r="L862">
        <v>0</v>
      </c>
      <c r="M862">
        <f>Titanic_Dataset[[#This Row],[Parch]]+Titanic_Dataset[[#This Row],[SibSp]]</f>
        <v>2</v>
      </c>
      <c r="N862" s="1" t="s">
        <v>1681</v>
      </c>
      <c r="O862">
        <v>14.1083</v>
      </c>
      <c r="P862" t="e">
        <f>IF(Titanic_Dataset[[#This Row],[Survived]]=1,Titanic_Dataset[[#This Row],[Fare]],NA())</f>
        <v>#N/A</v>
      </c>
      <c r="Q862">
        <f>IF(Titanic_Dataset[[#This Row],[Survived]]=0,Titanic_Dataset[[#This Row],[Fare]],NA())</f>
        <v>14.1083</v>
      </c>
      <c r="R862" t="str">
        <f>VLOOKUP(Titanic_Dataset[[#This Row],[Fare]],Table2[],2,TRUE)</f>
        <v>medium</v>
      </c>
      <c r="S862" s="1" t="s">
        <v>15</v>
      </c>
      <c r="T862" s="1" t="s">
        <v>16</v>
      </c>
      <c r="U862" s="1"/>
      <c r="V862" s="1"/>
      <c r="W862" s="1"/>
    </row>
    <row r="863" spans="1:23" x14ac:dyDescent="0.25">
      <c r="A863">
        <v>862</v>
      </c>
      <c r="B863">
        <v>0</v>
      </c>
      <c r="C863" t="str">
        <f>IF(Titanic_Dataset[[#This Row],[Survived]]=1,"Survived","Died")</f>
        <v>Died</v>
      </c>
      <c r="D863">
        <v>2</v>
      </c>
      <c r="E863" t="str">
        <f>IF(Titanic_Dataset[[#This Row],[Pclass]]=1,"1st",IF(Titanic_Dataset[[#This Row],[Pclass]]=2,"2nd",IF(Titanic_Dataset[[#This Row],[Pclass]]=3,"3rd")))</f>
        <v>2nd</v>
      </c>
      <c r="F863" s="1" t="s">
        <v>1682</v>
      </c>
      <c r="G863" s="1" t="str">
        <f>TRIM(MID(Titanic_Dataset[[#This Row],[Name]],
FIND(",",Titanic_Dataset[[#This Row],[Name]])+2,
FIND(".",Titanic_Dataset[[#This Row],[Name]],FIND(",",Titanic_Dataset[[#This Row],[Name]]))-FIND(",",Titanic_Dataset[[#This Row],[Name]])-1))</f>
        <v>Mr.</v>
      </c>
      <c r="H863" s="1" t="s">
        <v>13</v>
      </c>
      <c r="I863">
        <v>21</v>
      </c>
      <c r="J863"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63">
        <v>1</v>
      </c>
      <c r="L863">
        <v>0</v>
      </c>
      <c r="M863">
        <f>Titanic_Dataset[[#This Row],[Parch]]+Titanic_Dataset[[#This Row],[SibSp]]</f>
        <v>1</v>
      </c>
      <c r="N863" s="1" t="s">
        <v>1683</v>
      </c>
      <c r="O863">
        <v>11.5</v>
      </c>
      <c r="P863" t="e">
        <f>IF(Titanic_Dataset[[#This Row],[Survived]]=1,Titanic_Dataset[[#This Row],[Fare]],NA())</f>
        <v>#N/A</v>
      </c>
      <c r="Q863">
        <f>IF(Titanic_Dataset[[#This Row],[Survived]]=0,Titanic_Dataset[[#This Row],[Fare]],NA())</f>
        <v>11.5</v>
      </c>
      <c r="R863" t="str">
        <f>VLOOKUP(Titanic_Dataset[[#This Row],[Fare]],Table2[],2,TRUE)</f>
        <v>medium</v>
      </c>
      <c r="S863" s="1" t="s">
        <v>15</v>
      </c>
      <c r="T863" s="1" t="s">
        <v>16</v>
      </c>
      <c r="U863" s="1"/>
      <c r="V863" s="1"/>
      <c r="W863" s="1"/>
    </row>
    <row r="864" spans="1:23" x14ac:dyDescent="0.25">
      <c r="A864">
        <v>863</v>
      </c>
      <c r="B864">
        <v>1</v>
      </c>
      <c r="C864" t="str">
        <f>IF(Titanic_Dataset[[#This Row],[Survived]]=1,"Survived","Died")</f>
        <v>Survived</v>
      </c>
      <c r="D864">
        <v>1</v>
      </c>
      <c r="E864" t="str">
        <f>IF(Titanic_Dataset[[#This Row],[Pclass]]=1,"1st",IF(Titanic_Dataset[[#This Row],[Pclass]]=2,"2nd",IF(Titanic_Dataset[[#This Row],[Pclass]]=3,"3rd")))</f>
        <v>1st</v>
      </c>
      <c r="F864" s="1" t="s">
        <v>1684</v>
      </c>
      <c r="G864" s="1" t="str">
        <f>TRIM(MID(Titanic_Dataset[[#This Row],[Name]],
FIND(",",Titanic_Dataset[[#This Row],[Name]])+2,
FIND(".",Titanic_Dataset[[#This Row],[Name]],FIND(",",Titanic_Dataset[[#This Row],[Name]]))-FIND(",",Titanic_Dataset[[#This Row],[Name]])-1))</f>
        <v>Mrs.</v>
      </c>
      <c r="H864" s="1" t="s">
        <v>18</v>
      </c>
      <c r="I864">
        <v>48</v>
      </c>
      <c r="J864" t="str">
        <f>IF(Titanic_Dataset[[#This Row],[Age]]&lt;12,"0-11",
IF(Titanic_Dataset[[#This Row],[Age]]&lt;20,"12-19",
IF(Titanic_Dataset[[#This Row],[Age]]&lt;30,"20-29",
IF(Titanic_Dataset[[#This Row],[Age]]&lt;40,"30-39",
IF(Titanic_Dataset[[#This Row],[Age]]&lt;50,"40-49",
IF(Titanic_Dataset[[#This Row],[Age]]&lt;60,"50-59",
IF(Titanic_Dataset[[#This Row],[Age]]&lt;70,"60-69",)))))))</f>
        <v>40-49</v>
      </c>
      <c r="K864">
        <v>0</v>
      </c>
      <c r="L864">
        <v>0</v>
      </c>
      <c r="M864">
        <f>Titanic_Dataset[[#This Row],[Parch]]+Titanic_Dataset[[#This Row],[SibSp]]</f>
        <v>0</v>
      </c>
      <c r="N864" s="1" t="s">
        <v>1685</v>
      </c>
      <c r="O864">
        <v>25.929200000000002</v>
      </c>
      <c r="P864">
        <f>IF(Titanic_Dataset[[#This Row],[Survived]]=1,Titanic_Dataset[[#This Row],[Fare]],NA())</f>
        <v>25.929200000000002</v>
      </c>
      <c r="Q864" t="e">
        <f>IF(Titanic_Dataset[[#This Row],[Survived]]=0,Titanic_Dataset[[#This Row],[Fare]],NA())</f>
        <v>#N/A</v>
      </c>
      <c r="R864" t="str">
        <f>VLOOKUP(Titanic_Dataset[[#This Row],[Fare]],Table2[],2,TRUE)</f>
        <v>high</v>
      </c>
      <c r="S864" s="1" t="s">
        <v>1573</v>
      </c>
      <c r="T864" s="1" t="s">
        <v>16</v>
      </c>
      <c r="U864" s="1"/>
      <c r="V864" s="1"/>
      <c r="W864" s="1"/>
    </row>
    <row r="865" spans="1:23" x14ac:dyDescent="0.25">
      <c r="A865">
        <v>864</v>
      </c>
      <c r="B865">
        <v>0</v>
      </c>
      <c r="C865" t="str">
        <f>IF(Titanic_Dataset[[#This Row],[Survived]]=1,"Survived","Died")</f>
        <v>Died</v>
      </c>
      <c r="D865">
        <v>3</v>
      </c>
      <c r="E865" t="str">
        <f>IF(Titanic_Dataset[[#This Row],[Pclass]]=1,"1st",IF(Titanic_Dataset[[#This Row],[Pclass]]=2,"2nd",IF(Titanic_Dataset[[#This Row],[Pclass]]=3,"3rd")))</f>
        <v>3rd</v>
      </c>
      <c r="F865" s="1" t="s">
        <v>1686</v>
      </c>
      <c r="G865" s="1" t="str">
        <f>TRIM(MID(Titanic_Dataset[[#This Row],[Name]],
FIND(",",Titanic_Dataset[[#This Row],[Name]])+2,
FIND(".",Titanic_Dataset[[#This Row],[Name]],FIND(",",Titanic_Dataset[[#This Row],[Name]]))-FIND(",",Titanic_Dataset[[#This Row],[Name]])-1))</f>
        <v>Miss.</v>
      </c>
      <c r="H865" s="1" t="s">
        <v>18</v>
      </c>
      <c r="I865">
        <v>28</v>
      </c>
      <c r="J86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65">
        <v>8</v>
      </c>
      <c r="L865">
        <v>2</v>
      </c>
      <c r="M865">
        <f>Titanic_Dataset[[#This Row],[Parch]]+Titanic_Dataset[[#This Row],[SibSp]]</f>
        <v>10</v>
      </c>
      <c r="N865" s="1" t="s">
        <v>354</v>
      </c>
      <c r="O865">
        <v>69.55</v>
      </c>
      <c r="P865" t="e">
        <f>IF(Titanic_Dataset[[#This Row],[Survived]]=1,Titanic_Dataset[[#This Row],[Fare]],NA())</f>
        <v>#N/A</v>
      </c>
      <c r="Q865">
        <f>IF(Titanic_Dataset[[#This Row],[Survived]]=0,Titanic_Dataset[[#This Row],[Fare]],NA())</f>
        <v>69.55</v>
      </c>
      <c r="R865" t="str">
        <f>VLOOKUP(Titanic_Dataset[[#This Row],[Fare]],Table2[],2,TRUE)</f>
        <v>very hiegh</v>
      </c>
      <c r="S865" s="1" t="s">
        <v>15</v>
      </c>
      <c r="T865" s="1" t="s">
        <v>16</v>
      </c>
      <c r="U865" s="1"/>
      <c r="V865" s="1"/>
      <c r="W865" s="1"/>
    </row>
    <row r="866" spans="1:23" x14ac:dyDescent="0.25">
      <c r="A866">
        <v>865</v>
      </c>
      <c r="B866">
        <v>0</v>
      </c>
      <c r="C866" t="str">
        <f>IF(Titanic_Dataset[[#This Row],[Survived]]=1,"Survived","Died")</f>
        <v>Died</v>
      </c>
      <c r="D866">
        <v>2</v>
      </c>
      <c r="E866" t="str">
        <f>IF(Titanic_Dataset[[#This Row],[Pclass]]=1,"1st",IF(Titanic_Dataset[[#This Row],[Pclass]]=2,"2nd",IF(Titanic_Dataset[[#This Row],[Pclass]]=3,"3rd")))</f>
        <v>2nd</v>
      </c>
      <c r="F866" s="1" t="s">
        <v>1687</v>
      </c>
      <c r="G866" s="1" t="str">
        <f>TRIM(MID(Titanic_Dataset[[#This Row],[Name]],
FIND(",",Titanic_Dataset[[#This Row],[Name]])+2,
FIND(".",Titanic_Dataset[[#This Row],[Name]],FIND(",",Titanic_Dataset[[#This Row],[Name]]))-FIND(",",Titanic_Dataset[[#This Row],[Name]])-1))</f>
        <v>Mr.</v>
      </c>
      <c r="H866" s="1" t="s">
        <v>13</v>
      </c>
      <c r="I866">
        <v>24</v>
      </c>
      <c r="J86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66">
        <v>0</v>
      </c>
      <c r="L866">
        <v>0</v>
      </c>
      <c r="M866">
        <f>Titanic_Dataset[[#This Row],[Parch]]+Titanic_Dataset[[#This Row],[SibSp]]</f>
        <v>0</v>
      </c>
      <c r="N866" s="1" t="s">
        <v>1688</v>
      </c>
      <c r="O866">
        <v>13</v>
      </c>
      <c r="P866" t="e">
        <f>IF(Titanic_Dataset[[#This Row],[Survived]]=1,Titanic_Dataset[[#This Row],[Fare]],NA())</f>
        <v>#N/A</v>
      </c>
      <c r="Q866">
        <f>IF(Titanic_Dataset[[#This Row],[Survived]]=0,Titanic_Dataset[[#This Row],[Fare]],NA())</f>
        <v>13</v>
      </c>
      <c r="R866" t="str">
        <f>VLOOKUP(Titanic_Dataset[[#This Row],[Fare]],Table2[],2,TRUE)</f>
        <v>medium</v>
      </c>
      <c r="S866" s="1" t="s">
        <v>15</v>
      </c>
      <c r="T866" s="1" t="s">
        <v>16</v>
      </c>
      <c r="U866" s="1"/>
      <c r="V866" s="1"/>
      <c r="W866" s="1"/>
    </row>
    <row r="867" spans="1:23" x14ac:dyDescent="0.25">
      <c r="A867">
        <v>866</v>
      </c>
      <c r="B867">
        <v>1</v>
      </c>
      <c r="C867" t="str">
        <f>IF(Titanic_Dataset[[#This Row],[Survived]]=1,"Survived","Died")</f>
        <v>Survived</v>
      </c>
      <c r="D867">
        <v>2</v>
      </c>
      <c r="E867" t="str">
        <f>IF(Titanic_Dataset[[#This Row],[Pclass]]=1,"1st",IF(Titanic_Dataset[[#This Row],[Pclass]]=2,"2nd",IF(Titanic_Dataset[[#This Row],[Pclass]]=3,"3rd")))</f>
        <v>2nd</v>
      </c>
      <c r="F867" s="1" t="s">
        <v>1689</v>
      </c>
      <c r="G867" s="1" t="str">
        <f>TRIM(MID(Titanic_Dataset[[#This Row],[Name]],
FIND(",",Titanic_Dataset[[#This Row],[Name]])+2,
FIND(".",Titanic_Dataset[[#This Row],[Name]],FIND(",",Titanic_Dataset[[#This Row],[Name]]))-FIND(",",Titanic_Dataset[[#This Row],[Name]])-1))</f>
        <v>Mrs.</v>
      </c>
      <c r="H867" s="1" t="s">
        <v>18</v>
      </c>
      <c r="I867">
        <v>42</v>
      </c>
      <c r="J867" t="str">
        <f>IF(Titanic_Dataset[[#This Row],[Age]]&lt;12,"0-11",
IF(Titanic_Dataset[[#This Row],[Age]]&lt;20,"12-19",
IF(Titanic_Dataset[[#This Row],[Age]]&lt;30,"20-29",
IF(Titanic_Dataset[[#This Row],[Age]]&lt;40,"30-39",
IF(Titanic_Dataset[[#This Row],[Age]]&lt;50,"40-49",
IF(Titanic_Dataset[[#This Row],[Age]]&lt;60,"50-59",
IF(Titanic_Dataset[[#This Row],[Age]]&lt;70,"60-69",)))))))</f>
        <v>40-49</v>
      </c>
      <c r="K867">
        <v>0</v>
      </c>
      <c r="L867">
        <v>0</v>
      </c>
      <c r="M867">
        <f>Titanic_Dataset[[#This Row],[Parch]]+Titanic_Dataset[[#This Row],[SibSp]]</f>
        <v>0</v>
      </c>
      <c r="N867" s="1" t="s">
        <v>1690</v>
      </c>
      <c r="O867">
        <v>13</v>
      </c>
      <c r="P867">
        <f>IF(Titanic_Dataset[[#This Row],[Survived]]=1,Titanic_Dataset[[#This Row],[Fare]],NA())</f>
        <v>13</v>
      </c>
      <c r="Q867" t="e">
        <f>IF(Titanic_Dataset[[#This Row],[Survived]]=0,Titanic_Dataset[[#This Row],[Fare]],NA())</f>
        <v>#N/A</v>
      </c>
      <c r="R867" t="str">
        <f>VLOOKUP(Titanic_Dataset[[#This Row],[Fare]],Table2[],2,TRUE)</f>
        <v>medium</v>
      </c>
      <c r="S867" s="1" t="s">
        <v>15</v>
      </c>
      <c r="T867" s="1" t="s">
        <v>16</v>
      </c>
      <c r="U867" s="1"/>
      <c r="V867" s="1"/>
      <c r="W867" s="1"/>
    </row>
    <row r="868" spans="1:23" x14ac:dyDescent="0.25">
      <c r="A868">
        <v>867</v>
      </c>
      <c r="B868">
        <v>1</v>
      </c>
      <c r="C868" t="str">
        <f>IF(Titanic_Dataset[[#This Row],[Survived]]=1,"Survived","Died")</f>
        <v>Survived</v>
      </c>
      <c r="D868">
        <v>2</v>
      </c>
      <c r="E868" t="str">
        <f>IF(Titanic_Dataset[[#This Row],[Pclass]]=1,"1st",IF(Titanic_Dataset[[#This Row],[Pclass]]=2,"2nd",IF(Titanic_Dataset[[#This Row],[Pclass]]=3,"3rd")))</f>
        <v>2nd</v>
      </c>
      <c r="F868" s="1" t="s">
        <v>1691</v>
      </c>
      <c r="G868" s="1" t="str">
        <f>TRIM(MID(Titanic_Dataset[[#This Row],[Name]],
FIND(",",Titanic_Dataset[[#This Row],[Name]])+2,
FIND(".",Titanic_Dataset[[#This Row],[Name]],FIND(",",Titanic_Dataset[[#This Row],[Name]]))-FIND(",",Titanic_Dataset[[#This Row],[Name]])-1))</f>
        <v>Miss.</v>
      </c>
      <c r="H868" s="1" t="s">
        <v>18</v>
      </c>
      <c r="I868">
        <v>27</v>
      </c>
      <c r="J86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68">
        <v>1</v>
      </c>
      <c r="L868">
        <v>0</v>
      </c>
      <c r="M868">
        <f>Titanic_Dataset[[#This Row],[Parch]]+Titanic_Dataset[[#This Row],[SibSp]]</f>
        <v>1</v>
      </c>
      <c r="N868" s="1" t="s">
        <v>1692</v>
      </c>
      <c r="O868">
        <v>13.8583</v>
      </c>
      <c r="P868">
        <f>IF(Titanic_Dataset[[#This Row],[Survived]]=1,Titanic_Dataset[[#This Row],[Fare]],NA())</f>
        <v>13.8583</v>
      </c>
      <c r="Q868" t="e">
        <f>IF(Titanic_Dataset[[#This Row],[Survived]]=0,Titanic_Dataset[[#This Row],[Fare]],NA())</f>
        <v>#N/A</v>
      </c>
      <c r="R868" t="str">
        <f>VLOOKUP(Titanic_Dataset[[#This Row],[Fare]],Table2[],2,TRUE)</f>
        <v>medium</v>
      </c>
      <c r="S868" s="1" t="s">
        <v>15</v>
      </c>
      <c r="T868" s="1" t="s">
        <v>21</v>
      </c>
      <c r="U868" s="1"/>
      <c r="V868" s="1"/>
      <c r="W868" s="1"/>
    </row>
    <row r="869" spans="1:23" x14ac:dyDescent="0.25">
      <c r="A869">
        <v>868</v>
      </c>
      <c r="B869">
        <v>0</v>
      </c>
      <c r="C869" t="str">
        <f>IF(Titanic_Dataset[[#This Row],[Survived]]=1,"Survived","Died")</f>
        <v>Died</v>
      </c>
      <c r="D869">
        <v>1</v>
      </c>
      <c r="E869" t="str">
        <f>IF(Titanic_Dataset[[#This Row],[Pclass]]=1,"1st",IF(Titanic_Dataset[[#This Row],[Pclass]]=2,"2nd",IF(Titanic_Dataset[[#This Row],[Pclass]]=3,"3rd")))</f>
        <v>1st</v>
      </c>
      <c r="F869" s="1" t="s">
        <v>1693</v>
      </c>
      <c r="G869" s="1" t="str">
        <f>TRIM(MID(Titanic_Dataset[[#This Row],[Name]],
FIND(",",Titanic_Dataset[[#This Row],[Name]])+2,
FIND(".",Titanic_Dataset[[#This Row],[Name]],FIND(",",Titanic_Dataset[[#This Row],[Name]]))-FIND(",",Titanic_Dataset[[#This Row],[Name]])-1))</f>
        <v>Mr.</v>
      </c>
      <c r="H869" s="1" t="s">
        <v>13</v>
      </c>
      <c r="I869">
        <v>31</v>
      </c>
      <c r="J869" t="str">
        <f>IF(Titanic_Dataset[[#This Row],[Age]]&lt;12,"0-11",
IF(Titanic_Dataset[[#This Row],[Age]]&lt;20,"12-19",
IF(Titanic_Dataset[[#This Row],[Age]]&lt;30,"20-29",
IF(Titanic_Dataset[[#This Row],[Age]]&lt;40,"30-39",
IF(Titanic_Dataset[[#This Row],[Age]]&lt;50,"40-49",
IF(Titanic_Dataset[[#This Row],[Age]]&lt;60,"50-59",
IF(Titanic_Dataset[[#This Row],[Age]]&lt;70,"60-69",)))))))</f>
        <v>30-39</v>
      </c>
      <c r="K869">
        <v>0</v>
      </c>
      <c r="L869">
        <v>0</v>
      </c>
      <c r="M869">
        <f>Titanic_Dataset[[#This Row],[Parch]]+Titanic_Dataset[[#This Row],[SibSp]]</f>
        <v>0</v>
      </c>
      <c r="N869" s="1" t="s">
        <v>1694</v>
      </c>
      <c r="O869">
        <v>50.495800000000003</v>
      </c>
      <c r="P869" t="e">
        <f>IF(Titanic_Dataset[[#This Row],[Survived]]=1,Titanic_Dataset[[#This Row],[Fare]],NA())</f>
        <v>#N/A</v>
      </c>
      <c r="Q869">
        <f>IF(Titanic_Dataset[[#This Row],[Survived]]=0,Titanic_Dataset[[#This Row],[Fare]],NA())</f>
        <v>50.495800000000003</v>
      </c>
      <c r="R869" t="str">
        <f>VLOOKUP(Titanic_Dataset[[#This Row],[Fare]],Table2[],2,TRUE)</f>
        <v>very hiegh</v>
      </c>
      <c r="S869" s="1" t="s">
        <v>1695</v>
      </c>
      <c r="T869" s="1" t="s">
        <v>16</v>
      </c>
      <c r="U869" s="1"/>
      <c r="V869" s="1"/>
      <c r="W869" s="1"/>
    </row>
    <row r="870" spans="1:23" x14ac:dyDescent="0.25">
      <c r="A870">
        <v>869</v>
      </c>
      <c r="B870">
        <v>0</v>
      </c>
      <c r="C870" t="str">
        <f>IF(Titanic_Dataset[[#This Row],[Survived]]=1,"Survived","Died")</f>
        <v>Died</v>
      </c>
      <c r="D870">
        <v>3</v>
      </c>
      <c r="E870" t="str">
        <f>IF(Titanic_Dataset[[#This Row],[Pclass]]=1,"1st",IF(Titanic_Dataset[[#This Row],[Pclass]]=2,"2nd",IF(Titanic_Dataset[[#This Row],[Pclass]]=3,"3rd")))</f>
        <v>3rd</v>
      </c>
      <c r="F870" s="1" t="s">
        <v>1696</v>
      </c>
      <c r="G870" s="1" t="str">
        <f>TRIM(MID(Titanic_Dataset[[#This Row],[Name]],
FIND(",",Titanic_Dataset[[#This Row],[Name]])+2,
FIND(".",Titanic_Dataset[[#This Row],[Name]],FIND(",",Titanic_Dataset[[#This Row],[Name]]))-FIND(",",Titanic_Dataset[[#This Row],[Name]])-1))</f>
        <v>Mr.</v>
      </c>
      <c r="H870" s="1" t="s">
        <v>13</v>
      </c>
      <c r="I870">
        <v>28</v>
      </c>
      <c r="J87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70">
        <v>0</v>
      </c>
      <c r="L870">
        <v>0</v>
      </c>
      <c r="M870">
        <f>Titanic_Dataset[[#This Row],[Parch]]+Titanic_Dataset[[#This Row],[SibSp]]</f>
        <v>0</v>
      </c>
      <c r="N870" s="1" t="s">
        <v>1697</v>
      </c>
      <c r="O870">
        <v>9.5</v>
      </c>
      <c r="P870" t="e">
        <f>IF(Titanic_Dataset[[#This Row],[Survived]]=1,Titanic_Dataset[[#This Row],[Fare]],NA())</f>
        <v>#N/A</v>
      </c>
      <c r="Q870">
        <f>IF(Titanic_Dataset[[#This Row],[Survived]]=0,Titanic_Dataset[[#This Row],[Fare]],NA())</f>
        <v>9.5</v>
      </c>
      <c r="R870" t="str">
        <f>VLOOKUP(Titanic_Dataset[[#This Row],[Fare]],Table2[],2,TRUE)</f>
        <v>medium</v>
      </c>
      <c r="S870" s="1" t="s">
        <v>15</v>
      </c>
      <c r="T870" s="1" t="s">
        <v>16</v>
      </c>
      <c r="U870" s="1"/>
      <c r="V870" s="1"/>
      <c r="W870" s="1"/>
    </row>
    <row r="871" spans="1:23" x14ac:dyDescent="0.25">
      <c r="A871">
        <v>870</v>
      </c>
      <c r="B871">
        <v>1</v>
      </c>
      <c r="C871" t="str">
        <f>IF(Titanic_Dataset[[#This Row],[Survived]]=1,"Survived","Died")</f>
        <v>Survived</v>
      </c>
      <c r="D871">
        <v>3</v>
      </c>
      <c r="E871" t="str">
        <f>IF(Titanic_Dataset[[#This Row],[Pclass]]=1,"1st",IF(Titanic_Dataset[[#This Row],[Pclass]]=2,"2nd",IF(Titanic_Dataset[[#This Row],[Pclass]]=3,"3rd")))</f>
        <v>3rd</v>
      </c>
      <c r="F871" s="1" t="s">
        <v>1698</v>
      </c>
      <c r="G871" s="1" t="str">
        <f>TRIM(MID(Titanic_Dataset[[#This Row],[Name]],
FIND(",",Titanic_Dataset[[#This Row],[Name]])+2,
FIND(".",Titanic_Dataset[[#This Row],[Name]],FIND(",",Titanic_Dataset[[#This Row],[Name]]))-FIND(",",Titanic_Dataset[[#This Row],[Name]])-1))</f>
        <v>Master.</v>
      </c>
      <c r="H871" s="1" t="s">
        <v>13</v>
      </c>
      <c r="I871">
        <v>4</v>
      </c>
      <c r="J871" t="str">
        <f>IF(Titanic_Dataset[[#This Row],[Age]]&lt;12,"0-11",
IF(Titanic_Dataset[[#This Row],[Age]]&lt;20,"12-19",
IF(Titanic_Dataset[[#This Row],[Age]]&lt;30,"20-29",
IF(Titanic_Dataset[[#This Row],[Age]]&lt;40,"30-39",
IF(Titanic_Dataset[[#This Row],[Age]]&lt;50,"40-49",
IF(Titanic_Dataset[[#This Row],[Age]]&lt;60,"50-59",
IF(Titanic_Dataset[[#This Row],[Age]]&lt;70,"60-69",)))))))</f>
        <v>0-11</v>
      </c>
      <c r="K871">
        <v>1</v>
      </c>
      <c r="L871">
        <v>1</v>
      </c>
      <c r="M871">
        <f>Titanic_Dataset[[#This Row],[Parch]]+Titanic_Dataset[[#This Row],[SibSp]]</f>
        <v>2</v>
      </c>
      <c r="N871" s="1" t="s">
        <v>38</v>
      </c>
      <c r="O871">
        <v>11.1333</v>
      </c>
      <c r="P871">
        <f>IF(Titanic_Dataset[[#This Row],[Survived]]=1,Titanic_Dataset[[#This Row],[Fare]],NA())</f>
        <v>11.1333</v>
      </c>
      <c r="Q871" t="e">
        <f>IF(Titanic_Dataset[[#This Row],[Survived]]=0,Titanic_Dataset[[#This Row],[Fare]],NA())</f>
        <v>#N/A</v>
      </c>
      <c r="R871" t="str">
        <f>VLOOKUP(Titanic_Dataset[[#This Row],[Fare]],Table2[],2,TRUE)</f>
        <v>medium</v>
      </c>
      <c r="S871" s="1" t="s">
        <v>15</v>
      </c>
      <c r="T871" s="1" t="s">
        <v>16</v>
      </c>
      <c r="U871" s="1"/>
      <c r="V871" s="1"/>
      <c r="W871" s="1"/>
    </row>
    <row r="872" spans="1:23" x14ac:dyDescent="0.25">
      <c r="A872">
        <v>871</v>
      </c>
      <c r="B872">
        <v>0</v>
      </c>
      <c r="C872" t="str">
        <f>IF(Titanic_Dataset[[#This Row],[Survived]]=1,"Survived","Died")</f>
        <v>Died</v>
      </c>
      <c r="D872">
        <v>3</v>
      </c>
      <c r="E872" t="str">
        <f>IF(Titanic_Dataset[[#This Row],[Pclass]]=1,"1st",IF(Titanic_Dataset[[#This Row],[Pclass]]=2,"2nd",IF(Titanic_Dataset[[#This Row],[Pclass]]=3,"3rd")))</f>
        <v>3rd</v>
      </c>
      <c r="F872" s="1" t="s">
        <v>1699</v>
      </c>
      <c r="G872" s="1" t="str">
        <f>TRIM(MID(Titanic_Dataset[[#This Row],[Name]],
FIND(",",Titanic_Dataset[[#This Row],[Name]])+2,
FIND(".",Titanic_Dataset[[#This Row],[Name]],FIND(",",Titanic_Dataset[[#This Row],[Name]]))-FIND(",",Titanic_Dataset[[#This Row],[Name]])-1))</f>
        <v>Mr.</v>
      </c>
      <c r="H872" s="1" t="s">
        <v>13</v>
      </c>
      <c r="I872">
        <v>26</v>
      </c>
      <c r="J87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72">
        <v>0</v>
      </c>
      <c r="L872">
        <v>0</v>
      </c>
      <c r="M872">
        <f>Titanic_Dataset[[#This Row],[Parch]]+Titanic_Dataset[[#This Row],[SibSp]]</f>
        <v>0</v>
      </c>
      <c r="N872" s="1" t="s">
        <v>1700</v>
      </c>
      <c r="O872">
        <v>7.8958000000000004</v>
      </c>
      <c r="P872" t="e">
        <f>IF(Titanic_Dataset[[#This Row],[Survived]]=1,Titanic_Dataset[[#This Row],[Fare]],NA())</f>
        <v>#N/A</v>
      </c>
      <c r="Q872">
        <f>IF(Titanic_Dataset[[#This Row],[Survived]]=0,Titanic_Dataset[[#This Row],[Fare]],NA())</f>
        <v>7.8958000000000004</v>
      </c>
      <c r="R872" t="str">
        <f>VLOOKUP(Titanic_Dataset[[#This Row],[Fare]],Table2[],2,TRUE)</f>
        <v>low</v>
      </c>
      <c r="S872" s="1" t="s">
        <v>15</v>
      </c>
      <c r="T872" s="1" t="s">
        <v>16</v>
      </c>
      <c r="U872" s="1"/>
      <c r="V872" s="1"/>
      <c r="W872" s="1"/>
    </row>
    <row r="873" spans="1:23" x14ac:dyDescent="0.25">
      <c r="A873">
        <v>872</v>
      </c>
      <c r="B873">
        <v>1</v>
      </c>
      <c r="C873" t="str">
        <f>IF(Titanic_Dataset[[#This Row],[Survived]]=1,"Survived","Died")</f>
        <v>Survived</v>
      </c>
      <c r="D873">
        <v>1</v>
      </c>
      <c r="E873" t="str">
        <f>IF(Titanic_Dataset[[#This Row],[Pclass]]=1,"1st",IF(Titanic_Dataset[[#This Row],[Pclass]]=2,"2nd",IF(Titanic_Dataset[[#This Row],[Pclass]]=3,"3rd")))</f>
        <v>1st</v>
      </c>
      <c r="F873" s="1" t="s">
        <v>1701</v>
      </c>
      <c r="G873" s="1" t="str">
        <f>TRIM(MID(Titanic_Dataset[[#This Row],[Name]],
FIND(",",Titanic_Dataset[[#This Row],[Name]])+2,
FIND(".",Titanic_Dataset[[#This Row],[Name]],FIND(",",Titanic_Dataset[[#This Row],[Name]]))-FIND(",",Titanic_Dataset[[#This Row],[Name]])-1))</f>
        <v>Mrs.</v>
      </c>
      <c r="H873" s="1" t="s">
        <v>18</v>
      </c>
      <c r="I873">
        <v>47</v>
      </c>
      <c r="J873" t="str">
        <f>IF(Titanic_Dataset[[#This Row],[Age]]&lt;12,"0-11",
IF(Titanic_Dataset[[#This Row],[Age]]&lt;20,"12-19",
IF(Titanic_Dataset[[#This Row],[Age]]&lt;30,"20-29",
IF(Titanic_Dataset[[#This Row],[Age]]&lt;40,"30-39",
IF(Titanic_Dataset[[#This Row],[Age]]&lt;50,"40-49",
IF(Titanic_Dataset[[#This Row],[Age]]&lt;60,"50-59",
IF(Titanic_Dataset[[#This Row],[Age]]&lt;70,"60-69",)))))))</f>
        <v>40-49</v>
      </c>
      <c r="K873">
        <v>1</v>
      </c>
      <c r="L873">
        <v>1</v>
      </c>
      <c r="M873">
        <f>Titanic_Dataset[[#This Row],[Parch]]+Titanic_Dataset[[#This Row],[SibSp]]</f>
        <v>2</v>
      </c>
      <c r="N873" s="1" t="s">
        <v>530</v>
      </c>
      <c r="O873">
        <v>52.554200000000002</v>
      </c>
      <c r="P873">
        <f>IF(Titanic_Dataset[[#This Row],[Survived]]=1,Titanic_Dataset[[#This Row],[Fare]],NA())</f>
        <v>52.554200000000002</v>
      </c>
      <c r="Q873" t="e">
        <f>IF(Titanic_Dataset[[#This Row],[Survived]]=0,Titanic_Dataset[[#This Row],[Fare]],NA())</f>
        <v>#N/A</v>
      </c>
      <c r="R873" t="str">
        <f>VLOOKUP(Titanic_Dataset[[#This Row],[Fare]],Table2[],2,TRUE)</f>
        <v>very hiegh</v>
      </c>
      <c r="S873" s="1" t="s">
        <v>531</v>
      </c>
      <c r="T873" s="1" t="s">
        <v>16</v>
      </c>
      <c r="U873" s="1"/>
      <c r="V873" s="1"/>
      <c r="W873" s="1"/>
    </row>
    <row r="874" spans="1:23" x14ac:dyDescent="0.25">
      <c r="A874">
        <v>873</v>
      </c>
      <c r="B874">
        <v>0</v>
      </c>
      <c r="C874" t="str">
        <f>IF(Titanic_Dataset[[#This Row],[Survived]]=1,"Survived","Died")</f>
        <v>Died</v>
      </c>
      <c r="D874">
        <v>1</v>
      </c>
      <c r="E874" t="str">
        <f>IF(Titanic_Dataset[[#This Row],[Pclass]]=1,"1st",IF(Titanic_Dataset[[#This Row],[Pclass]]=2,"2nd",IF(Titanic_Dataset[[#This Row],[Pclass]]=3,"3rd")))</f>
        <v>1st</v>
      </c>
      <c r="F874" s="1" t="s">
        <v>1702</v>
      </c>
      <c r="G874" s="1" t="str">
        <f>TRIM(MID(Titanic_Dataset[[#This Row],[Name]],
FIND(",",Titanic_Dataset[[#This Row],[Name]])+2,
FIND(".",Titanic_Dataset[[#This Row],[Name]],FIND(",",Titanic_Dataset[[#This Row],[Name]]))-FIND(",",Titanic_Dataset[[#This Row],[Name]])-1))</f>
        <v>Mr.</v>
      </c>
      <c r="H874" s="1" t="s">
        <v>13</v>
      </c>
      <c r="I874">
        <v>33</v>
      </c>
      <c r="J874" t="str">
        <f>IF(Titanic_Dataset[[#This Row],[Age]]&lt;12,"0-11",
IF(Titanic_Dataset[[#This Row],[Age]]&lt;20,"12-19",
IF(Titanic_Dataset[[#This Row],[Age]]&lt;30,"20-29",
IF(Titanic_Dataset[[#This Row],[Age]]&lt;40,"30-39",
IF(Titanic_Dataset[[#This Row],[Age]]&lt;50,"40-49",
IF(Titanic_Dataset[[#This Row],[Age]]&lt;60,"50-59",
IF(Titanic_Dataset[[#This Row],[Age]]&lt;70,"60-69",)))))))</f>
        <v>30-39</v>
      </c>
      <c r="K874">
        <v>0</v>
      </c>
      <c r="L874">
        <v>0</v>
      </c>
      <c r="M874">
        <f>Titanic_Dataset[[#This Row],[Parch]]+Titanic_Dataset[[#This Row],[SibSp]]</f>
        <v>0</v>
      </c>
      <c r="N874" s="1" t="s">
        <v>1703</v>
      </c>
      <c r="O874">
        <v>5</v>
      </c>
      <c r="P874" t="e">
        <f>IF(Titanic_Dataset[[#This Row],[Survived]]=1,Titanic_Dataset[[#This Row],[Fare]],NA())</f>
        <v>#N/A</v>
      </c>
      <c r="Q874">
        <f>IF(Titanic_Dataset[[#This Row],[Survived]]=0,Titanic_Dataset[[#This Row],[Fare]],NA())</f>
        <v>5</v>
      </c>
      <c r="R874" t="str">
        <f>VLOOKUP(Titanic_Dataset[[#This Row],[Fare]],Table2[],2,TRUE)</f>
        <v>low</v>
      </c>
      <c r="S874" s="1" t="s">
        <v>1358</v>
      </c>
      <c r="T874" s="1" t="s">
        <v>16</v>
      </c>
      <c r="U874" s="1"/>
      <c r="V874" s="1"/>
      <c r="W874" s="1"/>
    </row>
    <row r="875" spans="1:23" x14ac:dyDescent="0.25">
      <c r="A875">
        <v>874</v>
      </c>
      <c r="B875">
        <v>0</v>
      </c>
      <c r="C875" t="str">
        <f>IF(Titanic_Dataset[[#This Row],[Survived]]=1,"Survived","Died")</f>
        <v>Died</v>
      </c>
      <c r="D875">
        <v>3</v>
      </c>
      <c r="E875" t="str">
        <f>IF(Titanic_Dataset[[#This Row],[Pclass]]=1,"1st",IF(Titanic_Dataset[[#This Row],[Pclass]]=2,"2nd",IF(Titanic_Dataset[[#This Row],[Pclass]]=3,"3rd")))</f>
        <v>3rd</v>
      </c>
      <c r="F875" s="1" t="s">
        <v>1704</v>
      </c>
      <c r="G875" s="1" t="str">
        <f>TRIM(MID(Titanic_Dataset[[#This Row],[Name]],
FIND(",",Titanic_Dataset[[#This Row],[Name]])+2,
FIND(".",Titanic_Dataset[[#This Row],[Name]],FIND(",",Titanic_Dataset[[#This Row],[Name]]))-FIND(",",Titanic_Dataset[[#This Row],[Name]])-1))</f>
        <v>Mr.</v>
      </c>
      <c r="H875" s="1" t="s">
        <v>13</v>
      </c>
      <c r="I875">
        <v>47</v>
      </c>
      <c r="J875" t="str">
        <f>IF(Titanic_Dataset[[#This Row],[Age]]&lt;12,"0-11",
IF(Titanic_Dataset[[#This Row],[Age]]&lt;20,"12-19",
IF(Titanic_Dataset[[#This Row],[Age]]&lt;30,"20-29",
IF(Titanic_Dataset[[#This Row],[Age]]&lt;40,"30-39",
IF(Titanic_Dataset[[#This Row],[Age]]&lt;50,"40-49",
IF(Titanic_Dataset[[#This Row],[Age]]&lt;60,"50-59",
IF(Titanic_Dataset[[#This Row],[Age]]&lt;70,"60-69",)))))))</f>
        <v>40-49</v>
      </c>
      <c r="K875">
        <v>0</v>
      </c>
      <c r="L875">
        <v>0</v>
      </c>
      <c r="M875">
        <f>Titanic_Dataset[[#This Row],[Parch]]+Titanic_Dataset[[#This Row],[SibSp]]</f>
        <v>0</v>
      </c>
      <c r="N875" s="1" t="s">
        <v>1705</v>
      </c>
      <c r="O875">
        <v>9</v>
      </c>
      <c r="P875" t="e">
        <f>IF(Titanic_Dataset[[#This Row],[Survived]]=1,Titanic_Dataset[[#This Row],[Fare]],NA())</f>
        <v>#N/A</v>
      </c>
      <c r="Q875">
        <f>IF(Titanic_Dataset[[#This Row],[Survived]]=0,Titanic_Dataset[[#This Row],[Fare]],NA())</f>
        <v>9</v>
      </c>
      <c r="R875" t="str">
        <f>VLOOKUP(Titanic_Dataset[[#This Row],[Fare]],Table2[],2,TRUE)</f>
        <v>medium</v>
      </c>
      <c r="S875" s="1" t="s">
        <v>15</v>
      </c>
      <c r="T875" s="1" t="s">
        <v>16</v>
      </c>
      <c r="U875" s="1"/>
      <c r="V875" s="1"/>
      <c r="W875" s="1"/>
    </row>
    <row r="876" spans="1:23" x14ac:dyDescent="0.25">
      <c r="A876">
        <v>875</v>
      </c>
      <c r="B876">
        <v>1</v>
      </c>
      <c r="C876" t="str">
        <f>IF(Titanic_Dataset[[#This Row],[Survived]]=1,"Survived","Died")</f>
        <v>Survived</v>
      </c>
      <c r="D876">
        <v>2</v>
      </c>
      <c r="E876" t="str">
        <f>IF(Titanic_Dataset[[#This Row],[Pclass]]=1,"1st",IF(Titanic_Dataset[[#This Row],[Pclass]]=2,"2nd",IF(Titanic_Dataset[[#This Row],[Pclass]]=3,"3rd")))</f>
        <v>2nd</v>
      </c>
      <c r="F876" s="1" t="s">
        <v>1706</v>
      </c>
      <c r="G876" s="1" t="str">
        <f>TRIM(MID(Titanic_Dataset[[#This Row],[Name]],
FIND(",",Titanic_Dataset[[#This Row],[Name]])+2,
FIND(".",Titanic_Dataset[[#This Row],[Name]],FIND(",",Titanic_Dataset[[#This Row],[Name]]))-FIND(",",Titanic_Dataset[[#This Row],[Name]])-1))</f>
        <v>Mrs.</v>
      </c>
      <c r="H876" s="1" t="s">
        <v>18</v>
      </c>
      <c r="I876">
        <v>28</v>
      </c>
      <c r="J87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76">
        <v>1</v>
      </c>
      <c r="L876">
        <v>0</v>
      </c>
      <c r="M876">
        <f>Titanic_Dataset[[#This Row],[Parch]]+Titanic_Dataset[[#This Row],[SibSp]]</f>
        <v>1</v>
      </c>
      <c r="N876" s="1" t="s">
        <v>657</v>
      </c>
      <c r="O876">
        <v>24</v>
      </c>
      <c r="P876">
        <f>IF(Titanic_Dataset[[#This Row],[Survived]]=1,Titanic_Dataset[[#This Row],[Fare]],NA())</f>
        <v>24</v>
      </c>
      <c r="Q876" t="e">
        <f>IF(Titanic_Dataset[[#This Row],[Survived]]=0,Titanic_Dataset[[#This Row],[Fare]],NA())</f>
        <v>#N/A</v>
      </c>
      <c r="R876" t="str">
        <f>VLOOKUP(Titanic_Dataset[[#This Row],[Fare]],Table2[],2,TRUE)</f>
        <v>high</v>
      </c>
      <c r="S876" s="1" t="s">
        <v>15</v>
      </c>
      <c r="T876" s="1" t="s">
        <v>21</v>
      </c>
      <c r="U876" s="1"/>
      <c r="V876" s="1"/>
      <c r="W876" s="1"/>
    </row>
    <row r="877" spans="1:23" x14ac:dyDescent="0.25">
      <c r="A877">
        <v>876</v>
      </c>
      <c r="B877">
        <v>1</v>
      </c>
      <c r="C877" t="str">
        <f>IF(Titanic_Dataset[[#This Row],[Survived]]=1,"Survived","Died")</f>
        <v>Survived</v>
      </c>
      <c r="D877">
        <v>3</v>
      </c>
      <c r="E877" t="str">
        <f>IF(Titanic_Dataset[[#This Row],[Pclass]]=1,"1st",IF(Titanic_Dataset[[#This Row],[Pclass]]=2,"2nd",IF(Titanic_Dataset[[#This Row],[Pclass]]=3,"3rd")))</f>
        <v>3rd</v>
      </c>
      <c r="F877" s="1" t="s">
        <v>1707</v>
      </c>
      <c r="G877" s="1" t="str">
        <f>TRIM(MID(Titanic_Dataset[[#This Row],[Name]],
FIND(",",Titanic_Dataset[[#This Row],[Name]])+2,
FIND(".",Titanic_Dataset[[#This Row],[Name]],FIND(",",Titanic_Dataset[[#This Row],[Name]]))-FIND(",",Titanic_Dataset[[#This Row],[Name]])-1))</f>
        <v>Miss.</v>
      </c>
      <c r="H877" s="1" t="s">
        <v>18</v>
      </c>
      <c r="I877">
        <v>15</v>
      </c>
      <c r="J877" t="str">
        <f>IF(Titanic_Dataset[[#This Row],[Age]]&lt;12,"0-11",
IF(Titanic_Dataset[[#This Row],[Age]]&lt;20,"12-19",
IF(Titanic_Dataset[[#This Row],[Age]]&lt;30,"20-29",
IF(Titanic_Dataset[[#This Row],[Age]]&lt;40,"30-39",
IF(Titanic_Dataset[[#This Row],[Age]]&lt;50,"40-49",
IF(Titanic_Dataset[[#This Row],[Age]]&lt;60,"50-59",
IF(Titanic_Dataset[[#This Row],[Age]]&lt;70,"60-69",)))))))</f>
        <v>12-19</v>
      </c>
      <c r="K877">
        <v>0</v>
      </c>
      <c r="L877">
        <v>0</v>
      </c>
      <c r="M877">
        <f>Titanic_Dataset[[#This Row],[Parch]]+Titanic_Dataset[[#This Row],[SibSp]]</f>
        <v>0</v>
      </c>
      <c r="N877" s="1" t="s">
        <v>1708</v>
      </c>
      <c r="O877">
        <v>7.2249999999999996</v>
      </c>
      <c r="P877">
        <f>IF(Titanic_Dataset[[#This Row],[Survived]]=1,Titanic_Dataset[[#This Row],[Fare]],NA())</f>
        <v>7.2249999999999996</v>
      </c>
      <c r="Q877" t="e">
        <f>IF(Titanic_Dataset[[#This Row],[Survived]]=0,Titanic_Dataset[[#This Row],[Fare]],NA())</f>
        <v>#N/A</v>
      </c>
      <c r="R877" t="str">
        <f>VLOOKUP(Titanic_Dataset[[#This Row],[Fare]],Table2[],2,TRUE)</f>
        <v>low</v>
      </c>
      <c r="S877" s="1" t="s">
        <v>15</v>
      </c>
      <c r="T877" s="1" t="s">
        <v>21</v>
      </c>
      <c r="U877" s="1"/>
      <c r="V877" s="1"/>
      <c r="W877" s="1"/>
    </row>
    <row r="878" spans="1:23" x14ac:dyDescent="0.25">
      <c r="A878">
        <v>877</v>
      </c>
      <c r="B878">
        <v>0</v>
      </c>
      <c r="C878" t="str">
        <f>IF(Titanic_Dataset[[#This Row],[Survived]]=1,"Survived","Died")</f>
        <v>Died</v>
      </c>
      <c r="D878">
        <v>3</v>
      </c>
      <c r="E878" t="str">
        <f>IF(Titanic_Dataset[[#This Row],[Pclass]]=1,"1st",IF(Titanic_Dataset[[#This Row],[Pclass]]=2,"2nd",IF(Titanic_Dataset[[#This Row],[Pclass]]=3,"3rd")))</f>
        <v>3rd</v>
      </c>
      <c r="F878" s="1" t="s">
        <v>1709</v>
      </c>
      <c r="G878" s="1" t="str">
        <f>TRIM(MID(Titanic_Dataset[[#This Row],[Name]],
FIND(",",Titanic_Dataset[[#This Row],[Name]])+2,
FIND(".",Titanic_Dataset[[#This Row],[Name]],FIND(",",Titanic_Dataset[[#This Row],[Name]]))-FIND(",",Titanic_Dataset[[#This Row],[Name]])-1))</f>
        <v>Mr.</v>
      </c>
      <c r="H878" s="1" t="s">
        <v>13</v>
      </c>
      <c r="I878">
        <v>20</v>
      </c>
      <c r="J87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78">
        <v>0</v>
      </c>
      <c r="L878">
        <v>0</v>
      </c>
      <c r="M878">
        <f>Titanic_Dataset[[#This Row],[Parch]]+Titanic_Dataset[[#This Row],[SibSp]]</f>
        <v>0</v>
      </c>
      <c r="N878" s="1" t="s">
        <v>310</v>
      </c>
      <c r="O878">
        <v>9.8458000000000006</v>
      </c>
      <c r="P878" t="e">
        <f>IF(Titanic_Dataset[[#This Row],[Survived]]=1,Titanic_Dataset[[#This Row],[Fare]],NA())</f>
        <v>#N/A</v>
      </c>
      <c r="Q878">
        <f>IF(Titanic_Dataset[[#This Row],[Survived]]=0,Titanic_Dataset[[#This Row],[Fare]],NA())</f>
        <v>9.8458000000000006</v>
      </c>
      <c r="R878" t="str">
        <f>VLOOKUP(Titanic_Dataset[[#This Row],[Fare]],Table2[],2,TRUE)</f>
        <v>medium</v>
      </c>
      <c r="S878" s="1" t="s">
        <v>15</v>
      </c>
      <c r="T878" s="1" t="s">
        <v>16</v>
      </c>
      <c r="U878" s="1"/>
      <c r="V878" s="1"/>
      <c r="W878" s="1"/>
    </row>
    <row r="879" spans="1:23" x14ac:dyDescent="0.25">
      <c r="A879">
        <v>878</v>
      </c>
      <c r="B879">
        <v>0</v>
      </c>
      <c r="C879" t="str">
        <f>IF(Titanic_Dataset[[#This Row],[Survived]]=1,"Survived","Died")</f>
        <v>Died</v>
      </c>
      <c r="D879">
        <v>3</v>
      </c>
      <c r="E879" t="str">
        <f>IF(Titanic_Dataset[[#This Row],[Pclass]]=1,"1st",IF(Titanic_Dataset[[#This Row],[Pclass]]=2,"2nd",IF(Titanic_Dataset[[#This Row],[Pclass]]=3,"3rd")))</f>
        <v>3rd</v>
      </c>
      <c r="F879" s="1" t="s">
        <v>1710</v>
      </c>
      <c r="G879" s="1" t="str">
        <f>TRIM(MID(Titanic_Dataset[[#This Row],[Name]],
FIND(",",Titanic_Dataset[[#This Row],[Name]])+2,
FIND(".",Titanic_Dataset[[#This Row],[Name]],FIND(",",Titanic_Dataset[[#This Row],[Name]]))-FIND(",",Titanic_Dataset[[#This Row],[Name]])-1))</f>
        <v>Mr.</v>
      </c>
      <c r="H879" s="1" t="s">
        <v>13</v>
      </c>
      <c r="I879">
        <v>19</v>
      </c>
      <c r="J879" t="str">
        <f>IF(Titanic_Dataset[[#This Row],[Age]]&lt;12,"0-11",
IF(Titanic_Dataset[[#This Row],[Age]]&lt;20,"12-19",
IF(Titanic_Dataset[[#This Row],[Age]]&lt;30,"20-29",
IF(Titanic_Dataset[[#This Row],[Age]]&lt;40,"30-39",
IF(Titanic_Dataset[[#This Row],[Age]]&lt;50,"40-49",
IF(Titanic_Dataset[[#This Row],[Age]]&lt;60,"50-59",
IF(Titanic_Dataset[[#This Row],[Age]]&lt;70,"60-69",)))))))</f>
        <v>12-19</v>
      </c>
      <c r="K879">
        <v>0</v>
      </c>
      <c r="L879">
        <v>0</v>
      </c>
      <c r="M879">
        <f>Titanic_Dataset[[#This Row],[Parch]]+Titanic_Dataset[[#This Row],[SibSp]]</f>
        <v>0</v>
      </c>
      <c r="N879" s="1" t="s">
        <v>1711</v>
      </c>
      <c r="O879">
        <v>7.8958000000000004</v>
      </c>
      <c r="P879" t="e">
        <f>IF(Titanic_Dataset[[#This Row],[Survived]]=1,Titanic_Dataset[[#This Row],[Fare]],NA())</f>
        <v>#N/A</v>
      </c>
      <c r="Q879">
        <f>IF(Titanic_Dataset[[#This Row],[Survived]]=0,Titanic_Dataset[[#This Row],[Fare]],NA())</f>
        <v>7.8958000000000004</v>
      </c>
      <c r="R879" t="str">
        <f>VLOOKUP(Titanic_Dataset[[#This Row],[Fare]],Table2[],2,TRUE)</f>
        <v>low</v>
      </c>
      <c r="S879" s="1" t="s">
        <v>15</v>
      </c>
      <c r="T879" s="1" t="s">
        <v>16</v>
      </c>
      <c r="U879" s="1"/>
      <c r="V879" s="1"/>
      <c r="W879" s="1"/>
    </row>
    <row r="880" spans="1:23" x14ac:dyDescent="0.25">
      <c r="A880">
        <v>879</v>
      </c>
      <c r="B880">
        <v>0</v>
      </c>
      <c r="C880" t="str">
        <f>IF(Titanic_Dataset[[#This Row],[Survived]]=1,"Survived","Died")</f>
        <v>Died</v>
      </c>
      <c r="D880">
        <v>3</v>
      </c>
      <c r="E880" t="str">
        <f>IF(Titanic_Dataset[[#This Row],[Pclass]]=1,"1st",IF(Titanic_Dataset[[#This Row],[Pclass]]=2,"2nd",IF(Titanic_Dataset[[#This Row],[Pclass]]=3,"3rd")))</f>
        <v>3rd</v>
      </c>
      <c r="F880" s="1" t="s">
        <v>1712</v>
      </c>
      <c r="G880" s="1" t="str">
        <f>TRIM(MID(Titanic_Dataset[[#This Row],[Name]],
FIND(",",Titanic_Dataset[[#This Row],[Name]])+2,
FIND(".",Titanic_Dataset[[#This Row],[Name]],FIND(",",Titanic_Dataset[[#This Row],[Name]]))-FIND(",",Titanic_Dataset[[#This Row],[Name]])-1))</f>
        <v>Mr.</v>
      </c>
      <c r="H880" s="1" t="s">
        <v>13</v>
      </c>
      <c r="I880">
        <v>28</v>
      </c>
      <c r="J88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80">
        <v>0</v>
      </c>
      <c r="L880">
        <v>0</v>
      </c>
      <c r="M880">
        <f>Titanic_Dataset[[#This Row],[Parch]]+Titanic_Dataset[[#This Row],[SibSp]]</f>
        <v>0</v>
      </c>
      <c r="N880" s="1" t="s">
        <v>1713</v>
      </c>
      <c r="O880">
        <v>7.8958000000000004</v>
      </c>
      <c r="P880" t="e">
        <f>IF(Titanic_Dataset[[#This Row],[Survived]]=1,Titanic_Dataset[[#This Row],[Fare]],NA())</f>
        <v>#N/A</v>
      </c>
      <c r="Q880">
        <f>IF(Titanic_Dataset[[#This Row],[Survived]]=0,Titanic_Dataset[[#This Row],[Fare]],NA())</f>
        <v>7.8958000000000004</v>
      </c>
      <c r="R880" t="str">
        <f>VLOOKUP(Titanic_Dataset[[#This Row],[Fare]],Table2[],2,TRUE)</f>
        <v>low</v>
      </c>
      <c r="S880" s="1" t="s">
        <v>15</v>
      </c>
      <c r="T880" s="1" t="s">
        <v>16</v>
      </c>
      <c r="U880" s="1"/>
      <c r="V880" s="1"/>
      <c r="W880" s="1"/>
    </row>
    <row r="881" spans="1:23" x14ac:dyDescent="0.25">
      <c r="A881">
        <v>880</v>
      </c>
      <c r="B881">
        <v>1</v>
      </c>
      <c r="C881" t="str">
        <f>IF(Titanic_Dataset[[#This Row],[Survived]]=1,"Survived","Died")</f>
        <v>Survived</v>
      </c>
      <c r="D881">
        <v>1</v>
      </c>
      <c r="E881" t="str">
        <f>IF(Titanic_Dataset[[#This Row],[Pclass]]=1,"1st",IF(Titanic_Dataset[[#This Row],[Pclass]]=2,"2nd",IF(Titanic_Dataset[[#This Row],[Pclass]]=3,"3rd")))</f>
        <v>1st</v>
      </c>
      <c r="F881" s="1" t="s">
        <v>1714</v>
      </c>
      <c r="G881" s="1" t="str">
        <f>TRIM(MID(Titanic_Dataset[[#This Row],[Name]],
FIND(",",Titanic_Dataset[[#This Row],[Name]])+2,
FIND(".",Titanic_Dataset[[#This Row],[Name]],FIND(",",Titanic_Dataset[[#This Row],[Name]]))-FIND(",",Titanic_Dataset[[#This Row],[Name]])-1))</f>
        <v>Mrs.</v>
      </c>
      <c r="H881" s="1" t="s">
        <v>18</v>
      </c>
      <c r="I881">
        <v>56</v>
      </c>
      <c r="J881" t="str">
        <f>IF(Titanic_Dataset[[#This Row],[Age]]&lt;12,"0-11",
IF(Titanic_Dataset[[#This Row],[Age]]&lt;20,"12-19",
IF(Titanic_Dataset[[#This Row],[Age]]&lt;30,"20-29",
IF(Titanic_Dataset[[#This Row],[Age]]&lt;40,"30-39",
IF(Titanic_Dataset[[#This Row],[Age]]&lt;50,"40-49",
IF(Titanic_Dataset[[#This Row],[Age]]&lt;60,"50-59",
IF(Titanic_Dataset[[#This Row],[Age]]&lt;70,"60-69",)))))))</f>
        <v>50-59</v>
      </c>
      <c r="K881">
        <v>0</v>
      </c>
      <c r="L881">
        <v>1</v>
      </c>
      <c r="M881">
        <f>Titanic_Dataset[[#This Row],[Parch]]+Titanic_Dataset[[#This Row],[SibSp]]</f>
        <v>1</v>
      </c>
      <c r="N881" s="1" t="s">
        <v>662</v>
      </c>
      <c r="O881">
        <v>83.158299999999997</v>
      </c>
      <c r="P881">
        <f>IF(Titanic_Dataset[[#This Row],[Survived]]=1,Titanic_Dataset[[#This Row],[Fare]],NA())</f>
        <v>83.158299999999997</v>
      </c>
      <c r="Q881" t="e">
        <f>IF(Titanic_Dataset[[#This Row],[Survived]]=0,Titanic_Dataset[[#This Row],[Fare]],NA())</f>
        <v>#N/A</v>
      </c>
      <c r="R881" t="str">
        <f>VLOOKUP(Titanic_Dataset[[#This Row],[Fare]],Table2[],2,TRUE)</f>
        <v>very hiegh</v>
      </c>
      <c r="S881" s="1" t="s">
        <v>1715</v>
      </c>
      <c r="T881" s="1" t="s">
        <v>21</v>
      </c>
      <c r="U881" s="1"/>
      <c r="V881" s="1"/>
      <c r="W881" s="1"/>
    </row>
    <row r="882" spans="1:23" x14ac:dyDescent="0.25">
      <c r="A882">
        <v>881</v>
      </c>
      <c r="B882">
        <v>1</v>
      </c>
      <c r="C882" t="str">
        <f>IF(Titanic_Dataset[[#This Row],[Survived]]=1,"Survived","Died")</f>
        <v>Survived</v>
      </c>
      <c r="D882">
        <v>2</v>
      </c>
      <c r="E882" t="str">
        <f>IF(Titanic_Dataset[[#This Row],[Pclass]]=1,"1st",IF(Titanic_Dataset[[#This Row],[Pclass]]=2,"2nd",IF(Titanic_Dataset[[#This Row],[Pclass]]=3,"3rd")))</f>
        <v>2nd</v>
      </c>
      <c r="F882" s="1" t="s">
        <v>1716</v>
      </c>
      <c r="G882" s="1" t="str">
        <f>TRIM(MID(Titanic_Dataset[[#This Row],[Name]],
FIND(",",Titanic_Dataset[[#This Row],[Name]])+2,
FIND(".",Titanic_Dataset[[#This Row],[Name]],FIND(",",Titanic_Dataset[[#This Row],[Name]]))-FIND(",",Titanic_Dataset[[#This Row],[Name]])-1))</f>
        <v>Mrs.</v>
      </c>
      <c r="H882" s="1" t="s">
        <v>18</v>
      </c>
      <c r="I882">
        <v>25</v>
      </c>
      <c r="J882"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82">
        <v>0</v>
      </c>
      <c r="L882">
        <v>1</v>
      </c>
      <c r="M882">
        <f>Titanic_Dataset[[#This Row],[Parch]]+Titanic_Dataset[[#This Row],[SibSp]]</f>
        <v>1</v>
      </c>
      <c r="N882" s="1" t="s">
        <v>554</v>
      </c>
      <c r="O882">
        <v>26</v>
      </c>
      <c r="P882">
        <f>IF(Titanic_Dataset[[#This Row],[Survived]]=1,Titanic_Dataset[[#This Row],[Fare]],NA())</f>
        <v>26</v>
      </c>
      <c r="Q882" t="e">
        <f>IF(Titanic_Dataset[[#This Row],[Survived]]=0,Titanic_Dataset[[#This Row],[Fare]],NA())</f>
        <v>#N/A</v>
      </c>
      <c r="R882" t="str">
        <f>VLOOKUP(Titanic_Dataset[[#This Row],[Fare]],Table2[],2,TRUE)</f>
        <v>high</v>
      </c>
      <c r="S882" s="1" t="s">
        <v>15</v>
      </c>
      <c r="T882" s="1" t="s">
        <v>16</v>
      </c>
      <c r="U882" s="1"/>
      <c r="V882" s="1"/>
      <c r="W882" s="1"/>
    </row>
    <row r="883" spans="1:23" x14ac:dyDescent="0.25">
      <c r="A883">
        <v>882</v>
      </c>
      <c r="B883">
        <v>0</v>
      </c>
      <c r="C883" t="str">
        <f>IF(Titanic_Dataset[[#This Row],[Survived]]=1,"Survived","Died")</f>
        <v>Died</v>
      </c>
      <c r="D883">
        <v>3</v>
      </c>
      <c r="E883" t="str">
        <f>IF(Titanic_Dataset[[#This Row],[Pclass]]=1,"1st",IF(Titanic_Dataset[[#This Row],[Pclass]]=2,"2nd",IF(Titanic_Dataset[[#This Row],[Pclass]]=3,"3rd")))</f>
        <v>3rd</v>
      </c>
      <c r="F883" s="1" t="s">
        <v>1717</v>
      </c>
      <c r="G883" s="1" t="str">
        <f>TRIM(MID(Titanic_Dataset[[#This Row],[Name]],
FIND(",",Titanic_Dataset[[#This Row],[Name]])+2,
FIND(".",Titanic_Dataset[[#This Row],[Name]],FIND(",",Titanic_Dataset[[#This Row],[Name]]))-FIND(",",Titanic_Dataset[[#This Row],[Name]])-1))</f>
        <v>Mr.</v>
      </c>
      <c r="H883" s="1" t="s">
        <v>13</v>
      </c>
      <c r="I883">
        <v>33</v>
      </c>
      <c r="J883" t="str">
        <f>IF(Titanic_Dataset[[#This Row],[Age]]&lt;12,"0-11",
IF(Titanic_Dataset[[#This Row],[Age]]&lt;20,"12-19",
IF(Titanic_Dataset[[#This Row],[Age]]&lt;30,"20-29",
IF(Titanic_Dataset[[#This Row],[Age]]&lt;40,"30-39",
IF(Titanic_Dataset[[#This Row],[Age]]&lt;50,"40-49",
IF(Titanic_Dataset[[#This Row],[Age]]&lt;60,"50-59",
IF(Titanic_Dataset[[#This Row],[Age]]&lt;70,"60-69",)))))))</f>
        <v>30-39</v>
      </c>
      <c r="K883">
        <v>0</v>
      </c>
      <c r="L883">
        <v>0</v>
      </c>
      <c r="M883">
        <f>Titanic_Dataset[[#This Row],[Parch]]+Titanic_Dataset[[#This Row],[SibSp]]</f>
        <v>0</v>
      </c>
      <c r="N883" s="1" t="s">
        <v>1718</v>
      </c>
      <c r="O883">
        <v>7.8958000000000004</v>
      </c>
      <c r="P883" t="e">
        <f>IF(Titanic_Dataset[[#This Row],[Survived]]=1,Titanic_Dataset[[#This Row],[Fare]],NA())</f>
        <v>#N/A</v>
      </c>
      <c r="Q883">
        <f>IF(Titanic_Dataset[[#This Row],[Survived]]=0,Titanic_Dataset[[#This Row],[Fare]],NA())</f>
        <v>7.8958000000000004</v>
      </c>
      <c r="R883" t="str">
        <f>VLOOKUP(Titanic_Dataset[[#This Row],[Fare]],Table2[],2,TRUE)</f>
        <v>low</v>
      </c>
      <c r="S883" s="1" t="s">
        <v>15</v>
      </c>
      <c r="T883" s="1" t="s">
        <v>16</v>
      </c>
      <c r="U883" s="1"/>
      <c r="V883" s="1"/>
      <c r="W883" s="1"/>
    </row>
    <row r="884" spans="1:23" x14ac:dyDescent="0.25">
      <c r="A884">
        <v>883</v>
      </c>
      <c r="B884">
        <v>0</v>
      </c>
      <c r="C884" t="str">
        <f>IF(Titanic_Dataset[[#This Row],[Survived]]=1,"Survived","Died")</f>
        <v>Died</v>
      </c>
      <c r="D884">
        <v>3</v>
      </c>
      <c r="E884" t="str">
        <f>IF(Titanic_Dataset[[#This Row],[Pclass]]=1,"1st",IF(Titanic_Dataset[[#This Row],[Pclass]]=2,"2nd",IF(Titanic_Dataset[[#This Row],[Pclass]]=3,"3rd")))</f>
        <v>3rd</v>
      </c>
      <c r="F884" s="1" t="s">
        <v>1719</v>
      </c>
      <c r="G884" s="1" t="str">
        <f>TRIM(MID(Titanic_Dataset[[#This Row],[Name]],
FIND(",",Titanic_Dataset[[#This Row],[Name]])+2,
FIND(".",Titanic_Dataset[[#This Row],[Name]],FIND(",",Titanic_Dataset[[#This Row],[Name]]))-FIND(",",Titanic_Dataset[[#This Row],[Name]])-1))</f>
        <v>Miss.</v>
      </c>
      <c r="H884" s="1" t="s">
        <v>18</v>
      </c>
      <c r="I884">
        <v>22</v>
      </c>
      <c r="J884"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84">
        <v>0</v>
      </c>
      <c r="L884">
        <v>0</v>
      </c>
      <c r="M884">
        <f>Titanic_Dataset[[#This Row],[Parch]]+Titanic_Dataset[[#This Row],[SibSp]]</f>
        <v>0</v>
      </c>
      <c r="N884" s="1" t="s">
        <v>1720</v>
      </c>
      <c r="O884">
        <v>10.5167</v>
      </c>
      <c r="P884" t="e">
        <f>IF(Titanic_Dataset[[#This Row],[Survived]]=1,Titanic_Dataset[[#This Row],[Fare]],NA())</f>
        <v>#N/A</v>
      </c>
      <c r="Q884">
        <f>IF(Titanic_Dataset[[#This Row],[Survived]]=0,Titanic_Dataset[[#This Row],[Fare]],NA())</f>
        <v>10.5167</v>
      </c>
      <c r="R884" t="str">
        <f>VLOOKUP(Titanic_Dataset[[#This Row],[Fare]],Table2[],2,TRUE)</f>
        <v>medium</v>
      </c>
      <c r="S884" s="1" t="s">
        <v>15</v>
      </c>
      <c r="T884" s="1" t="s">
        <v>16</v>
      </c>
      <c r="U884" s="1"/>
      <c r="V884" s="1"/>
      <c r="W884" s="1"/>
    </row>
    <row r="885" spans="1:23" x14ac:dyDescent="0.25">
      <c r="A885">
        <v>884</v>
      </c>
      <c r="B885">
        <v>0</v>
      </c>
      <c r="C885" t="str">
        <f>IF(Titanic_Dataset[[#This Row],[Survived]]=1,"Survived","Died")</f>
        <v>Died</v>
      </c>
      <c r="D885">
        <v>2</v>
      </c>
      <c r="E885" t="str">
        <f>IF(Titanic_Dataset[[#This Row],[Pclass]]=1,"1st",IF(Titanic_Dataset[[#This Row],[Pclass]]=2,"2nd",IF(Titanic_Dataset[[#This Row],[Pclass]]=3,"3rd")))</f>
        <v>2nd</v>
      </c>
      <c r="F885" s="1" t="s">
        <v>1721</v>
      </c>
      <c r="G885" s="1" t="str">
        <f>TRIM(MID(Titanic_Dataset[[#This Row],[Name]],
FIND(",",Titanic_Dataset[[#This Row],[Name]])+2,
FIND(".",Titanic_Dataset[[#This Row],[Name]],FIND(",",Titanic_Dataset[[#This Row],[Name]]))-FIND(",",Titanic_Dataset[[#This Row],[Name]])-1))</f>
        <v>Mr.</v>
      </c>
      <c r="H885" s="1" t="s">
        <v>13</v>
      </c>
      <c r="I885">
        <v>28</v>
      </c>
      <c r="J885"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85">
        <v>0</v>
      </c>
      <c r="L885">
        <v>0</v>
      </c>
      <c r="M885">
        <f>Titanic_Dataset[[#This Row],[Parch]]+Titanic_Dataset[[#This Row],[SibSp]]</f>
        <v>0</v>
      </c>
      <c r="N885" s="1" t="s">
        <v>1722</v>
      </c>
      <c r="O885">
        <v>10.5</v>
      </c>
      <c r="P885" t="e">
        <f>IF(Titanic_Dataset[[#This Row],[Survived]]=1,Titanic_Dataset[[#This Row],[Fare]],NA())</f>
        <v>#N/A</v>
      </c>
      <c r="Q885">
        <f>IF(Titanic_Dataset[[#This Row],[Survived]]=0,Titanic_Dataset[[#This Row],[Fare]],NA())</f>
        <v>10.5</v>
      </c>
      <c r="R885" t="str">
        <f>VLOOKUP(Titanic_Dataset[[#This Row],[Fare]],Table2[],2,TRUE)</f>
        <v>medium</v>
      </c>
      <c r="S885" s="1" t="s">
        <v>15</v>
      </c>
      <c r="T885" s="1" t="s">
        <v>16</v>
      </c>
      <c r="U885" s="1"/>
      <c r="V885" s="1"/>
      <c r="W885" s="1"/>
    </row>
    <row r="886" spans="1:23" x14ac:dyDescent="0.25">
      <c r="A886">
        <v>885</v>
      </c>
      <c r="B886">
        <v>0</v>
      </c>
      <c r="C886" t="str">
        <f>IF(Titanic_Dataset[[#This Row],[Survived]]=1,"Survived","Died")</f>
        <v>Died</v>
      </c>
      <c r="D886">
        <v>3</v>
      </c>
      <c r="E886" t="str">
        <f>IF(Titanic_Dataset[[#This Row],[Pclass]]=1,"1st",IF(Titanic_Dataset[[#This Row],[Pclass]]=2,"2nd",IF(Titanic_Dataset[[#This Row],[Pclass]]=3,"3rd")))</f>
        <v>3rd</v>
      </c>
      <c r="F886" s="1" t="s">
        <v>1723</v>
      </c>
      <c r="G886" s="1" t="str">
        <f>TRIM(MID(Titanic_Dataset[[#This Row],[Name]],
FIND(",",Titanic_Dataset[[#This Row],[Name]])+2,
FIND(".",Titanic_Dataset[[#This Row],[Name]],FIND(",",Titanic_Dataset[[#This Row],[Name]]))-FIND(",",Titanic_Dataset[[#This Row],[Name]])-1))</f>
        <v>Mr.</v>
      </c>
      <c r="H886" s="1" t="s">
        <v>13</v>
      </c>
      <c r="I886">
        <v>25</v>
      </c>
      <c r="J886"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86">
        <v>0</v>
      </c>
      <c r="L886">
        <v>0</v>
      </c>
      <c r="M886">
        <f>Titanic_Dataset[[#This Row],[Parch]]+Titanic_Dataset[[#This Row],[SibSp]]</f>
        <v>0</v>
      </c>
      <c r="N886" s="1" t="s">
        <v>1724</v>
      </c>
      <c r="O886">
        <v>7.05</v>
      </c>
      <c r="P886" t="e">
        <f>IF(Titanic_Dataset[[#This Row],[Survived]]=1,Titanic_Dataset[[#This Row],[Fare]],NA())</f>
        <v>#N/A</v>
      </c>
      <c r="Q886">
        <f>IF(Titanic_Dataset[[#This Row],[Survived]]=0,Titanic_Dataset[[#This Row],[Fare]],NA())</f>
        <v>7.05</v>
      </c>
      <c r="R886" t="str">
        <f>VLOOKUP(Titanic_Dataset[[#This Row],[Fare]],Table2[],2,TRUE)</f>
        <v>low</v>
      </c>
      <c r="S886" s="1" t="s">
        <v>15</v>
      </c>
      <c r="T886" s="1" t="s">
        <v>16</v>
      </c>
      <c r="U886" s="1"/>
      <c r="V886" s="1"/>
      <c r="W886" s="1"/>
    </row>
    <row r="887" spans="1:23" x14ac:dyDescent="0.25">
      <c r="A887">
        <v>886</v>
      </c>
      <c r="B887">
        <v>0</v>
      </c>
      <c r="C887" t="str">
        <f>IF(Titanic_Dataset[[#This Row],[Survived]]=1,"Survived","Died")</f>
        <v>Died</v>
      </c>
      <c r="D887">
        <v>3</v>
      </c>
      <c r="E887" t="str">
        <f>IF(Titanic_Dataset[[#This Row],[Pclass]]=1,"1st",IF(Titanic_Dataset[[#This Row],[Pclass]]=2,"2nd",IF(Titanic_Dataset[[#This Row],[Pclass]]=3,"3rd")))</f>
        <v>3rd</v>
      </c>
      <c r="F887" s="1" t="s">
        <v>1725</v>
      </c>
      <c r="G887" s="1" t="str">
        <f>TRIM(MID(Titanic_Dataset[[#This Row],[Name]],
FIND(",",Titanic_Dataset[[#This Row],[Name]])+2,
FIND(".",Titanic_Dataset[[#This Row],[Name]],FIND(",",Titanic_Dataset[[#This Row],[Name]]))-FIND(",",Titanic_Dataset[[#This Row],[Name]])-1))</f>
        <v>Mrs.</v>
      </c>
      <c r="H887" s="1" t="s">
        <v>18</v>
      </c>
      <c r="I887">
        <v>39</v>
      </c>
      <c r="J887" t="str">
        <f>IF(Titanic_Dataset[[#This Row],[Age]]&lt;12,"0-11",
IF(Titanic_Dataset[[#This Row],[Age]]&lt;20,"12-19",
IF(Titanic_Dataset[[#This Row],[Age]]&lt;30,"20-29",
IF(Titanic_Dataset[[#This Row],[Age]]&lt;40,"30-39",
IF(Titanic_Dataset[[#This Row],[Age]]&lt;50,"40-49",
IF(Titanic_Dataset[[#This Row],[Age]]&lt;60,"50-59",
IF(Titanic_Dataset[[#This Row],[Age]]&lt;70,"60-69",)))))))</f>
        <v>30-39</v>
      </c>
      <c r="K887">
        <v>0</v>
      </c>
      <c r="L887">
        <v>5</v>
      </c>
      <c r="M887">
        <f>Titanic_Dataset[[#This Row],[Parch]]+Titanic_Dataset[[#This Row],[SibSp]]</f>
        <v>5</v>
      </c>
      <c r="N887" s="1" t="s">
        <v>56</v>
      </c>
      <c r="O887">
        <v>29.125</v>
      </c>
      <c r="P887" t="e">
        <f>IF(Titanic_Dataset[[#This Row],[Survived]]=1,Titanic_Dataset[[#This Row],[Fare]],NA())</f>
        <v>#N/A</v>
      </c>
      <c r="Q887">
        <f>IF(Titanic_Dataset[[#This Row],[Survived]]=0,Titanic_Dataset[[#This Row],[Fare]],NA())</f>
        <v>29.125</v>
      </c>
      <c r="R887" t="str">
        <f>VLOOKUP(Titanic_Dataset[[#This Row],[Fare]],Table2[],2,TRUE)</f>
        <v>high</v>
      </c>
      <c r="S887" s="1" t="s">
        <v>15</v>
      </c>
      <c r="T887" s="1" t="s">
        <v>31</v>
      </c>
      <c r="U887" s="1"/>
      <c r="V887" s="1"/>
      <c r="W887" s="1"/>
    </row>
    <row r="888" spans="1:23" x14ac:dyDescent="0.25">
      <c r="A888">
        <v>887</v>
      </c>
      <c r="B888">
        <v>0</v>
      </c>
      <c r="C888" t="str">
        <f>IF(Titanic_Dataset[[#This Row],[Survived]]=1,"Survived","Died")</f>
        <v>Died</v>
      </c>
      <c r="D888">
        <v>2</v>
      </c>
      <c r="E888" t="str">
        <f>IF(Titanic_Dataset[[#This Row],[Pclass]]=1,"1st",IF(Titanic_Dataset[[#This Row],[Pclass]]=2,"2nd",IF(Titanic_Dataset[[#This Row],[Pclass]]=3,"3rd")))</f>
        <v>2nd</v>
      </c>
      <c r="F888" s="1" t="s">
        <v>1726</v>
      </c>
      <c r="G888" s="1" t="str">
        <f>TRIM(MID(Titanic_Dataset[[#This Row],[Name]],
FIND(",",Titanic_Dataset[[#This Row],[Name]])+2,
FIND(".",Titanic_Dataset[[#This Row],[Name]],FIND(",",Titanic_Dataset[[#This Row],[Name]]))-FIND(",",Titanic_Dataset[[#This Row],[Name]])-1))</f>
        <v>Rev.</v>
      </c>
      <c r="H888" s="1" t="s">
        <v>13</v>
      </c>
      <c r="I888">
        <v>27</v>
      </c>
      <c r="J888"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88">
        <v>0</v>
      </c>
      <c r="L888">
        <v>0</v>
      </c>
      <c r="M888">
        <f>Titanic_Dataset[[#This Row],[Parch]]+Titanic_Dataset[[#This Row],[SibSp]]</f>
        <v>0</v>
      </c>
      <c r="N888" s="1" t="s">
        <v>1727</v>
      </c>
      <c r="O888">
        <v>13</v>
      </c>
      <c r="P888" t="e">
        <f>IF(Titanic_Dataset[[#This Row],[Survived]]=1,Titanic_Dataset[[#This Row],[Fare]],NA())</f>
        <v>#N/A</v>
      </c>
      <c r="Q888">
        <f>IF(Titanic_Dataset[[#This Row],[Survived]]=0,Titanic_Dataset[[#This Row],[Fare]],NA())</f>
        <v>13</v>
      </c>
      <c r="R888" t="str">
        <f>VLOOKUP(Titanic_Dataset[[#This Row],[Fare]],Table2[],2,TRUE)</f>
        <v>medium</v>
      </c>
      <c r="S888" s="1" t="s">
        <v>15</v>
      </c>
      <c r="T888" s="1" t="s">
        <v>16</v>
      </c>
      <c r="U888" s="1"/>
      <c r="V888" s="1"/>
      <c r="W888" s="1"/>
    </row>
    <row r="889" spans="1:23" x14ac:dyDescent="0.25">
      <c r="A889">
        <v>888</v>
      </c>
      <c r="B889">
        <v>1</v>
      </c>
      <c r="C889" t="str">
        <f>IF(Titanic_Dataset[[#This Row],[Survived]]=1,"Survived","Died")</f>
        <v>Survived</v>
      </c>
      <c r="D889">
        <v>1</v>
      </c>
      <c r="E889" t="str">
        <f>IF(Titanic_Dataset[[#This Row],[Pclass]]=1,"1st",IF(Titanic_Dataset[[#This Row],[Pclass]]=2,"2nd",IF(Titanic_Dataset[[#This Row],[Pclass]]=3,"3rd")))</f>
        <v>1st</v>
      </c>
      <c r="F889" s="1" t="s">
        <v>1728</v>
      </c>
      <c r="G889" s="1" t="str">
        <f>TRIM(MID(Titanic_Dataset[[#This Row],[Name]],
FIND(",",Titanic_Dataset[[#This Row],[Name]])+2,
FIND(".",Titanic_Dataset[[#This Row],[Name]],FIND(",",Titanic_Dataset[[#This Row],[Name]]))-FIND(",",Titanic_Dataset[[#This Row],[Name]])-1))</f>
        <v>Miss.</v>
      </c>
      <c r="H889" s="1" t="s">
        <v>18</v>
      </c>
      <c r="I889">
        <v>19</v>
      </c>
      <c r="J889" t="str">
        <f>IF(Titanic_Dataset[[#This Row],[Age]]&lt;12,"0-11",
IF(Titanic_Dataset[[#This Row],[Age]]&lt;20,"12-19",
IF(Titanic_Dataset[[#This Row],[Age]]&lt;30,"20-29",
IF(Titanic_Dataset[[#This Row],[Age]]&lt;40,"30-39",
IF(Titanic_Dataset[[#This Row],[Age]]&lt;50,"40-49",
IF(Titanic_Dataset[[#This Row],[Age]]&lt;60,"50-59",
IF(Titanic_Dataset[[#This Row],[Age]]&lt;70,"60-69",)))))))</f>
        <v>12-19</v>
      </c>
      <c r="K889">
        <v>0</v>
      </c>
      <c r="L889">
        <v>0</v>
      </c>
      <c r="M889">
        <f>Titanic_Dataset[[#This Row],[Parch]]+Titanic_Dataset[[#This Row],[SibSp]]</f>
        <v>0</v>
      </c>
      <c r="N889" s="1" t="s">
        <v>1729</v>
      </c>
      <c r="O889">
        <v>30</v>
      </c>
      <c r="P889">
        <f>IF(Titanic_Dataset[[#This Row],[Survived]]=1,Titanic_Dataset[[#This Row],[Fare]],NA())</f>
        <v>30</v>
      </c>
      <c r="Q889" t="e">
        <f>IF(Titanic_Dataset[[#This Row],[Survived]]=0,Titanic_Dataset[[#This Row],[Fare]],NA())</f>
        <v>#N/A</v>
      </c>
      <c r="R889" t="str">
        <f>VLOOKUP(Titanic_Dataset[[#This Row],[Fare]],Table2[],2,TRUE)</f>
        <v>very hiegh</v>
      </c>
      <c r="S889" s="1" t="s">
        <v>1730</v>
      </c>
      <c r="T889" s="1" t="s">
        <v>16</v>
      </c>
      <c r="U889" s="1"/>
      <c r="V889" s="1"/>
      <c r="W889" s="1"/>
    </row>
    <row r="890" spans="1:23" x14ac:dyDescent="0.25">
      <c r="A890">
        <v>889</v>
      </c>
      <c r="B890">
        <v>0</v>
      </c>
      <c r="C890" t="str">
        <f>IF(Titanic_Dataset[[#This Row],[Survived]]=1,"Survived","Died")</f>
        <v>Died</v>
      </c>
      <c r="D890">
        <v>3</v>
      </c>
      <c r="E890" t="str">
        <f>IF(Titanic_Dataset[[#This Row],[Pclass]]=1,"1st",IF(Titanic_Dataset[[#This Row],[Pclass]]=2,"2nd",IF(Titanic_Dataset[[#This Row],[Pclass]]=3,"3rd")))</f>
        <v>3rd</v>
      </c>
      <c r="F890" s="1" t="s">
        <v>1731</v>
      </c>
      <c r="G890" s="1" t="str">
        <f>TRIM(MID(Titanic_Dataset[[#This Row],[Name]],
FIND(",",Titanic_Dataset[[#This Row],[Name]])+2,
FIND(".",Titanic_Dataset[[#This Row],[Name]],FIND(",",Titanic_Dataset[[#This Row],[Name]]))-FIND(",",Titanic_Dataset[[#This Row],[Name]])-1))</f>
        <v>Miss.</v>
      </c>
      <c r="H890" s="1" t="s">
        <v>18</v>
      </c>
      <c r="I890">
        <v>28</v>
      </c>
      <c r="J890"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90">
        <v>1</v>
      </c>
      <c r="L890">
        <v>2</v>
      </c>
      <c r="M890">
        <f>Titanic_Dataset[[#This Row],[Parch]]+Titanic_Dataset[[#This Row],[SibSp]]</f>
        <v>3</v>
      </c>
      <c r="N890" s="1" t="s">
        <v>1550</v>
      </c>
      <c r="O890">
        <v>23.45</v>
      </c>
      <c r="P890" t="e">
        <f>IF(Titanic_Dataset[[#This Row],[Survived]]=1,Titanic_Dataset[[#This Row],[Fare]],NA())</f>
        <v>#N/A</v>
      </c>
      <c r="Q890">
        <f>IF(Titanic_Dataset[[#This Row],[Survived]]=0,Titanic_Dataset[[#This Row],[Fare]],NA())</f>
        <v>23.45</v>
      </c>
      <c r="R890" t="str">
        <f>VLOOKUP(Titanic_Dataset[[#This Row],[Fare]],Table2[],2,TRUE)</f>
        <v>high</v>
      </c>
      <c r="S890" s="1" t="s">
        <v>15</v>
      </c>
      <c r="T890" s="1" t="s">
        <v>16</v>
      </c>
      <c r="U890" s="1"/>
      <c r="V890" s="1"/>
      <c r="W890" s="1"/>
    </row>
    <row r="891" spans="1:23" x14ac:dyDescent="0.25">
      <c r="A891">
        <v>890</v>
      </c>
      <c r="B891">
        <v>1</v>
      </c>
      <c r="C891" t="str">
        <f>IF(Titanic_Dataset[[#This Row],[Survived]]=1,"Survived","Died")</f>
        <v>Survived</v>
      </c>
      <c r="D891">
        <v>1</v>
      </c>
      <c r="E891" t="str">
        <f>IF(Titanic_Dataset[[#This Row],[Pclass]]=1,"1st",IF(Titanic_Dataset[[#This Row],[Pclass]]=2,"2nd",IF(Titanic_Dataset[[#This Row],[Pclass]]=3,"3rd")))</f>
        <v>1st</v>
      </c>
      <c r="F891" s="1" t="s">
        <v>1732</v>
      </c>
      <c r="G891" s="1" t="str">
        <f>TRIM(MID(Titanic_Dataset[[#This Row],[Name]],
FIND(",",Titanic_Dataset[[#This Row],[Name]])+2,
FIND(".",Titanic_Dataset[[#This Row],[Name]],FIND(",",Titanic_Dataset[[#This Row],[Name]]))-FIND(",",Titanic_Dataset[[#This Row],[Name]])-1))</f>
        <v>Mr.</v>
      </c>
      <c r="H891" s="1" t="s">
        <v>13</v>
      </c>
      <c r="I891">
        <v>26</v>
      </c>
      <c r="J891" t="str">
        <f>IF(Titanic_Dataset[[#This Row],[Age]]&lt;12,"0-11",
IF(Titanic_Dataset[[#This Row],[Age]]&lt;20,"12-19",
IF(Titanic_Dataset[[#This Row],[Age]]&lt;30,"20-29",
IF(Titanic_Dataset[[#This Row],[Age]]&lt;40,"30-39",
IF(Titanic_Dataset[[#This Row],[Age]]&lt;50,"40-49",
IF(Titanic_Dataset[[#This Row],[Age]]&lt;60,"50-59",
IF(Titanic_Dataset[[#This Row],[Age]]&lt;70,"60-69",)))))))</f>
        <v>20-29</v>
      </c>
      <c r="K891">
        <v>0</v>
      </c>
      <c r="L891">
        <v>0</v>
      </c>
      <c r="M891">
        <f>Titanic_Dataset[[#This Row],[Parch]]+Titanic_Dataset[[#This Row],[SibSp]]</f>
        <v>0</v>
      </c>
      <c r="N891" s="1" t="s">
        <v>1733</v>
      </c>
      <c r="O891">
        <v>30</v>
      </c>
      <c r="P891">
        <f>IF(Titanic_Dataset[[#This Row],[Survived]]=1,Titanic_Dataset[[#This Row],[Fare]],NA())</f>
        <v>30</v>
      </c>
      <c r="Q891" t="e">
        <f>IF(Titanic_Dataset[[#This Row],[Survived]]=0,Titanic_Dataset[[#This Row],[Fare]],NA())</f>
        <v>#N/A</v>
      </c>
      <c r="R891" t="str">
        <f>VLOOKUP(Titanic_Dataset[[#This Row],[Fare]],Table2[],2,TRUE)</f>
        <v>very hiegh</v>
      </c>
      <c r="S891" s="1" t="s">
        <v>1734</v>
      </c>
      <c r="T891" s="1" t="s">
        <v>21</v>
      </c>
      <c r="U891" s="1"/>
      <c r="V891" s="1"/>
      <c r="W891" s="1"/>
    </row>
    <row r="892" spans="1:23" x14ac:dyDescent="0.25">
      <c r="A892">
        <v>891</v>
      </c>
      <c r="B892">
        <v>0</v>
      </c>
      <c r="C892" t="str">
        <f>IF(Titanic_Dataset[[#This Row],[Survived]]=1,"Survived","Died")</f>
        <v>Died</v>
      </c>
      <c r="D892">
        <v>3</v>
      </c>
      <c r="E892" t="str">
        <f>IF(Titanic_Dataset[[#This Row],[Pclass]]=1,"1st",IF(Titanic_Dataset[[#This Row],[Pclass]]=2,"2nd",IF(Titanic_Dataset[[#This Row],[Pclass]]=3,"3rd")))</f>
        <v>3rd</v>
      </c>
      <c r="F892" s="1" t="s">
        <v>1735</v>
      </c>
      <c r="G892" s="1" t="str">
        <f>TRIM(MID(Titanic_Dataset[[#This Row],[Name]],
FIND(",",Titanic_Dataset[[#This Row],[Name]])+2,
FIND(".",Titanic_Dataset[[#This Row],[Name]],FIND(",",Titanic_Dataset[[#This Row],[Name]]))-FIND(",",Titanic_Dataset[[#This Row],[Name]])-1))</f>
        <v>Mr.</v>
      </c>
      <c r="H892" s="1" t="s">
        <v>13</v>
      </c>
      <c r="I892">
        <v>32</v>
      </c>
      <c r="J892" t="str">
        <f>IF(Titanic_Dataset[[#This Row],[Age]]&lt;12,"0-11",
IF(Titanic_Dataset[[#This Row],[Age]]&lt;20,"12-19",
IF(Titanic_Dataset[[#This Row],[Age]]&lt;30,"20-29",
IF(Titanic_Dataset[[#This Row],[Age]]&lt;40,"30-39",
IF(Titanic_Dataset[[#This Row],[Age]]&lt;50,"40-49",
IF(Titanic_Dataset[[#This Row],[Age]]&lt;60,"50-59",
IF(Titanic_Dataset[[#This Row],[Age]]&lt;70,"60-69",)))))))</f>
        <v>30-39</v>
      </c>
      <c r="K892">
        <v>0</v>
      </c>
      <c r="L892">
        <v>0</v>
      </c>
      <c r="M892">
        <f>Titanic_Dataset[[#This Row],[Parch]]+Titanic_Dataset[[#This Row],[SibSp]]</f>
        <v>0</v>
      </c>
      <c r="N892" s="1" t="s">
        <v>1736</v>
      </c>
      <c r="O892">
        <v>7.75</v>
      </c>
      <c r="P892" t="e">
        <f>IF(Titanic_Dataset[[#This Row],[Survived]]=1,Titanic_Dataset[[#This Row],[Fare]],NA())</f>
        <v>#N/A</v>
      </c>
      <c r="Q892">
        <f>IF(Titanic_Dataset[[#This Row],[Survived]]=0,Titanic_Dataset[[#This Row],[Fare]],NA())</f>
        <v>7.75</v>
      </c>
      <c r="R892" t="str">
        <f>VLOOKUP(Titanic_Dataset[[#This Row],[Fare]],Table2[],2,TRUE)</f>
        <v>low</v>
      </c>
      <c r="S892" s="1" t="s">
        <v>15</v>
      </c>
      <c r="T892" s="1" t="s">
        <v>31</v>
      </c>
      <c r="U892" s="1"/>
      <c r="V892" s="1"/>
      <c r="W892" s="1"/>
    </row>
  </sheetData>
  <pageMargins left="0.7" right="0.7" top="0.75" bottom="0.75" header="0.3" footer="0.3"/>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C8B06-FF2F-48E9-A7BA-D5A622079944}">
  <sheetPr>
    <pageSetUpPr fitToPage="1"/>
  </sheetPr>
  <dimension ref="J116"/>
  <sheetViews>
    <sheetView showRowColHeaders="0" topLeftCell="B17" zoomScale="53" zoomScaleNormal="53" workbookViewId="0">
      <selection activeCell="I29" sqref="I29"/>
    </sheetView>
  </sheetViews>
  <sheetFormatPr defaultRowHeight="15" x14ac:dyDescent="0.25"/>
  <cols>
    <col min="5" max="5" width="17.42578125" customWidth="1"/>
    <col min="16" max="16" width="9.140625" customWidth="1"/>
  </cols>
  <sheetData>
    <row r="116" spans="10:10" x14ac:dyDescent="0.25">
      <c r="J116">
        <v>2</v>
      </c>
    </row>
  </sheetData>
  <pageMargins left="0.7" right="0.7" top="0.75" bottom="0.75" header="0.3" footer="0.3"/>
  <pageSetup scale="28" orientation="landscape"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E7167-7EC3-4726-9469-72C73007AFA9}">
  <sheetPr>
    <pageSetUpPr fitToPage="1"/>
  </sheetPr>
  <dimension ref="A1"/>
  <sheetViews>
    <sheetView showGridLines="0" tabSelected="1" topLeftCell="A17" zoomScale="35" zoomScaleNormal="35" workbookViewId="0">
      <selection activeCell="BP71" sqref="BP71"/>
    </sheetView>
  </sheetViews>
  <sheetFormatPr defaultRowHeight="15" x14ac:dyDescent="0.25"/>
  <sheetData/>
  <pageMargins left="0.7" right="0.7" top="0.75" bottom="0.75" header="0.3" footer="0.3"/>
  <pageSetup paperSize="8" scale="21"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20C3E1C-36A5-44B8-B748-1D3F1F7C2FC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survived rate by class</vt:lpstr>
      <vt:lpstr>survival by sex</vt:lpstr>
      <vt:lpstr>survir by age group</vt:lpstr>
      <vt:lpstr>survival by embarked</vt:lpstr>
      <vt:lpstr>survival by family size</vt:lpstr>
      <vt:lpstr>Titanic-Dataset</vt:lpstr>
      <vt:lpstr>DashBaord</vt:lpstr>
      <vt:lpstr>newdashboard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youssef samir</dc:creator>
  <cp:lastModifiedBy>youssef samir</cp:lastModifiedBy>
  <cp:lastPrinted>2025-11-13T18:06:36Z</cp:lastPrinted>
  <dcterms:created xsi:type="dcterms:W3CDTF">2025-11-04T08:07:44Z</dcterms:created>
  <dcterms:modified xsi:type="dcterms:W3CDTF">2025-11-13T22:58:10Z</dcterms:modified>
</cp:coreProperties>
</file>